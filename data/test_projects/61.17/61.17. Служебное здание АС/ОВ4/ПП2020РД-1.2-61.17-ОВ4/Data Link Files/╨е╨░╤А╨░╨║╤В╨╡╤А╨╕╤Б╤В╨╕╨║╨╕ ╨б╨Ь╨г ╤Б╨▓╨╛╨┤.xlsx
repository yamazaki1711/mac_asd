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lyakov\Desktop\Левашово проектирование 2025\3. Новые комплекты РД\Смесительные узлы\"/>
    </mc:Choice>
  </mc:AlternateContent>
  <bookViews>
    <workbookView xWindow="0" yWindow="0" windowWidth="19980" windowHeight="8856" firstSheet="1" activeTab="7"/>
  </bookViews>
  <sheets>
    <sheet name="Смесительные узлы" sheetId="1" r:id="rId1"/>
    <sheet name="схема" sheetId="2" r:id="rId2"/>
    <sheet name="57" sheetId="4" r:id="rId3"/>
    <sheet name="111" sheetId="5" r:id="rId4"/>
    <sheet name="110" sheetId="6" r:id="rId5"/>
    <sheet name="61.17" sheetId="7" r:id="rId6"/>
    <sheet name="61.2" sheetId="8" r:id="rId7"/>
    <sheet name="56" sheetId="9" r:id="rId8"/>
  </sheets>
  <definedNames>
    <definedName name="_FilterDatabase" localSheetId="0" hidden="1">'Смесительные узлы'!$A$3:$X$30</definedName>
    <definedName name="Print_Area" localSheetId="0">'Смесительные узлы'!$A$1:$U$30</definedName>
    <definedName name="ГСО61.2" localSheetId="6">'61.2'!$A$1:$J$33</definedName>
    <definedName name="СОдля110" localSheetId="4">'110'!$A$1:$I$32</definedName>
    <definedName name="СОдля111" localSheetId="3">'111'!$A$1:$H$31</definedName>
    <definedName name="СОдля56" localSheetId="7">'56'!$A$1:$L$42</definedName>
    <definedName name="СОдля57" localSheetId="2">'57'!$A$1:$I$32</definedName>
    <definedName name="СОдля61.17" localSheetId="5">'61.17'!$A$1:$H$29</definedName>
    <definedName name="СОдля61.2" localSheetId="6">'61.2'!$A$1:$J$33</definedName>
    <definedName name="Спецификация_к_схеме_узла_теплоснабжения_вентиляционных_установок" localSheetId="4">'110'!$A$1:$I$25</definedName>
    <definedName name="Спецификация_к_схеме_узла_теплоснабжения_вентиляционных_установок" localSheetId="3">'111'!$A$1:$H$24</definedName>
    <definedName name="Спецификация_к_схеме_узла_теплоснабжения_вентиляционных_установок" localSheetId="7">'56'!$A$1:$L$31</definedName>
    <definedName name="Спецификация_к_схеме_узла_теплоснабжения_вентиляционных_установок" localSheetId="2">'57'!$A$1:$I$25</definedName>
    <definedName name="Спецификация_к_схеме_узла_теплоснабжения_вентиляционных_установок" localSheetId="5">'61.17'!$A$1:$H$22</definedName>
    <definedName name="Спецификация_к_схеме_узла_теплоснабжения_вентиляционных_установок" localSheetId="6">'61.2'!$A$1:$J$26</definedName>
    <definedName name="Спецификация_к_схеме_узла_теплоснабжения_вентиляционных_установок" localSheetId="1">схема!$A$1:$F$20</definedName>
    <definedName name="Характеристики_систем" localSheetId="0">'Смесительные узлы'!$A$1:$K$30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" i="9" l="1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11" i="9"/>
  <c r="J7" i="9"/>
  <c r="J8" i="9"/>
  <c r="J9" i="9"/>
  <c r="J10" i="9"/>
  <c r="J4" i="9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8" i="8"/>
  <c r="H9" i="8"/>
  <c r="H7" i="8"/>
  <c r="H4" i="8"/>
  <c r="F8" i="7"/>
  <c r="F9" i="7"/>
  <c r="F10" i="7"/>
  <c r="F11" i="7"/>
  <c r="F12" i="7"/>
  <c r="F13" i="7"/>
  <c r="F14" i="7"/>
  <c r="F15" i="7"/>
  <c r="F16" i="7"/>
  <c r="F17" i="7"/>
  <c r="F19" i="7"/>
  <c r="F20" i="7"/>
  <c r="F21" i="7"/>
  <c r="F7" i="7"/>
  <c r="F4" i="7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8" i="6"/>
  <c r="G9" i="6"/>
  <c r="G7" i="6"/>
  <c r="G4" i="6"/>
  <c r="F24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4" i="5"/>
  <c r="G21" i="4" l="1"/>
  <c r="G25" i="4"/>
  <c r="G23" i="4"/>
  <c r="G24" i="4"/>
  <c r="G22" i="4"/>
  <c r="G20" i="4"/>
  <c r="G19" i="4"/>
  <c r="G18" i="4"/>
  <c r="G17" i="4"/>
  <c r="G16" i="4"/>
  <c r="G15" i="4"/>
  <c r="G14" i="4"/>
  <c r="G12" i="4"/>
  <c r="G13" i="4"/>
  <c r="G10" i="4"/>
  <c r="G11" i="4"/>
  <c r="G8" i="4"/>
  <c r="G9" i="4"/>
  <c r="G7" i="4"/>
  <c r="G4" i="4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</calcChain>
</file>

<file path=xl/sharedStrings.xml><?xml version="1.0" encoding="utf-8"?>
<sst xmlns="http://schemas.openxmlformats.org/spreadsheetml/2006/main" count="835" uniqueCount="255">
  <si>
    <t>1"</t>
  </si>
  <si>
    <t>1/2"</t>
  </si>
  <si>
    <t>/VR.001/VA.010</t>
  </si>
  <si>
    <t>/P.1R.04</t>
  </si>
  <si>
    <t>шт.</t>
  </si>
  <si>
    <t>ТУ 27.12-001-37181930-2020</t>
  </si>
  <si>
    <t>24.00007511</t>
  </si>
  <si>
    <t>MUB.L.04.01.B.CP</t>
  </si>
  <si>
    <t>3/4"</t>
  </si>
  <si>
    <t>HW.2</t>
  </si>
  <si>
    <t>LM DUCT R 315</t>
  </si>
  <si>
    <t xml:space="preserve">П8 </t>
  </si>
  <si>
    <t>1.01</t>
  </si>
  <si>
    <t>1''</t>
  </si>
  <si>
    <t>3/4''</t>
  </si>
  <si>
    <t>/VR.006/VA.010</t>
  </si>
  <si>
    <t>24.00007510</t>
  </si>
  <si>
    <t>MUB.L.04.06.B.CP</t>
  </si>
  <si>
    <t>LM DUCT Q 60-35</t>
  </si>
  <si>
    <t xml:space="preserve">П7 </t>
  </si>
  <si>
    <t>2.01</t>
  </si>
  <si>
    <t>/VR.004/VA.010</t>
  </si>
  <si>
    <t>24.00007509</t>
  </si>
  <si>
    <t>MUB.L.04.04.B.CP</t>
  </si>
  <si>
    <t>LM DUCT Q 50-30</t>
  </si>
  <si>
    <t xml:space="preserve">П6 </t>
  </si>
  <si>
    <t>2.20</t>
  </si>
  <si>
    <t>1/2''</t>
  </si>
  <si>
    <t>/VR.002/VA.010</t>
  </si>
  <si>
    <t>24.00007508</t>
  </si>
  <si>
    <t>MUB.L.04.02.B.CP</t>
  </si>
  <si>
    <t>LM DUCT R 200</t>
  </si>
  <si>
    <t xml:space="preserve">П5 </t>
  </si>
  <si>
    <t>1.14</t>
  </si>
  <si>
    <t>LM DUCT R 250</t>
  </si>
  <si>
    <t xml:space="preserve">П4 </t>
  </si>
  <si>
    <t>LM DUCT Q 60-30</t>
  </si>
  <si>
    <t xml:space="preserve">П3 </t>
  </si>
  <si>
    <t>/VR.010/VA.010</t>
  </si>
  <si>
    <t>/P.1R.08</t>
  </si>
  <si>
    <t>24.00007498</t>
  </si>
  <si>
    <t>MUB.L.08.10.B.CP</t>
  </si>
  <si>
    <t>HW.3</t>
  </si>
  <si>
    <t>LM ERDE PRO 3 EVO Pl 09 RL</t>
  </si>
  <si>
    <t xml:space="preserve">ПВ2 </t>
  </si>
  <si>
    <t>2"</t>
  </si>
  <si>
    <t>LM ERDE PRO 3 EVO Pl 15 RL</t>
  </si>
  <si>
    <t xml:space="preserve">ПВ1 </t>
  </si>
  <si>
    <t>2.02</t>
  </si>
  <si>
    <t>24.00007449</t>
  </si>
  <si>
    <t>24.00007448</t>
  </si>
  <si>
    <t>1.20</t>
  </si>
  <si>
    <t>24.00007440</t>
  </si>
  <si>
    <t>HW.21</t>
  </si>
  <si>
    <t>LM ERDE PRO 5 EVO Pl 05 LR</t>
  </si>
  <si>
    <t>2.22</t>
  </si>
  <si>
    <t>LM ERDE PRO 5 EVO Pl 03 R</t>
  </si>
  <si>
    <t xml:space="preserve">П1 </t>
  </si>
  <si>
    <t>24.00007489</t>
  </si>
  <si>
    <t>LM ERDE PRO 3 EVO Pl 02 L</t>
  </si>
  <si>
    <t>1.02</t>
  </si>
  <si>
    <t>61.17</t>
  </si>
  <si>
    <t xml:space="preserve">П2 </t>
  </si>
  <si>
    <t>24.00007490</t>
  </si>
  <si>
    <t>LM ERDE PRO 3 EVO Pl 03 L</t>
  </si>
  <si>
    <t>2.05</t>
  </si>
  <si>
    <t>24.00007723</t>
  </si>
  <si>
    <t>LM DUCT R 160</t>
  </si>
  <si>
    <t>1.06</t>
  </si>
  <si>
    <t>61.2</t>
  </si>
  <si>
    <t>/P.1R.06</t>
  </si>
  <si>
    <t>24.00007737</t>
  </si>
  <si>
    <t>MUB.L.06.06.B.CP</t>
  </si>
  <si>
    <t>LM DUCT Q 80-50</t>
  </si>
  <si>
    <t>2.16</t>
  </si>
  <si>
    <t>24.00007728</t>
  </si>
  <si>
    <t>LM ERDE PRO 3 EVO Pl 03 LR</t>
  </si>
  <si>
    <t>2.23 (справа)</t>
  </si>
  <si>
    <t>24.00007729</t>
  </si>
  <si>
    <t>LM ERDE PRO 3 EVO Pl 07 LR</t>
  </si>
  <si>
    <t>2.23 (слева)</t>
  </si>
  <si>
    <t>24.00007478</t>
  </si>
  <si>
    <t>1.10</t>
  </si>
  <si>
    <t>24.00007483</t>
  </si>
  <si>
    <t>LM DUCT Q 50-25</t>
  </si>
  <si>
    <t>2.14</t>
  </si>
  <si>
    <t>24.00007484</t>
  </si>
  <si>
    <t>1.11</t>
  </si>
  <si>
    <t>24.00007479</t>
  </si>
  <si>
    <t>LM ERDE PRO 3 EVO Pl 05 LR</t>
  </si>
  <si>
    <t>24.00007681</t>
  </si>
  <si>
    <t>1.07</t>
  </si>
  <si>
    <t>1.05</t>
  </si>
  <si>
    <t>24.00007678</t>
  </si>
  <si>
    <t>LM ERDE PRO 3 EVO Pl 02 RL</t>
  </si>
  <si>
    <t>дюйм</t>
  </si>
  <si>
    <t>DN, мм</t>
  </si>
  <si>
    <t>л/с</t>
  </si>
  <si>
    <t>м3/ч</t>
  </si>
  <si>
    <t>Подсоед. к ТО (шланги)</t>
  </si>
  <si>
    <t>Подсоед. Магистрали</t>
  </si>
  <si>
    <t>Клапан с приводом</t>
  </si>
  <si>
    <t>Насос</t>
  </si>
  <si>
    <t>Количество</t>
  </si>
  <si>
    <t>Единица измерения</t>
  </si>
  <si>
    <t>Изготовлено по (ТУ, ГОСТ)</t>
  </si>
  <si>
    <t>Дата изготовления</t>
  </si>
  <si>
    <t>Код оборудования, изделия, материала</t>
  </si>
  <si>
    <t>Тип, марка, обозначение документа, опросного листа</t>
  </si>
  <si>
    <t>Диаметр присоединения</t>
  </si>
  <si>
    <t>Расход теплоносителя в теплообменнике, G</t>
  </si>
  <si>
    <t>Расход тепла
Q, кВт</t>
  </si>
  <si>
    <t>Расход воздуха
L, м3/ч</t>
  </si>
  <si>
    <t>Помещение</t>
  </si>
  <si>
    <t>Здание</t>
  </si>
  <si>
    <t>Характеристики смесительного узла</t>
  </si>
  <si>
    <t>Смесительный узел</t>
  </si>
  <si>
    <t>Характеристики установки</t>
  </si>
  <si>
    <t>Поз.</t>
  </si>
  <si>
    <t>Обозначение</t>
  </si>
  <si>
    <t>Наименование</t>
  </si>
  <si>
    <t>Масса, кг</t>
  </si>
  <si>
    <t>Примечание</t>
  </si>
  <si>
    <t>1.1</t>
  </si>
  <si>
    <t>1.2</t>
  </si>
  <si>
    <t>1.3</t>
  </si>
  <si>
    <t>1.4</t>
  </si>
  <si>
    <t>1.5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</si>
  <si>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</si>
  <si>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</si>
  <si>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</si>
  <si>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</si>
  <si>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</si>
  <si>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</si>
  <si>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</si>
  <si>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</si>
  <si>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</si>
  <si>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</si>
  <si>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</si>
  <si>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</si>
  <si>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Комплект смесительного узла по типу MUB.L.__.__.B.CP в составе:</t>
  </si>
  <si>
    <t>Кран шаровой</t>
  </si>
  <si>
    <t>Фильтр</t>
  </si>
  <si>
    <t>Циркуляционный насос</t>
  </si>
  <si>
    <t>Обратный клапан</t>
  </si>
  <si>
    <t>Клапан балансировочный</t>
  </si>
  <si>
    <t>Автоматический балансировочный клапан (регулятор расхода)</t>
  </si>
  <si>
    <t>Реле давления</t>
  </si>
  <si>
    <t>PTI</t>
  </si>
  <si>
    <t>PS</t>
  </si>
  <si>
    <t>PI</t>
  </si>
  <si>
    <t>Тройник 1"</t>
  </si>
  <si>
    <t>Сгон 1"</t>
  </si>
  <si>
    <t>Ниппель 1"</t>
  </si>
  <si>
    <t>Переход Stahlman</t>
  </si>
  <si>
    <t>Футорка 1"-1/2"</t>
  </si>
  <si>
    <t>Манометр радиальный 0…1 МПа</t>
  </si>
  <si>
    <r>
      <t>Термоманометр радиальный 0…120</t>
    </r>
    <r>
      <rPr>
        <sz val="11"/>
        <color theme="1"/>
        <rFont val="Times New Roman"/>
        <family val="1"/>
        <charset val="204"/>
      </rPr>
      <t>℃</t>
    </r>
  </si>
  <si>
    <r>
      <t xml:space="preserve">Труба Stahlmann </t>
    </r>
    <r>
      <rPr>
        <sz val="11"/>
        <color theme="1"/>
        <rFont val="Times New Roman"/>
        <family val="2"/>
        <charset val="204"/>
      </rPr>
      <t>25А, L=3000 мм</t>
    </r>
  </si>
  <si>
    <t xml:space="preserve">Кран шаровой ВВ полнопроходной 1" </t>
  </si>
  <si>
    <t>Кол-во</t>
  </si>
  <si>
    <t>в м.п.</t>
  </si>
  <si>
    <t>Тип установки</t>
  </si>
  <si>
    <t>Нагреватель</t>
  </si>
  <si>
    <t>Обозначение системы</t>
  </si>
  <si>
    <t>Кол-во на исполнение</t>
  </si>
  <si>
    <t>Всего</t>
  </si>
  <si>
    <t>01</t>
  </si>
  <si>
    <t>02</t>
  </si>
  <si>
    <t>03</t>
  </si>
  <si>
    <t xml:space="preserve">Комплект смесительного узла MUB.L.04.06.B.CP </t>
  </si>
  <si>
    <t>Детали</t>
  </si>
  <si>
    <t xml:space="preserve">Комплект смесительного узла MUB.L.04.02.B.CP </t>
  </si>
  <si>
    <t xml:space="preserve">Комплект смесительного узла MUB.L.04.01.B.CP </t>
  </si>
  <si>
    <t>Клапан балансировочный CIM 787DP 1"</t>
  </si>
  <si>
    <t>Клапан балансировочный CIM 787DP 3/4"</t>
  </si>
  <si>
    <t>Автоматический балансировочный клапан (регулятор расхода) CIM 767НP 1"</t>
  </si>
  <si>
    <t>Автоматический балансировочный клапан (регулятор расхода) CIM 767 LP 3/4"</t>
  </si>
  <si>
    <t>Реле давления KPI 35R 1/2"</t>
  </si>
  <si>
    <t>Термоманометр радиальный ТМТБ-31Т.1(0-120С)(0-1MPa)G1/2" кл. точности 2,5</t>
  </si>
  <si>
    <t>Манометр радиальный ТМ-510Т.00(0-1MPa)G1/2" кл. точности 1,5</t>
  </si>
  <si>
    <t>Муфта Stahlmann IWS EasyFix 25 мм х 1 ВР(г) для гофрированных труб</t>
  </si>
  <si>
    <t>Муфта Stahlmann IWS EasyFix 25 мм х 1 НР(ш) для гофрированных труб</t>
  </si>
  <si>
    <t>Футорка 1"-3/4"</t>
  </si>
  <si>
    <t>Ниппель переходной 1"-3/4"</t>
  </si>
  <si>
    <t>14</t>
  </si>
  <si>
    <t>15</t>
  </si>
  <si>
    <t>Исполнение узла теплоснабжения</t>
  </si>
  <si>
    <t>исп. 01</t>
  </si>
  <si>
    <t>исп. 02</t>
  </si>
  <si>
    <t>исп. 03</t>
  </si>
  <si>
    <t>фото от Данилы</t>
  </si>
  <si>
    <t>1" HP</t>
  </si>
  <si>
    <t>3/4" LP</t>
  </si>
  <si>
    <t>1" LP</t>
  </si>
  <si>
    <t>1/2" HP</t>
  </si>
  <si>
    <t>1/2" LP</t>
  </si>
  <si>
    <t>исп. 04</t>
  </si>
  <si>
    <t>исп. 05</t>
  </si>
  <si>
    <t>исп. 06</t>
  </si>
  <si>
    <t xml:space="preserve">1 1/2" </t>
  </si>
  <si>
    <t>1 1/4"</t>
  </si>
  <si>
    <t xml:space="preserve">1" </t>
  </si>
  <si>
    <t xml:space="preserve">1/2" </t>
  </si>
  <si>
    <t>Примечания:</t>
  </si>
  <si>
    <t>1.</t>
  </si>
  <si>
    <t>2.</t>
  </si>
  <si>
    <t>Поз. 1 учтена в комплекте ПП2020РД-1.2-57-ОВ1</t>
  </si>
  <si>
    <t xml:space="preserve">Спецификация к схеме </t>
  </si>
  <si>
    <t>Групповая спецификация материалов смесительных узлов приточных установок систем П1, ПВ2, П4, П5</t>
  </si>
  <si>
    <t>Смесительный узел приточных установок</t>
  </si>
  <si>
    <t>Групповая спецификация материалов смесительных узлов приточных установок систем ПВ1, П2, П3</t>
  </si>
  <si>
    <t>Поз. 1 учтена в комплекте ПП2020РД-1.2-111-ОВ1</t>
  </si>
  <si>
    <t xml:space="preserve">Комплект смесительного узла MUB.L.04.04.B.CP </t>
  </si>
  <si>
    <t>Ручной балансировочный клапан STP Ду 25, ВР 1" SANEXT (6503-1)</t>
  </si>
  <si>
    <t>Ручной балансировочный клапан STP Ду 15, ВР 1/2" SANEXT (6501-1)</t>
  </si>
  <si>
    <t>Автоматический балансировочный клапан DPV Ду 15, ВР 1/2" SANEXT (6101-1)</t>
  </si>
  <si>
    <t>Автоматический балансировочный клапан DPV Ду 25, ВР 1" SANEXT (6103)</t>
  </si>
  <si>
    <t>Ниппель переходной 1"-1/2"</t>
  </si>
  <si>
    <t>Поз. 1 учтена в комплекте ПП2020РД-1.2-110-ОВ1</t>
  </si>
  <si>
    <t>Групповая спецификация материалов смесительных узлов приточных установок систем П1-П4</t>
  </si>
  <si>
    <t>Групповая спецификация материалов смесительных узлов приточных установок систем ПВ1, П2, П3, П4</t>
  </si>
  <si>
    <t>Поз. 1 учтена в комплекте ПП2020РД-1.2-61.17-ОВ1</t>
  </si>
  <si>
    <t>Групповая спецификация материалов смесительных узлов приточных установок систем ПВ1, ПВ2, П3, П4</t>
  </si>
  <si>
    <t>04</t>
  </si>
  <si>
    <t xml:space="preserve">Комплект смесительного узла MUB.L.06.06.B.CP </t>
  </si>
  <si>
    <t>Поз. 1 учтена в комплекте ПП2020РД-1.2-61.2-ОВ1</t>
  </si>
  <si>
    <t>Поз. 1 учтена в комплекте ПП2020РД-1.2-56-ОВ1</t>
  </si>
  <si>
    <t>Групповая спецификация материалов смесительных узлов приточных установок систем ПВ1, ПВ2, П3-П8</t>
  </si>
  <si>
    <t>05</t>
  </si>
  <si>
    <t>06</t>
  </si>
  <si>
    <t xml:space="preserve">Комплект смесительного узла MUB.L.08.10.B.CP </t>
  </si>
  <si>
    <t>Ручной балансировочный клапан STP Ду 40, ВР 1 1/2" SANEXT (6505)</t>
  </si>
  <si>
    <t>Ручной балансировочный клапан STP Ду 32, ВР 1 1/4" SANEXT (6504)</t>
  </si>
  <si>
    <t>Автоматический балансировочный клапан DPV Ду 40, ВР 1 1/2" SANEXT (6105)</t>
  </si>
  <si>
    <t>Автоматический балансировочный клапан DPV Ду 32, ВР 1 1/4" SANEXT (6104)</t>
  </si>
  <si>
    <t>в РД</t>
  </si>
  <si>
    <t>Примеча-ние</t>
  </si>
  <si>
    <t>Для системы П1 узел предусмотрен в исп. 01 (см. схему лист 2).</t>
  </si>
  <si>
    <t>Для систем П2-4 узел предусмотрен в исп. 02 (см. схему лист 2).</t>
  </si>
  <si>
    <t>Для системы ПВ1 узел предусмотрен в исп. 01 (см. лист 2 схема №1).</t>
  </si>
  <si>
    <t>Для систем П2, П3 узел предусмотрен в исп. 02 (см. лист 2 схема №2).</t>
  </si>
  <si>
    <t>Для системы ПВ2 узел предусмотрен в исп. 02 (см. лист 2 схема №1).</t>
  </si>
  <si>
    <t>Для системы П3 узел предусмотрен в исп. 03 (см. лист 2 схема №1).</t>
  </si>
  <si>
    <t>Для системы П4 узел предусмотрен в исп. 04 (см. лист 2 схема №2).</t>
  </si>
  <si>
    <t>Для системы П4 узел теплоснабжения предусмотрен в исп. 02 (см. схему лист 2).</t>
  </si>
  <si>
    <t>Для системы П5 узел теплоснабжения предусмотрен в исп. 03 (см. схему лист 2).</t>
  </si>
  <si>
    <t>Для системы ПВ1 узел предусмотрен в исп. 01 (см. лист 2 схема №1)</t>
  </si>
  <si>
    <t>Для системы П3 узел предусмотрен в исп. 02 (см. лист 2 схема №1).</t>
  </si>
  <si>
    <t>Для систем П2, П4 узел предусмотрен в исп. 03 (см. лист 2 схема №2).</t>
  </si>
  <si>
    <t>Для системы П7 узел предусмотрен в исп. 03 (см. лист 2 схема №1).</t>
  </si>
  <si>
    <t>Для систем П3, П6 узел предусмотрен в исп. 04 (см. лист 2 схема №1).</t>
  </si>
  <si>
    <t>Для системы П5 узел предусмотрен в исп. 05 (см. лист 2 схема №2).</t>
  </si>
  <si>
    <t>Для систем П4, П8 узел предусмотрен в исп. 06 (см. лист 2 схема №2).</t>
  </si>
  <si>
    <t>Для систем П1, ПВ2 узел теплоснабжения предусмотрен в исп. 01 (см. схему лист 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</si>
</sst>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sz val="11"/>
      <color rgb="FFFF0000"/>
      <name val="Times New Roman"/>
      <family val="2"/>
      <charset val="204"/>
    </font>
    <font>
      <sz val="11"/>
      <name val="Times New Roman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999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4" fillId="0" borderId="0"/>
  </cellStyleXfs>
  <cellXfs count="95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49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4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1" fillId="0" borderId="1" xfId="0" applyFont="1" applyFill="1" applyBorder="1"/>
    <xf numFmtId="0" fontId="5" fillId="0" borderId="1" xfId="1" applyFont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49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/>
    <xf numFmtId="0" fontId="2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49" fontId="1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9" fontId="6" fillId="0" borderId="3" xfId="0" applyNumberFormat="1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 wrapText="1"/>
    </xf>
    <xf numFmtId="0" fontId="6" fillId="6" borderId="6" xfId="0" applyFont="1" applyFill="1" applyBorder="1" applyAlignment="1">
      <alignment vertical="center" wrapText="1"/>
    </xf>
    <xf numFmtId="49" fontId="6" fillId="0" borderId="6" xfId="0" applyNumberFormat="1" applyFont="1" applyFill="1" applyBorder="1" applyAlignment="1">
      <alignment vertical="center" wrapText="1"/>
    </xf>
    <xf numFmtId="0" fontId="6" fillId="0" borderId="10" xfId="0" applyFont="1" applyFill="1" applyBorder="1" applyAlignment="1">
      <alignment vertical="center" wrapText="1"/>
    </xf>
    <xf numFmtId="49" fontId="0" fillId="0" borderId="0" xfId="0" applyNumberFormat="1"/>
    <xf numFmtId="0" fontId="0" fillId="0" borderId="0" xfId="0" applyAlignment="1">
      <alignment horizontal="center" vertical="center"/>
    </xf>
    <xf numFmtId="49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0" fillId="3" borderId="0" xfId="0" applyFill="1"/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6" fillId="3" borderId="0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1" fillId="0" borderId="19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49" fontId="0" fillId="0" borderId="11" xfId="0" applyNumberFormat="1" applyBorder="1" applyAlignment="1">
      <alignment horizontal="center" vertical="center"/>
    </xf>
    <xf numFmtId="0" fontId="8" fillId="0" borderId="1" xfId="0" applyFont="1" applyFill="1" applyBorder="1"/>
    <xf numFmtId="0" fontId="8" fillId="0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6" fillId="6" borderId="9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0" fillId="0" borderId="11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0"/>
  <sheetViews>
    <sheetView zoomScale="85" zoomScaleNormal="85" workbookViewId="0">
      <pane xSplit="3" ySplit="3" topLeftCell="E4" activePane="bottomRight" state="frozen"/>
      <selection pane="topRight" activeCell="D1" sqref="D1"/>
      <selection pane="bottomLeft" activeCell="A4" sqref="A4"/>
      <selection pane="bottomRight" activeCell="S8" sqref="S8"/>
    </sheetView>
  </sheetViews>
  <sheetFormatPr defaultRowHeight="13.8" outlineLevelCol="2" x14ac:dyDescent="0.25"/>
  <cols>
    <col min="1" max="1" width="8.88671875" style="1"/>
    <col min="2" max="2" width="9.6640625" style="2" customWidth="1"/>
    <col min="3" max="3" width="9.33203125" style="1" customWidth="1"/>
    <col min="4" max="4" width="29.109375" style="1" customWidth="1"/>
    <col min="5" max="5" width="13.109375" style="1" customWidth="1" outlineLevel="1"/>
    <col min="6" max="6" width="12.44140625" style="1" customWidth="1" outlineLevel="1"/>
    <col min="7" max="7" width="11.5546875" style="1" customWidth="1" outlineLevel="1"/>
    <col min="8" max="8" width="10" style="1" customWidth="1" outlineLevel="1"/>
    <col min="9" max="9" width="9.6640625" style="1" customWidth="1" outlineLevel="1"/>
    <col min="10" max="11" width="8.88671875" style="1" customWidth="1" outlineLevel="1"/>
    <col min="12" max="12" width="19.21875" style="1" customWidth="1"/>
    <col min="13" max="13" width="25.21875" style="1" hidden="1" customWidth="1" outlineLevel="2"/>
    <col min="14" max="14" width="11.6640625" style="1" hidden="1" customWidth="1" outlineLevel="2"/>
    <col min="15" max="15" width="18.6640625" style="1" hidden="1" customWidth="1" outlineLevel="2"/>
    <col min="16" max="16" width="8.88671875" style="1" hidden="1" customWidth="1" outlineLevel="2"/>
    <col min="17" max="17" width="9.44140625" style="1" hidden="1" customWidth="1" outlineLevel="2"/>
    <col min="18" max="18" width="14.6640625" style="1" customWidth="1" collapsed="1"/>
    <col min="19" max="19" width="18.21875" style="1" customWidth="1"/>
    <col min="20" max="20" width="11.21875" style="1" customWidth="1"/>
    <col min="21" max="21" width="11.77734375" style="1" customWidth="1"/>
    <col min="22" max="22" width="14.5546875" style="1" customWidth="1"/>
    <col min="23" max="16384" width="8.88671875" style="1"/>
  </cols>
  <sheetData>
    <row r="1" spans="1:24" ht="14.4" thickBot="1" x14ac:dyDescent="0.3">
      <c r="C1" s="84" t="s">
        <v>117</v>
      </c>
      <c r="D1" s="84"/>
      <c r="E1" s="84"/>
      <c r="F1" s="84"/>
      <c r="G1" s="84"/>
      <c r="H1" s="84"/>
      <c r="I1" s="84"/>
      <c r="J1" s="84"/>
      <c r="K1" s="85"/>
      <c r="L1" s="81" t="s">
        <v>116</v>
      </c>
      <c r="M1" s="81"/>
      <c r="N1" s="81"/>
      <c r="O1" s="81"/>
      <c r="P1" s="81"/>
      <c r="Q1" s="81"/>
      <c r="R1" s="1" t="s">
        <v>115</v>
      </c>
      <c r="V1" s="80" t="s">
        <v>236</v>
      </c>
    </row>
    <row r="2" spans="1:24" ht="55.2" x14ac:dyDescent="0.25">
      <c r="A2" s="51" t="s">
        <v>114</v>
      </c>
      <c r="B2" s="50" t="s">
        <v>113</v>
      </c>
      <c r="C2" s="46" t="s">
        <v>164</v>
      </c>
      <c r="D2" s="49" t="s">
        <v>162</v>
      </c>
      <c r="E2" s="49" t="s">
        <v>163</v>
      </c>
      <c r="F2" s="49" t="s">
        <v>112</v>
      </c>
      <c r="G2" s="49" t="s">
        <v>111</v>
      </c>
      <c r="H2" s="82" t="s">
        <v>110</v>
      </c>
      <c r="I2" s="83"/>
      <c r="J2" s="82" t="s">
        <v>109</v>
      </c>
      <c r="K2" s="83"/>
      <c r="L2" s="48" t="s">
        <v>108</v>
      </c>
      <c r="M2" s="46" t="s">
        <v>107</v>
      </c>
      <c r="N2" s="47" t="s">
        <v>106</v>
      </c>
      <c r="O2" s="47" t="s">
        <v>105</v>
      </c>
      <c r="P2" s="46" t="s">
        <v>104</v>
      </c>
      <c r="Q2" s="45" t="s">
        <v>103</v>
      </c>
      <c r="R2" s="44" t="s">
        <v>102</v>
      </c>
      <c r="S2" s="44" t="s">
        <v>101</v>
      </c>
      <c r="T2" s="44" t="s">
        <v>100</v>
      </c>
      <c r="U2" s="44" t="s">
        <v>99</v>
      </c>
      <c r="V2" s="69" t="s">
        <v>187</v>
      </c>
      <c r="X2" s="69" t="s">
        <v>191</v>
      </c>
    </row>
    <row r="3" spans="1:24" ht="14.4" thickBot="1" x14ac:dyDescent="0.3">
      <c r="A3" s="43"/>
      <c r="B3" s="42"/>
      <c r="C3" s="40"/>
      <c r="D3" s="40"/>
      <c r="E3" s="40"/>
      <c r="F3" s="40"/>
      <c r="G3" s="40"/>
      <c r="H3" s="40" t="s">
        <v>98</v>
      </c>
      <c r="I3" s="40" t="s">
        <v>97</v>
      </c>
      <c r="J3" s="40" t="s">
        <v>95</v>
      </c>
      <c r="K3" s="40" t="s">
        <v>96</v>
      </c>
      <c r="L3" s="40"/>
      <c r="M3" s="40"/>
      <c r="N3" s="40"/>
      <c r="O3" s="40"/>
      <c r="P3" s="40"/>
      <c r="Q3" s="41"/>
      <c r="R3" s="40"/>
      <c r="S3" s="40"/>
      <c r="T3" s="40" t="s">
        <v>95</v>
      </c>
      <c r="U3" s="40" t="s">
        <v>95</v>
      </c>
    </row>
    <row r="4" spans="1:24" x14ac:dyDescent="0.25">
      <c r="A4" s="39">
        <v>111</v>
      </c>
      <c r="B4" s="38" t="s">
        <v>92</v>
      </c>
      <c r="C4" s="10" t="s">
        <v>47</v>
      </c>
      <c r="D4" s="10" t="s">
        <v>94</v>
      </c>
      <c r="E4" s="10" t="s">
        <v>9</v>
      </c>
      <c r="F4" s="10">
        <v>1490</v>
      </c>
      <c r="G4" s="10">
        <v>21.1</v>
      </c>
      <c r="H4" s="10">
        <v>1.86</v>
      </c>
      <c r="I4" s="18">
        <f t="shared" ref="I4:I30" si="0">ROUND(H4*1000/3600,2)</f>
        <v>0.52</v>
      </c>
      <c r="J4" s="10" t="s">
        <v>0</v>
      </c>
      <c r="K4" s="18">
        <v>25</v>
      </c>
      <c r="L4" s="37" t="s">
        <v>23</v>
      </c>
      <c r="M4" s="36" t="s">
        <v>93</v>
      </c>
      <c r="N4" s="19"/>
      <c r="O4" s="35" t="s">
        <v>5</v>
      </c>
      <c r="P4" s="19" t="s">
        <v>4</v>
      </c>
      <c r="Q4" s="19">
        <v>1</v>
      </c>
      <c r="R4" s="4" t="s">
        <v>3</v>
      </c>
      <c r="S4" s="4" t="s">
        <v>21</v>
      </c>
      <c r="T4" s="4" t="s">
        <v>14</v>
      </c>
      <c r="U4" s="4" t="s">
        <v>13</v>
      </c>
      <c r="V4" s="70" t="s">
        <v>188</v>
      </c>
      <c r="X4" s="10" t="s">
        <v>194</v>
      </c>
    </row>
    <row r="5" spans="1:24" x14ac:dyDescent="0.25">
      <c r="A5" s="12">
        <v>111</v>
      </c>
      <c r="B5" s="11" t="s">
        <v>92</v>
      </c>
      <c r="C5" s="7" t="s">
        <v>62</v>
      </c>
      <c r="D5" s="7" t="s">
        <v>34</v>
      </c>
      <c r="E5" s="10" t="s">
        <v>9</v>
      </c>
      <c r="F5" s="7">
        <v>600</v>
      </c>
      <c r="G5" s="7">
        <v>14</v>
      </c>
      <c r="H5" s="7">
        <v>0.74</v>
      </c>
      <c r="I5" s="18">
        <f t="shared" si="0"/>
        <v>0.21</v>
      </c>
      <c r="J5" s="76" t="s">
        <v>8</v>
      </c>
      <c r="K5" s="6">
        <v>20</v>
      </c>
      <c r="L5" s="34" t="s">
        <v>7</v>
      </c>
      <c r="M5" s="17" t="s">
        <v>90</v>
      </c>
      <c r="N5" s="14"/>
      <c r="O5" s="5" t="s">
        <v>5</v>
      </c>
      <c r="P5" s="4" t="s">
        <v>4</v>
      </c>
      <c r="Q5" s="4">
        <v>1</v>
      </c>
      <c r="R5" s="4" t="s">
        <v>3</v>
      </c>
      <c r="S5" s="3" t="s">
        <v>2</v>
      </c>
      <c r="T5" s="3" t="s">
        <v>1</v>
      </c>
      <c r="U5" s="3" t="s">
        <v>0</v>
      </c>
      <c r="V5" s="70" t="s">
        <v>189</v>
      </c>
      <c r="X5" s="10" t="s">
        <v>195</v>
      </c>
    </row>
    <row r="6" spans="1:24" x14ac:dyDescent="0.25">
      <c r="A6" s="33">
        <v>111</v>
      </c>
      <c r="B6" s="32" t="s">
        <v>91</v>
      </c>
      <c r="C6" s="15" t="s">
        <v>37</v>
      </c>
      <c r="D6" s="15" t="s">
        <v>31</v>
      </c>
      <c r="E6" s="10" t="s">
        <v>9</v>
      </c>
      <c r="F6" s="15">
        <v>290</v>
      </c>
      <c r="G6" s="15">
        <v>6.6</v>
      </c>
      <c r="H6" s="15">
        <v>0.85</v>
      </c>
      <c r="I6" s="18">
        <f t="shared" si="0"/>
        <v>0.24</v>
      </c>
      <c r="J6" s="76" t="s">
        <v>8</v>
      </c>
      <c r="K6" s="22">
        <v>20</v>
      </c>
      <c r="L6" s="31" t="s">
        <v>7</v>
      </c>
      <c r="M6" s="17" t="s">
        <v>90</v>
      </c>
      <c r="N6" s="30"/>
      <c r="O6" s="29" t="s">
        <v>5</v>
      </c>
      <c r="P6" s="28" t="s">
        <v>4</v>
      </c>
      <c r="Q6" s="28">
        <v>1</v>
      </c>
      <c r="R6" s="4" t="s">
        <v>3</v>
      </c>
      <c r="S6" s="3" t="s">
        <v>2</v>
      </c>
      <c r="T6" s="3" t="s">
        <v>1</v>
      </c>
      <c r="U6" s="3" t="s">
        <v>0</v>
      </c>
      <c r="V6" s="70" t="s">
        <v>189</v>
      </c>
      <c r="X6" s="10" t="s">
        <v>195</v>
      </c>
    </row>
    <row r="7" spans="1:24" x14ac:dyDescent="0.25">
      <c r="A7" s="12">
        <v>110</v>
      </c>
      <c r="B7" s="11" t="s">
        <v>85</v>
      </c>
      <c r="C7" s="25" t="s">
        <v>47</v>
      </c>
      <c r="D7" s="25" t="s">
        <v>89</v>
      </c>
      <c r="E7" s="10" t="s">
        <v>9</v>
      </c>
      <c r="F7" s="25">
        <v>2975</v>
      </c>
      <c r="G7" s="25">
        <v>27.9</v>
      </c>
      <c r="H7" s="25">
        <v>2.27</v>
      </c>
      <c r="I7" s="18">
        <f t="shared" si="0"/>
        <v>0.63</v>
      </c>
      <c r="J7" s="10" t="s">
        <v>0</v>
      </c>
      <c r="K7" s="23">
        <v>25</v>
      </c>
      <c r="L7" s="27" t="s">
        <v>17</v>
      </c>
      <c r="M7" s="17" t="s">
        <v>88</v>
      </c>
      <c r="N7" s="26">
        <v>45324</v>
      </c>
      <c r="O7" s="5" t="s">
        <v>5</v>
      </c>
      <c r="P7" s="4" t="s">
        <v>4</v>
      </c>
      <c r="Q7" s="4">
        <v>1</v>
      </c>
      <c r="R7" s="13" t="s">
        <v>3</v>
      </c>
      <c r="S7" s="13" t="s">
        <v>15</v>
      </c>
      <c r="T7" s="13" t="s">
        <v>14</v>
      </c>
      <c r="U7" s="13" t="s">
        <v>13</v>
      </c>
      <c r="V7" s="71" t="s">
        <v>188</v>
      </c>
      <c r="X7" s="10" t="s">
        <v>194</v>
      </c>
    </row>
    <row r="8" spans="1:24" x14ac:dyDescent="0.25">
      <c r="A8" s="12">
        <v>110</v>
      </c>
      <c r="B8" s="11" t="s">
        <v>87</v>
      </c>
      <c r="C8" s="25" t="s">
        <v>62</v>
      </c>
      <c r="D8" s="25" t="s">
        <v>67</v>
      </c>
      <c r="E8" s="10" t="s">
        <v>9</v>
      </c>
      <c r="F8" s="25">
        <v>300</v>
      </c>
      <c r="G8" s="25">
        <v>6.7</v>
      </c>
      <c r="H8" s="25">
        <v>0.76</v>
      </c>
      <c r="I8" s="18">
        <f t="shared" si="0"/>
        <v>0.21</v>
      </c>
      <c r="J8" s="76" t="s">
        <v>8</v>
      </c>
      <c r="K8" s="22">
        <v>20</v>
      </c>
      <c r="L8" s="24" t="s">
        <v>7</v>
      </c>
      <c r="M8" s="17" t="s">
        <v>86</v>
      </c>
      <c r="N8" s="26">
        <v>45321</v>
      </c>
      <c r="O8" s="5" t="s">
        <v>5</v>
      </c>
      <c r="P8" s="4" t="s">
        <v>4</v>
      </c>
      <c r="Q8" s="4">
        <v>1</v>
      </c>
      <c r="R8" s="4" t="s">
        <v>3</v>
      </c>
      <c r="S8" s="3" t="s">
        <v>2</v>
      </c>
      <c r="T8" s="3" t="s">
        <v>1</v>
      </c>
      <c r="U8" s="3" t="s">
        <v>0</v>
      </c>
      <c r="V8" s="71" t="s">
        <v>190</v>
      </c>
      <c r="X8" s="10" t="s">
        <v>195</v>
      </c>
    </row>
    <row r="9" spans="1:24" x14ac:dyDescent="0.25">
      <c r="A9" s="12">
        <v>110</v>
      </c>
      <c r="B9" s="11" t="s">
        <v>85</v>
      </c>
      <c r="C9" s="25" t="s">
        <v>37</v>
      </c>
      <c r="D9" s="25" t="s">
        <v>84</v>
      </c>
      <c r="E9" s="10" t="s">
        <v>9</v>
      </c>
      <c r="F9" s="25">
        <v>1250</v>
      </c>
      <c r="G9" s="25">
        <v>22.2</v>
      </c>
      <c r="H9" s="25">
        <v>1.5</v>
      </c>
      <c r="I9" s="18">
        <f t="shared" si="0"/>
        <v>0.42</v>
      </c>
      <c r="J9" s="10" t="s">
        <v>0</v>
      </c>
      <c r="K9" s="23">
        <v>25</v>
      </c>
      <c r="L9" s="24" t="s">
        <v>23</v>
      </c>
      <c r="M9" s="17" t="s">
        <v>83</v>
      </c>
      <c r="N9" s="26">
        <v>45321</v>
      </c>
      <c r="O9" s="5" t="s">
        <v>5</v>
      </c>
      <c r="P9" s="4" t="s">
        <v>4</v>
      </c>
      <c r="Q9" s="4">
        <v>1</v>
      </c>
      <c r="R9" s="4" t="s">
        <v>3</v>
      </c>
      <c r="S9" s="4" t="s">
        <v>21</v>
      </c>
      <c r="T9" s="4" t="s">
        <v>14</v>
      </c>
      <c r="U9" s="4" t="s">
        <v>13</v>
      </c>
      <c r="V9" s="71" t="s">
        <v>189</v>
      </c>
      <c r="X9" s="10" t="s">
        <v>194</v>
      </c>
    </row>
    <row r="10" spans="1:24" x14ac:dyDescent="0.25">
      <c r="A10" s="12">
        <v>110</v>
      </c>
      <c r="B10" s="11" t="s">
        <v>82</v>
      </c>
      <c r="C10" s="25" t="s">
        <v>35</v>
      </c>
      <c r="D10" s="25" t="s">
        <v>34</v>
      </c>
      <c r="E10" s="10" t="s">
        <v>9</v>
      </c>
      <c r="F10" s="25">
        <v>610</v>
      </c>
      <c r="G10" s="25">
        <v>14</v>
      </c>
      <c r="H10" s="25">
        <v>0.68</v>
      </c>
      <c r="I10" s="18">
        <f t="shared" si="0"/>
        <v>0.19</v>
      </c>
      <c r="J10" s="76" t="s">
        <v>8</v>
      </c>
      <c r="K10" s="22">
        <v>20</v>
      </c>
      <c r="L10" s="24" t="s">
        <v>7</v>
      </c>
      <c r="M10" s="17" t="s">
        <v>81</v>
      </c>
      <c r="N10" s="4"/>
      <c r="O10" s="5" t="s">
        <v>5</v>
      </c>
      <c r="P10" s="4" t="s">
        <v>4</v>
      </c>
      <c r="Q10" s="4">
        <v>1</v>
      </c>
      <c r="R10" s="4" t="s">
        <v>3</v>
      </c>
      <c r="S10" s="3" t="s">
        <v>2</v>
      </c>
      <c r="T10" s="3" t="s">
        <v>1</v>
      </c>
      <c r="U10" s="3" t="s">
        <v>0</v>
      </c>
      <c r="V10" s="71" t="s">
        <v>190</v>
      </c>
      <c r="X10" s="10" t="s">
        <v>195</v>
      </c>
    </row>
    <row r="11" spans="1:24" x14ac:dyDescent="0.25">
      <c r="A11" s="12" t="s">
        <v>69</v>
      </c>
      <c r="B11" s="11" t="s">
        <v>80</v>
      </c>
      <c r="C11" s="9" t="s">
        <v>47</v>
      </c>
      <c r="D11" s="9" t="s">
        <v>79</v>
      </c>
      <c r="E11" s="10" t="s">
        <v>9</v>
      </c>
      <c r="F11" s="9">
        <v>4200</v>
      </c>
      <c r="G11" s="9">
        <v>47.1</v>
      </c>
      <c r="H11" s="9">
        <v>1.97</v>
      </c>
      <c r="I11" s="18">
        <f t="shared" si="0"/>
        <v>0.55000000000000004</v>
      </c>
      <c r="J11" s="10" t="s">
        <v>0</v>
      </c>
      <c r="K11" s="23">
        <v>25</v>
      </c>
      <c r="L11" s="5" t="s">
        <v>17</v>
      </c>
      <c r="M11" s="17" t="s">
        <v>78</v>
      </c>
      <c r="N11" s="21">
        <v>45322</v>
      </c>
      <c r="O11" s="5" t="s">
        <v>5</v>
      </c>
      <c r="P11" s="4" t="s">
        <v>4</v>
      </c>
      <c r="Q11" s="4">
        <v>1</v>
      </c>
      <c r="R11" s="13" t="s">
        <v>3</v>
      </c>
      <c r="S11" s="13" t="s">
        <v>15</v>
      </c>
      <c r="T11" s="13" t="s">
        <v>14</v>
      </c>
      <c r="U11" s="13" t="s">
        <v>13</v>
      </c>
      <c r="V11" s="70" t="s">
        <v>188</v>
      </c>
      <c r="X11" s="10" t="s">
        <v>194</v>
      </c>
    </row>
    <row r="12" spans="1:24" x14ac:dyDescent="0.25">
      <c r="A12" s="12" t="s">
        <v>69</v>
      </c>
      <c r="B12" s="11" t="s">
        <v>77</v>
      </c>
      <c r="C12" s="9" t="s">
        <v>44</v>
      </c>
      <c r="D12" s="9" t="s">
        <v>76</v>
      </c>
      <c r="E12" s="19" t="s">
        <v>9</v>
      </c>
      <c r="F12" s="9">
        <v>2100</v>
      </c>
      <c r="G12" s="9">
        <v>16.7</v>
      </c>
      <c r="H12" s="9">
        <v>1.56</v>
      </c>
      <c r="I12" s="18">
        <f t="shared" si="0"/>
        <v>0.43</v>
      </c>
      <c r="J12" s="10" t="s">
        <v>0</v>
      </c>
      <c r="K12" s="8">
        <v>25</v>
      </c>
      <c r="L12" s="5" t="s">
        <v>23</v>
      </c>
      <c r="M12" s="17" t="s">
        <v>75</v>
      </c>
      <c r="N12" s="21">
        <v>45322</v>
      </c>
      <c r="O12" s="5" t="s">
        <v>5</v>
      </c>
      <c r="P12" s="4" t="s">
        <v>4</v>
      </c>
      <c r="Q12" s="4">
        <v>1</v>
      </c>
      <c r="R12" s="4" t="s">
        <v>3</v>
      </c>
      <c r="S12" s="4" t="s">
        <v>21</v>
      </c>
      <c r="T12" s="4" t="s">
        <v>14</v>
      </c>
      <c r="U12" s="4" t="s">
        <v>13</v>
      </c>
      <c r="V12" s="70" t="s">
        <v>189</v>
      </c>
      <c r="X12" s="10" t="s">
        <v>194</v>
      </c>
    </row>
    <row r="13" spans="1:24" x14ac:dyDescent="0.25">
      <c r="A13" s="12" t="s">
        <v>69</v>
      </c>
      <c r="B13" s="11" t="s">
        <v>74</v>
      </c>
      <c r="C13" s="9" t="s">
        <v>37</v>
      </c>
      <c r="D13" s="9" t="s">
        <v>73</v>
      </c>
      <c r="E13" s="19" t="s">
        <v>9</v>
      </c>
      <c r="F13" s="9">
        <v>4670</v>
      </c>
      <c r="G13" s="9">
        <v>75.599999999999994</v>
      </c>
      <c r="H13" s="9">
        <v>2.4</v>
      </c>
      <c r="I13" s="18">
        <f t="shared" si="0"/>
        <v>0.67</v>
      </c>
      <c r="J13" s="10" t="s">
        <v>0</v>
      </c>
      <c r="K13" s="8">
        <v>25</v>
      </c>
      <c r="L13" s="5" t="s">
        <v>72</v>
      </c>
      <c r="M13" s="17" t="s">
        <v>71</v>
      </c>
      <c r="N13" s="21">
        <v>45322</v>
      </c>
      <c r="O13" s="5" t="s">
        <v>5</v>
      </c>
      <c r="P13" s="4" t="s">
        <v>4</v>
      </c>
      <c r="Q13" s="4">
        <v>1</v>
      </c>
      <c r="R13" s="4" t="s">
        <v>70</v>
      </c>
      <c r="S13" s="4" t="s">
        <v>15</v>
      </c>
      <c r="T13" s="4" t="s">
        <v>14</v>
      </c>
      <c r="U13" s="4" t="s">
        <v>13</v>
      </c>
      <c r="V13" s="70" t="s">
        <v>190</v>
      </c>
      <c r="X13" s="10" t="s">
        <v>194</v>
      </c>
    </row>
    <row r="14" spans="1:24" x14ac:dyDescent="0.25">
      <c r="A14" s="12" t="s">
        <v>69</v>
      </c>
      <c r="B14" s="11" t="s">
        <v>68</v>
      </c>
      <c r="C14" s="9" t="s">
        <v>35</v>
      </c>
      <c r="D14" s="9" t="s">
        <v>67</v>
      </c>
      <c r="E14" s="19" t="s">
        <v>9</v>
      </c>
      <c r="F14" s="9">
        <v>255</v>
      </c>
      <c r="G14" s="9">
        <v>6</v>
      </c>
      <c r="H14" s="9">
        <v>0.5</v>
      </c>
      <c r="I14" s="18">
        <f t="shared" si="0"/>
        <v>0.14000000000000001</v>
      </c>
      <c r="J14" s="7" t="s">
        <v>8</v>
      </c>
      <c r="K14" s="22">
        <v>20</v>
      </c>
      <c r="L14" s="5" t="s">
        <v>7</v>
      </c>
      <c r="M14" s="17" t="s">
        <v>66</v>
      </c>
      <c r="N14" s="21">
        <v>45322</v>
      </c>
      <c r="O14" s="5" t="s">
        <v>5</v>
      </c>
      <c r="P14" s="4" t="s">
        <v>4</v>
      </c>
      <c r="Q14" s="4">
        <v>1</v>
      </c>
      <c r="R14" s="4" t="s">
        <v>3</v>
      </c>
      <c r="S14" s="3" t="s">
        <v>2</v>
      </c>
      <c r="T14" s="3" t="s">
        <v>1</v>
      </c>
      <c r="U14" s="3" t="s">
        <v>0</v>
      </c>
      <c r="V14" s="70" t="s">
        <v>197</v>
      </c>
      <c r="X14" s="10" t="s">
        <v>196</v>
      </c>
    </row>
    <row r="15" spans="1:24" x14ac:dyDescent="0.25">
      <c r="A15" s="12" t="s">
        <v>61</v>
      </c>
      <c r="B15" s="11" t="s">
        <v>65</v>
      </c>
      <c r="C15" s="9" t="s">
        <v>57</v>
      </c>
      <c r="D15" s="9" t="s">
        <v>64</v>
      </c>
      <c r="E15" s="9" t="s">
        <v>42</v>
      </c>
      <c r="F15" s="9">
        <v>2600</v>
      </c>
      <c r="G15" s="9">
        <v>46.1</v>
      </c>
      <c r="H15" s="9">
        <v>2</v>
      </c>
      <c r="I15" s="18">
        <f t="shared" si="0"/>
        <v>0.56000000000000005</v>
      </c>
      <c r="J15" s="10" t="s">
        <v>0</v>
      </c>
      <c r="K15" s="8">
        <v>25</v>
      </c>
      <c r="L15" s="5" t="s">
        <v>17</v>
      </c>
      <c r="M15" s="17" t="s">
        <v>63</v>
      </c>
      <c r="N15" s="4"/>
      <c r="O15" s="5" t="s">
        <v>5</v>
      </c>
      <c r="P15" s="4" t="s">
        <v>4</v>
      </c>
      <c r="Q15" s="4">
        <v>1</v>
      </c>
      <c r="R15" s="13" t="s">
        <v>3</v>
      </c>
      <c r="S15" s="13" t="s">
        <v>15</v>
      </c>
      <c r="T15" s="13" t="s">
        <v>14</v>
      </c>
      <c r="U15" s="13" t="s">
        <v>13</v>
      </c>
      <c r="V15" s="70" t="s">
        <v>188</v>
      </c>
      <c r="X15" s="10" t="s">
        <v>194</v>
      </c>
    </row>
    <row r="16" spans="1:24" x14ac:dyDescent="0.25">
      <c r="A16" s="12" t="s">
        <v>61</v>
      </c>
      <c r="B16" s="11" t="s">
        <v>60</v>
      </c>
      <c r="C16" s="9" t="s">
        <v>62</v>
      </c>
      <c r="D16" s="9" t="s">
        <v>59</v>
      </c>
      <c r="E16" s="19" t="s">
        <v>9</v>
      </c>
      <c r="F16" s="9">
        <v>1150</v>
      </c>
      <c r="G16" s="9">
        <v>16.899999999999999</v>
      </c>
      <c r="H16" s="9">
        <v>1.5</v>
      </c>
      <c r="I16" s="18">
        <f t="shared" si="0"/>
        <v>0.42</v>
      </c>
      <c r="J16" s="10" t="s">
        <v>0</v>
      </c>
      <c r="K16" s="8">
        <v>25</v>
      </c>
      <c r="L16" s="5" t="s">
        <v>23</v>
      </c>
      <c r="M16" s="17" t="s">
        <v>58</v>
      </c>
      <c r="N16" s="4"/>
      <c r="O16" s="5" t="s">
        <v>5</v>
      </c>
      <c r="P16" s="4" t="s">
        <v>4</v>
      </c>
      <c r="Q16" s="4">
        <v>1</v>
      </c>
      <c r="R16" s="4" t="s">
        <v>3</v>
      </c>
      <c r="S16" s="4" t="s">
        <v>21</v>
      </c>
      <c r="T16" s="4" t="s">
        <v>14</v>
      </c>
      <c r="U16" s="4" t="s">
        <v>13</v>
      </c>
      <c r="V16" s="70" t="s">
        <v>189</v>
      </c>
      <c r="X16" s="10" t="s">
        <v>194</v>
      </c>
    </row>
    <row r="17" spans="1:24" x14ac:dyDescent="0.25">
      <c r="A17" s="12" t="s">
        <v>61</v>
      </c>
      <c r="B17" s="11" t="s">
        <v>60</v>
      </c>
      <c r="C17" s="9" t="s">
        <v>37</v>
      </c>
      <c r="D17" s="9" t="s">
        <v>59</v>
      </c>
      <c r="E17" s="19" t="s">
        <v>9</v>
      </c>
      <c r="F17" s="9">
        <v>1000</v>
      </c>
      <c r="G17" s="9">
        <v>16.2</v>
      </c>
      <c r="H17" s="9">
        <v>1.48</v>
      </c>
      <c r="I17" s="18">
        <f t="shared" si="0"/>
        <v>0.41</v>
      </c>
      <c r="J17" s="10" t="s">
        <v>0</v>
      </c>
      <c r="K17" s="8">
        <v>25</v>
      </c>
      <c r="L17" s="5" t="s">
        <v>23</v>
      </c>
      <c r="M17" s="17" t="s">
        <v>58</v>
      </c>
      <c r="N17" s="4"/>
      <c r="O17" s="5" t="s">
        <v>5</v>
      </c>
      <c r="P17" s="4" t="s">
        <v>4</v>
      </c>
      <c r="Q17" s="4">
        <v>1</v>
      </c>
      <c r="R17" s="4" t="s">
        <v>3</v>
      </c>
      <c r="S17" s="4" t="s">
        <v>21</v>
      </c>
      <c r="T17" s="4" t="s">
        <v>14</v>
      </c>
      <c r="U17" s="4" t="s">
        <v>13</v>
      </c>
      <c r="V17" s="70" t="s">
        <v>189</v>
      </c>
      <c r="X17" s="10" t="s">
        <v>194</v>
      </c>
    </row>
    <row r="18" spans="1:24" x14ac:dyDescent="0.25">
      <c r="A18" s="12" t="s">
        <v>61</v>
      </c>
      <c r="B18" s="11" t="s">
        <v>60</v>
      </c>
      <c r="C18" s="9" t="s">
        <v>35</v>
      </c>
      <c r="D18" s="9" t="s">
        <v>59</v>
      </c>
      <c r="E18" s="19" t="s">
        <v>9</v>
      </c>
      <c r="F18" s="9">
        <v>700</v>
      </c>
      <c r="G18" s="9">
        <v>13.2</v>
      </c>
      <c r="H18" s="9">
        <v>1.49</v>
      </c>
      <c r="I18" s="18">
        <f t="shared" si="0"/>
        <v>0.41</v>
      </c>
      <c r="J18" s="10" t="s">
        <v>0</v>
      </c>
      <c r="K18" s="8">
        <v>25</v>
      </c>
      <c r="L18" s="5" t="s">
        <v>23</v>
      </c>
      <c r="M18" s="17" t="s">
        <v>58</v>
      </c>
      <c r="N18" s="4"/>
      <c r="O18" s="5" t="s">
        <v>5</v>
      </c>
      <c r="P18" s="4" t="s">
        <v>4</v>
      </c>
      <c r="Q18" s="4">
        <v>1</v>
      </c>
      <c r="R18" s="4" t="s">
        <v>3</v>
      </c>
      <c r="S18" s="4" t="s">
        <v>21</v>
      </c>
      <c r="T18" s="4" t="s">
        <v>14</v>
      </c>
      <c r="U18" s="4" t="s">
        <v>13</v>
      </c>
      <c r="V18" s="70" t="s">
        <v>189</v>
      </c>
      <c r="X18" s="10" t="s">
        <v>194</v>
      </c>
    </row>
    <row r="19" spans="1:24" x14ac:dyDescent="0.25">
      <c r="A19" s="12">
        <v>57</v>
      </c>
      <c r="B19" s="11" t="s">
        <v>55</v>
      </c>
      <c r="C19" s="9" t="s">
        <v>57</v>
      </c>
      <c r="D19" s="9" t="s">
        <v>56</v>
      </c>
      <c r="E19" s="9" t="s">
        <v>42</v>
      </c>
      <c r="F19" s="9">
        <v>2000</v>
      </c>
      <c r="G19" s="9">
        <v>39</v>
      </c>
      <c r="H19" s="9">
        <v>3.85</v>
      </c>
      <c r="I19" s="18">
        <f t="shared" si="0"/>
        <v>1.07</v>
      </c>
      <c r="J19" s="10" t="s">
        <v>0</v>
      </c>
      <c r="K19" s="8">
        <v>25</v>
      </c>
      <c r="L19" s="20" t="s">
        <v>17</v>
      </c>
      <c r="M19" s="17" t="s">
        <v>52</v>
      </c>
      <c r="N19" s="4"/>
      <c r="O19" s="5" t="s">
        <v>5</v>
      </c>
      <c r="P19" s="4" t="s">
        <v>4</v>
      </c>
      <c r="Q19" s="4">
        <v>1</v>
      </c>
      <c r="R19" s="13" t="s">
        <v>3</v>
      </c>
      <c r="S19" s="13" t="s">
        <v>15</v>
      </c>
      <c r="T19" s="13" t="s">
        <v>14</v>
      </c>
      <c r="U19" s="13" t="s">
        <v>13</v>
      </c>
      <c r="V19" s="70" t="s">
        <v>188</v>
      </c>
      <c r="X19" s="10" t="s">
        <v>192</v>
      </c>
    </row>
    <row r="20" spans="1:24" x14ac:dyDescent="0.25">
      <c r="A20" s="12">
        <v>57</v>
      </c>
      <c r="B20" s="11" t="s">
        <v>55</v>
      </c>
      <c r="C20" s="9" t="s">
        <v>44</v>
      </c>
      <c r="D20" s="9" t="s">
        <v>54</v>
      </c>
      <c r="E20" s="9" t="s">
        <v>53</v>
      </c>
      <c r="F20" s="9">
        <v>2950</v>
      </c>
      <c r="G20" s="9">
        <v>19.100000000000001</v>
      </c>
      <c r="H20" s="9">
        <v>3.61</v>
      </c>
      <c r="I20" s="18">
        <f t="shared" si="0"/>
        <v>1</v>
      </c>
      <c r="J20" s="10" t="s">
        <v>0</v>
      </c>
      <c r="K20" s="8">
        <v>25</v>
      </c>
      <c r="L20" s="5" t="s">
        <v>17</v>
      </c>
      <c r="M20" s="4" t="s">
        <v>52</v>
      </c>
      <c r="N20" s="4"/>
      <c r="O20" s="5" t="s">
        <v>5</v>
      </c>
      <c r="P20" s="4" t="s">
        <v>4</v>
      </c>
      <c r="Q20" s="4">
        <v>1</v>
      </c>
      <c r="R20" s="13" t="s">
        <v>3</v>
      </c>
      <c r="S20" s="13" t="s">
        <v>15</v>
      </c>
      <c r="T20" s="13" t="s">
        <v>14</v>
      </c>
      <c r="U20" s="13" t="s">
        <v>13</v>
      </c>
      <c r="V20" s="70" t="s">
        <v>188</v>
      </c>
      <c r="X20" s="10" t="s">
        <v>192</v>
      </c>
    </row>
    <row r="21" spans="1:24" x14ac:dyDescent="0.25">
      <c r="A21" s="12">
        <v>57</v>
      </c>
      <c r="B21" s="11" t="s">
        <v>51</v>
      </c>
      <c r="C21" s="9" t="s">
        <v>35</v>
      </c>
      <c r="D21" s="7" t="s">
        <v>31</v>
      </c>
      <c r="E21" s="9" t="s">
        <v>9</v>
      </c>
      <c r="F21" s="9">
        <v>375</v>
      </c>
      <c r="G21" s="9">
        <v>8</v>
      </c>
      <c r="H21" s="9">
        <v>0.85</v>
      </c>
      <c r="I21" s="18">
        <f t="shared" si="0"/>
        <v>0.24</v>
      </c>
      <c r="J21" s="7" t="s">
        <v>8</v>
      </c>
      <c r="K21" s="8">
        <v>20</v>
      </c>
      <c r="L21" s="5" t="s">
        <v>30</v>
      </c>
      <c r="M21" s="3" t="s">
        <v>50</v>
      </c>
      <c r="N21" s="14"/>
      <c r="O21" s="5" t="s">
        <v>5</v>
      </c>
      <c r="P21" s="4" t="s">
        <v>4</v>
      </c>
      <c r="Q21" s="4">
        <v>1</v>
      </c>
      <c r="R21" s="4" t="s">
        <v>3</v>
      </c>
      <c r="S21" s="4" t="s">
        <v>28</v>
      </c>
      <c r="T21" s="4" t="s">
        <v>27</v>
      </c>
      <c r="U21" s="4" t="s">
        <v>13</v>
      </c>
      <c r="V21" s="70" t="s">
        <v>189</v>
      </c>
      <c r="X21" s="7" t="s">
        <v>193</v>
      </c>
    </row>
    <row r="22" spans="1:24" x14ac:dyDescent="0.25">
      <c r="A22" s="12">
        <v>57</v>
      </c>
      <c r="B22" s="11" t="s">
        <v>48</v>
      </c>
      <c r="C22" s="9" t="s">
        <v>32</v>
      </c>
      <c r="D22" s="7" t="s">
        <v>34</v>
      </c>
      <c r="E22" s="9" t="s">
        <v>9</v>
      </c>
      <c r="F22" s="9">
        <v>490</v>
      </c>
      <c r="G22" s="9">
        <v>11.9</v>
      </c>
      <c r="H22" s="9">
        <v>0.74</v>
      </c>
      <c r="I22" s="18">
        <f t="shared" si="0"/>
        <v>0.21</v>
      </c>
      <c r="J22" s="7" t="s">
        <v>8</v>
      </c>
      <c r="K22" s="8">
        <v>20</v>
      </c>
      <c r="L22" s="5" t="s">
        <v>7</v>
      </c>
      <c r="M22" s="3" t="s">
        <v>49</v>
      </c>
      <c r="N22" s="14"/>
      <c r="O22" s="5" t="s">
        <v>5</v>
      </c>
      <c r="P22" s="4" t="s">
        <v>4</v>
      </c>
      <c r="Q22" s="4">
        <v>1</v>
      </c>
      <c r="R22" s="4" t="s">
        <v>3</v>
      </c>
      <c r="S22" s="3" t="s">
        <v>2</v>
      </c>
      <c r="T22" s="3" t="s">
        <v>1</v>
      </c>
      <c r="U22" s="3" t="s">
        <v>0</v>
      </c>
      <c r="V22" s="70" t="s">
        <v>190</v>
      </c>
      <c r="X22" s="7" t="s">
        <v>193</v>
      </c>
    </row>
    <row r="23" spans="1:24" x14ac:dyDescent="0.25">
      <c r="A23" s="12">
        <v>56</v>
      </c>
      <c r="B23" s="11" t="s">
        <v>48</v>
      </c>
      <c r="C23" s="9" t="s">
        <v>47</v>
      </c>
      <c r="D23" s="9" t="s">
        <v>46</v>
      </c>
      <c r="E23" s="9" t="s">
        <v>42</v>
      </c>
      <c r="F23" s="9">
        <v>8890</v>
      </c>
      <c r="G23" s="9">
        <v>158.1</v>
      </c>
      <c r="H23" s="9">
        <v>5.26</v>
      </c>
      <c r="I23" s="18">
        <f t="shared" si="0"/>
        <v>1.46</v>
      </c>
      <c r="J23" s="10" t="s">
        <v>45</v>
      </c>
      <c r="K23" s="8">
        <v>50</v>
      </c>
      <c r="L23" s="5" t="s">
        <v>41</v>
      </c>
      <c r="M23" s="4" t="s">
        <v>40</v>
      </c>
      <c r="N23" s="4"/>
      <c r="O23" s="5" t="s">
        <v>5</v>
      </c>
      <c r="P23" s="4" t="s">
        <v>4</v>
      </c>
      <c r="Q23" s="4">
        <v>1</v>
      </c>
      <c r="R23" s="19" t="s">
        <v>39</v>
      </c>
      <c r="S23" s="19" t="s">
        <v>38</v>
      </c>
      <c r="T23" s="19" t="s">
        <v>13</v>
      </c>
      <c r="U23" s="19" t="s">
        <v>13</v>
      </c>
      <c r="V23" s="70" t="s">
        <v>188</v>
      </c>
      <c r="X23" s="10" t="s">
        <v>200</v>
      </c>
    </row>
    <row r="24" spans="1:24" x14ac:dyDescent="0.25">
      <c r="A24" s="12">
        <v>56</v>
      </c>
      <c r="B24" s="11" t="s">
        <v>26</v>
      </c>
      <c r="C24" s="9" t="s">
        <v>44</v>
      </c>
      <c r="D24" s="9" t="s">
        <v>43</v>
      </c>
      <c r="E24" s="9" t="s">
        <v>42</v>
      </c>
      <c r="F24" s="9">
        <v>5935</v>
      </c>
      <c r="G24" s="9">
        <v>107.4</v>
      </c>
      <c r="H24" s="9">
        <v>4.9400000000000004</v>
      </c>
      <c r="I24" s="18">
        <f t="shared" si="0"/>
        <v>1.37</v>
      </c>
      <c r="J24" s="10" t="s">
        <v>0</v>
      </c>
      <c r="K24" s="8">
        <v>25</v>
      </c>
      <c r="L24" s="5" t="s">
        <v>41</v>
      </c>
      <c r="M24" s="4" t="s">
        <v>40</v>
      </c>
      <c r="N24" s="4"/>
      <c r="O24" s="5" t="s">
        <v>5</v>
      </c>
      <c r="P24" s="4" t="s">
        <v>4</v>
      </c>
      <c r="Q24" s="4">
        <v>1</v>
      </c>
      <c r="R24" s="4" t="s">
        <v>39</v>
      </c>
      <c r="S24" s="4" t="s">
        <v>38</v>
      </c>
      <c r="T24" s="4" t="s">
        <v>13</v>
      </c>
      <c r="U24" s="4" t="s">
        <v>13</v>
      </c>
      <c r="V24" s="70" t="s">
        <v>189</v>
      </c>
      <c r="X24" s="10" t="s">
        <v>201</v>
      </c>
    </row>
    <row r="25" spans="1:24" x14ac:dyDescent="0.25">
      <c r="A25" s="12">
        <v>56</v>
      </c>
      <c r="B25" s="11" t="s">
        <v>20</v>
      </c>
      <c r="C25" s="9" t="s">
        <v>37</v>
      </c>
      <c r="D25" s="15" t="s">
        <v>36</v>
      </c>
      <c r="E25" s="9" t="s">
        <v>9</v>
      </c>
      <c r="F25" s="9">
        <v>2195</v>
      </c>
      <c r="G25" s="9">
        <v>36.799999999999997</v>
      </c>
      <c r="H25" s="9">
        <v>1.56</v>
      </c>
      <c r="I25" s="18">
        <f t="shared" si="0"/>
        <v>0.43</v>
      </c>
      <c r="J25" s="10" t="s">
        <v>0</v>
      </c>
      <c r="K25" s="8">
        <v>25</v>
      </c>
      <c r="L25" s="5" t="s">
        <v>23</v>
      </c>
      <c r="M25" s="4" t="s">
        <v>22</v>
      </c>
      <c r="N25" s="4"/>
      <c r="O25" s="5" t="s">
        <v>5</v>
      </c>
      <c r="P25" s="4" t="s">
        <v>4</v>
      </c>
      <c r="Q25" s="4">
        <v>1</v>
      </c>
      <c r="R25" s="4" t="s">
        <v>3</v>
      </c>
      <c r="S25" s="4" t="s">
        <v>21</v>
      </c>
      <c r="T25" s="4" t="s">
        <v>14</v>
      </c>
      <c r="U25" s="4" t="s">
        <v>13</v>
      </c>
      <c r="V25" s="70" t="s">
        <v>197</v>
      </c>
      <c r="X25" s="10" t="s">
        <v>202</v>
      </c>
    </row>
    <row r="26" spans="1:24" x14ac:dyDescent="0.25">
      <c r="A26" s="12">
        <v>56</v>
      </c>
      <c r="B26" s="11" t="s">
        <v>20</v>
      </c>
      <c r="C26" s="9" t="s">
        <v>35</v>
      </c>
      <c r="D26" s="7" t="s">
        <v>34</v>
      </c>
      <c r="E26" s="19" t="s">
        <v>9</v>
      </c>
      <c r="F26" s="9">
        <v>440</v>
      </c>
      <c r="G26" s="9">
        <v>11.2</v>
      </c>
      <c r="H26" s="9">
        <v>0.48</v>
      </c>
      <c r="I26" s="18">
        <f t="shared" si="0"/>
        <v>0.13</v>
      </c>
      <c r="J26" s="7" t="s">
        <v>8</v>
      </c>
      <c r="K26" s="6">
        <v>20</v>
      </c>
      <c r="L26" s="5" t="s">
        <v>7</v>
      </c>
      <c r="M26" s="3" t="s">
        <v>6</v>
      </c>
      <c r="N26" s="4"/>
      <c r="O26" s="5" t="s">
        <v>5</v>
      </c>
      <c r="P26" s="4" t="s">
        <v>4</v>
      </c>
      <c r="Q26" s="4">
        <v>1</v>
      </c>
      <c r="R26" s="4" t="s">
        <v>3</v>
      </c>
      <c r="S26" s="3" t="s">
        <v>2</v>
      </c>
      <c r="T26" s="3" t="s">
        <v>1</v>
      </c>
      <c r="U26" s="3" t="s">
        <v>0</v>
      </c>
      <c r="V26" s="70" t="s">
        <v>199</v>
      </c>
      <c r="X26" s="10" t="s">
        <v>203</v>
      </c>
    </row>
    <row r="27" spans="1:24" x14ac:dyDescent="0.25">
      <c r="A27" s="12">
        <v>56</v>
      </c>
      <c r="B27" s="11" t="s">
        <v>33</v>
      </c>
      <c r="C27" s="9" t="s">
        <v>32</v>
      </c>
      <c r="D27" s="7" t="s">
        <v>31</v>
      </c>
      <c r="E27" s="19" t="s">
        <v>9</v>
      </c>
      <c r="F27" s="9">
        <v>380</v>
      </c>
      <c r="G27" s="9">
        <v>8.3000000000000007</v>
      </c>
      <c r="H27" s="9">
        <v>0.67</v>
      </c>
      <c r="I27" s="18">
        <f t="shared" si="0"/>
        <v>0.19</v>
      </c>
      <c r="J27" s="7" t="s">
        <v>8</v>
      </c>
      <c r="K27" s="6">
        <v>20</v>
      </c>
      <c r="L27" s="5" t="s">
        <v>30</v>
      </c>
      <c r="M27" s="17" t="s">
        <v>29</v>
      </c>
      <c r="N27" s="16">
        <v>45322</v>
      </c>
      <c r="O27" s="5" t="s">
        <v>5</v>
      </c>
      <c r="P27" s="4" t="s">
        <v>4</v>
      </c>
      <c r="Q27" s="4">
        <v>1</v>
      </c>
      <c r="R27" s="4" t="s">
        <v>3</v>
      </c>
      <c r="S27" s="4" t="s">
        <v>28</v>
      </c>
      <c r="T27" s="4" t="s">
        <v>27</v>
      </c>
      <c r="U27" s="4" t="s">
        <v>13</v>
      </c>
      <c r="V27" s="71" t="s">
        <v>198</v>
      </c>
      <c r="X27" s="10" t="s">
        <v>203</v>
      </c>
    </row>
    <row r="28" spans="1:24" x14ac:dyDescent="0.25">
      <c r="A28" s="12">
        <v>56</v>
      </c>
      <c r="B28" s="2" t="s">
        <v>26</v>
      </c>
      <c r="C28" s="9" t="s">
        <v>25</v>
      </c>
      <c r="D28" s="15" t="s">
        <v>24</v>
      </c>
      <c r="E28" s="19" t="s">
        <v>9</v>
      </c>
      <c r="F28" s="9">
        <v>1420</v>
      </c>
      <c r="G28" s="9">
        <v>25.5</v>
      </c>
      <c r="H28" s="9">
        <v>1.57</v>
      </c>
      <c r="I28" s="8">
        <f t="shared" si="0"/>
        <v>0.44</v>
      </c>
      <c r="J28" s="10" t="s">
        <v>0</v>
      </c>
      <c r="K28" s="8">
        <v>25</v>
      </c>
      <c r="L28" s="5" t="s">
        <v>23</v>
      </c>
      <c r="M28" s="3" t="s">
        <v>22</v>
      </c>
      <c r="N28" s="4"/>
      <c r="O28" s="5" t="s">
        <v>5</v>
      </c>
      <c r="P28" s="4" t="s">
        <v>4</v>
      </c>
      <c r="Q28" s="4">
        <v>1</v>
      </c>
      <c r="R28" s="4" t="s">
        <v>3</v>
      </c>
      <c r="S28" s="4" t="s">
        <v>21</v>
      </c>
      <c r="T28" s="4" t="s">
        <v>14</v>
      </c>
      <c r="U28" s="4" t="s">
        <v>13</v>
      </c>
      <c r="V28" s="70" t="s">
        <v>197</v>
      </c>
      <c r="X28" s="10" t="s">
        <v>202</v>
      </c>
    </row>
    <row r="29" spans="1:24" x14ac:dyDescent="0.25">
      <c r="A29" s="12">
        <v>56</v>
      </c>
      <c r="B29" s="11" t="s">
        <v>20</v>
      </c>
      <c r="C29" s="9" t="s">
        <v>19</v>
      </c>
      <c r="D29" s="15" t="s">
        <v>18</v>
      </c>
      <c r="E29" s="19" t="s">
        <v>9</v>
      </c>
      <c r="F29" s="9">
        <v>2725</v>
      </c>
      <c r="G29" s="9">
        <v>43.5</v>
      </c>
      <c r="H29" s="9">
        <v>1.88</v>
      </c>
      <c r="I29" s="8">
        <f t="shared" si="0"/>
        <v>0.52</v>
      </c>
      <c r="J29" s="10" t="s">
        <v>0</v>
      </c>
      <c r="K29" s="8">
        <v>25</v>
      </c>
      <c r="L29" s="5" t="s">
        <v>17</v>
      </c>
      <c r="M29" s="3" t="s">
        <v>16</v>
      </c>
      <c r="N29" s="14"/>
      <c r="O29" s="5" t="s">
        <v>5</v>
      </c>
      <c r="P29" s="4" t="s">
        <v>4</v>
      </c>
      <c r="Q29" s="4">
        <v>1</v>
      </c>
      <c r="R29" s="13" t="s">
        <v>3</v>
      </c>
      <c r="S29" s="13" t="s">
        <v>15</v>
      </c>
      <c r="T29" s="13" t="s">
        <v>14</v>
      </c>
      <c r="U29" s="13" t="s">
        <v>13</v>
      </c>
      <c r="V29" s="70" t="s">
        <v>190</v>
      </c>
      <c r="X29" s="10" t="s">
        <v>0</v>
      </c>
    </row>
    <row r="30" spans="1:24" x14ac:dyDescent="0.25">
      <c r="A30" s="12">
        <v>56</v>
      </c>
      <c r="B30" s="11" t="s">
        <v>12</v>
      </c>
      <c r="C30" s="9" t="s">
        <v>11</v>
      </c>
      <c r="D30" s="7" t="s">
        <v>10</v>
      </c>
      <c r="E30" s="19" t="s">
        <v>9</v>
      </c>
      <c r="F30" s="9">
        <v>770</v>
      </c>
      <c r="G30" s="9">
        <v>17.3</v>
      </c>
      <c r="H30" s="9">
        <v>0.49</v>
      </c>
      <c r="I30" s="8">
        <f t="shared" si="0"/>
        <v>0.14000000000000001</v>
      </c>
      <c r="J30" s="7" t="s">
        <v>8</v>
      </c>
      <c r="K30" s="6">
        <v>20</v>
      </c>
      <c r="L30" s="5" t="s">
        <v>7</v>
      </c>
      <c r="M30" s="3" t="s">
        <v>6</v>
      </c>
      <c r="N30" s="4"/>
      <c r="O30" s="5" t="s">
        <v>5</v>
      </c>
      <c r="P30" s="4" t="s">
        <v>4</v>
      </c>
      <c r="Q30" s="4">
        <v>1</v>
      </c>
      <c r="R30" s="4" t="s">
        <v>3</v>
      </c>
      <c r="S30" s="3" t="s">
        <v>2</v>
      </c>
      <c r="T30" s="3" t="s">
        <v>1</v>
      </c>
      <c r="U30" s="3" t="s">
        <v>0</v>
      </c>
      <c r="V30" s="70" t="s">
        <v>199</v>
      </c>
      <c r="X30" s="10" t="s">
        <v>203</v>
      </c>
    </row>
  </sheetData>
  <autoFilter ref="A3:X30"/>
  <mergeCells count="4">
    <mergeCell ref="L1:Q1"/>
    <mergeCell ref="J2:K2"/>
    <mergeCell ref="C1:K1"/>
    <mergeCell ref="H2:I2"/>
  </mergeCells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A2" sqref="A2"/>
    </sheetView>
  </sheetViews>
  <sheetFormatPr defaultRowHeight="13.8" x14ac:dyDescent="0.25"/>
  <cols>
    <col min="1" max="1" width="8.88671875" style="52" customWidth="1"/>
    <col min="2" max="2" width="13.5546875" customWidth="1"/>
    <col min="3" max="3" width="43.33203125" customWidth="1"/>
    <col min="4" max="4" width="11.44140625" customWidth="1"/>
    <col min="6" max="6" width="12.33203125" customWidth="1"/>
  </cols>
  <sheetData>
    <row r="1" spans="1:12" x14ac:dyDescent="0.25">
      <c r="A1" s="52" t="s">
        <v>208</v>
      </c>
    </row>
    <row r="2" spans="1:12" x14ac:dyDescent="0.25">
      <c r="A2" s="54" t="s">
        <v>118</v>
      </c>
      <c r="B2" s="55" t="s">
        <v>119</v>
      </c>
      <c r="C2" s="55" t="s">
        <v>120</v>
      </c>
      <c r="D2" s="57" t="s">
        <v>160</v>
      </c>
      <c r="E2" s="55" t="s">
        <v>121</v>
      </c>
      <c r="F2" s="55" t="s">
        <v>122</v>
      </c>
      <c r="H2" s="53"/>
      <c r="I2" s="53"/>
      <c r="J2" s="53"/>
      <c r="K2" s="53"/>
    </row>
    <row r="3" spans="1:12" ht="27.6" x14ac:dyDescent="0.25">
      <c r="A3" s="54">
        <v>1</v>
      </c>
      <c r="B3" s="55"/>
      <c r="C3" s="56" t="s">
        <v>140</v>
      </c>
      <c r="D3" s="57"/>
      <c r="E3" s="55"/>
      <c r="F3" s="55"/>
      <c r="H3" s="53"/>
      <c r="I3" s="53"/>
      <c r="J3" s="53"/>
      <c r="K3" s="53"/>
      <c r="L3" s="53"/>
    </row>
    <row r="4" spans="1:12" x14ac:dyDescent="0.25">
      <c r="A4" s="54" t="s">
        <v>123</v>
      </c>
      <c r="B4" s="55"/>
      <c r="C4" s="55" t="s">
        <v>141</v>
      </c>
      <c r="D4" s="57">
        <v>2</v>
      </c>
      <c r="E4" s="55"/>
      <c r="F4" s="55"/>
      <c r="H4" s="53"/>
      <c r="I4" s="53"/>
      <c r="J4" s="53"/>
      <c r="K4" s="53"/>
      <c r="L4" s="53"/>
    </row>
    <row r="5" spans="1:12" x14ac:dyDescent="0.25">
      <c r="A5" s="54" t="s">
        <v>124</v>
      </c>
      <c r="B5" s="55"/>
      <c r="C5" s="55" t="s">
        <v>142</v>
      </c>
      <c r="D5" s="57">
        <v>1</v>
      </c>
      <c r="E5" s="55"/>
      <c r="F5" s="55"/>
      <c r="H5" s="53"/>
      <c r="I5" s="53"/>
      <c r="J5" s="53"/>
      <c r="K5" s="53"/>
      <c r="L5" s="53"/>
    </row>
    <row r="6" spans="1:12" x14ac:dyDescent="0.25">
      <c r="A6" s="54" t="s">
        <v>125</v>
      </c>
      <c r="B6" s="55"/>
      <c r="C6" s="55" t="s">
        <v>101</v>
      </c>
      <c r="D6" s="57">
        <v>1</v>
      </c>
      <c r="E6" s="55"/>
      <c r="F6" s="55"/>
      <c r="H6" s="53"/>
      <c r="I6" s="53"/>
      <c r="J6" s="53"/>
      <c r="K6" s="53"/>
      <c r="L6" s="53"/>
    </row>
    <row r="7" spans="1:12" x14ac:dyDescent="0.25">
      <c r="A7" s="54" t="s">
        <v>126</v>
      </c>
      <c r="B7" s="55"/>
      <c r="C7" s="55" t="s">
        <v>143</v>
      </c>
      <c r="D7" s="57">
        <v>1</v>
      </c>
      <c r="E7" s="55"/>
      <c r="F7" s="55"/>
      <c r="H7" s="53"/>
      <c r="I7" s="53"/>
      <c r="J7" s="53"/>
      <c r="K7" s="53"/>
      <c r="L7" s="53"/>
    </row>
    <row r="8" spans="1:12" x14ac:dyDescent="0.25">
      <c r="A8" s="54" t="s">
        <v>127</v>
      </c>
      <c r="B8" s="55"/>
      <c r="C8" s="55" t="s">
        <v>144</v>
      </c>
      <c r="D8" s="57">
        <v>1</v>
      </c>
      <c r="E8" s="55"/>
      <c r="F8" s="55"/>
      <c r="H8" s="53"/>
      <c r="I8" s="53"/>
      <c r="J8" s="53"/>
      <c r="K8" s="53"/>
      <c r="L8" s="53"/>
    </row>
    <row r="9" spans="1:12" x14ac:dyDescent="0.25">
      <c r="A9" s="54" t="s">
        <v>128</v>
      </c>
      <c r="B9" s="55"/>
      <c r="C9" s="60" t="s">
        <v>145</v>
      </c>
      <c r="D9" s="57">
        <v>1</v>
      </c>
      <c r="E9" s="55"/>
      <c r="F9" s="55"/>
      <c r="G9" s="59"/>
      <c r="H9" s="53"/>
      <c r="I9" s="53"/>
      <c r="J9" s="53"/>
      <c r="K9" s="53"/>
      <c r="L9" s="53"/>
    </row>
    <row r="10" spans="1:12" ht="27.6" x14ac:dyDescent="0.25">
      <c r="A10" s="54" t="s">
        <v>129</v>
      </c>
      <c r="B10" s="55"/>
      <c r="C10" s="61" t="s">
        <v>146</v>
      </c>
      <c r="D10" s="57">
        <v>1</v>
      </c>
      <c r="E10" s="55"/>
      <c r="F10" s="55"/>
      <c r="G10" s="59"/>
      <c r="H10" s="53"/>
      <c r="I10" s="53"/>
      <c r="J10" s="53"/>
      <c r="K10" s="53"/>
      <c r="L10" s="53"/>
    </row>
    <row r="11" spans="1:12" x14ac:dyDescent="0.25">
      <c r="A11" s="54" t="s">
        <v>130</v>
      </c>
      <c r="B11" s="55" t="s">
        <v>148</v>
      </c>
      <c r="C11" s="60" t="s">
        <v>157</v>
      </c>
      <c r="D11" s="62">
        <v>4</v>
      </c>
      <c r="E11" s="60"/>
      <c r="F11" s="60"/>
      <c r="G11" s="58"/>
      <c r="H11" s="53"/>
      <c r="I11" s="53"/>
      <c r="J11" s="53"/>
      <c r="K11" s="53"/>
      <c r="L11" s="53"/>
    </row>
    <row r="12" spans="1:12" x14ac:dyDescent="0.25">
      <c r="A12" s="54" t="s">
        <v>131</v>
      </c>
      <c r="B12" s="55" t="s">
        <v>149</v>
      </c>
      <c r="C12" s="60" t="s">
        <v>147</v>
      </c>
      <c r="D12" s="62">
        <v>1</v>
      </c>
      <c r="E12" s="60"/>
      <c r="F12" s="60"/>
      <c r="G12" s="58"/>
      <c r="H12" s="53"/>
      <c r="I12" s="53"/>
      <c r="J12" s="53"/>
      <c r="K12" s="53"/>
      <c r="L12" s="53"/>
    </row>
    <row r="13" spans="1:12" x14ac:dyDescent="0.25">
      <c r="A13" s="54" t="s">
        <v>132</v>
      </c>
      <c r="B13" s="55" t="s">
        <v>150</v>
      </c>
      <c r="C13" s="60" t="s">
        <v>156</v>
      </c>
      <c r="D13" s="62">
        <v>2</v>
      </c>
      <c r="E13" s="60"/>
      <c r="F13" s="60"/>
      <c r="G13" s="58"/>
      <c r="H13" s="53"/>
      <c r="I13" s="53"/>
      <c r="J13" s="53"/>
      <c r="K13" s="53"/>
      <c r="L13" s="53"/>
    </row>
    <row r="14" spans="1:12" x14ac:dyDescent="0.25">
      <c r="A14" s="54" t="s">
        <v>133</v>
      </c>
      <c r="B14" s="55"/>
      <c r="C14" s="60" t="s">
        <v>159</v>
      </c>
      <c r="D14" s="62">
        <v>1</v>
      </c>
      <c r="E14" s="60"/>
      <c r="F14" s="60"/>
      <c r="G14" s="58"/>
      <c r="H14" s="53"/>
      <c r="I14" s="53"/>
      <c r="J14" s="53"/>
      <c r="K14" s="53"/>
      <c r="L14" s="53"/>
    </row>
    <row r="15" spans="1:12" x14ac:dyDescent="0.25">
      <c r="A15" s="54" t="s">
        <v>134</v>
      </c>
      <c r="B15" s="55"/>
      <c r="C15" s="60" t="s">
        <v>151</v>
      </c>
      <c r="D15" s="62">
        <v>9</v>
      </c>
      <c r="E15" s="60"/>
      <c r="F15" s="60"/>
      <c r="G15" s="58"/>
      <c r="H15" s="53"/>
      <c r="I15" s="53"/>
      <c r="J15" s="53"/>
      <c r="K15" s="53"/>
      <c r="L15" s="53"/>
    </row>
    <row r="16" spans="1:12" x14ac:dyDescent="0.25">
      <c r="A16" s="54" t="s">
        <v>135</v>
      </c>
      <c r="B16" s="55"/>
      <c r="C16" s="60" t="s">
        <v>152</v>
      </c>
      <c r="D16" s="62">
        <v>3</v>
      </c>
      <c r="E16" s="60"/>
      <c r="F16" s="60"/>
      <c r="G16" s="58"/>
      <c r="H16" s="53"/>
      <c r="I16" s="53"/>
      <c r="J16" s="53"/>
      <c r="K16" s="53"/>
      <c r="L16" s="53"/>
    </row>
    <row r="17" spans="1:12" x14ac:dyDescent="0.25">
      <c r="A17" s="54" t="s">
        <v>136</v>
      </c>
      <c r="B17" s="55"/>
      <c r="C17" s="60" t="s">
        <v>153</v>
      </c>
      <c r="D17" s="62">
        <v>6</v>
      </c>
      <c r="E17" s="60"/>
      <c r="F17" s="60"/>
      <c r="G17" s="58"/>
      <c r="H17" s="53"/>
      <c r="I17" s="53"/>
      <c r="J17" s="53"/>
      <c r="K17" s="53"/>
      <c r="L17" s="53"/>
    </row>
    <row r="18" spans="1:12" x14ac:dyDescent="0.25">
      <c r="A18" s="54" t="s">
        <v>137</v>
      </c>
      <c r="B18" s="55"/>
      <c r="C18" s="60" t="s">
        <v>158</v>
      </c>
      <c r="D18" s="62">
        <v>3</v>
      </c>
      <c r="E18" s="60"/>
      <c r="F18" s="60" t="s">
        <v>161</v>
      </c>
      <c r="G18" s="58"/>
      <c r="H18" s="53"/>
      <c r="I18" s="53"/>
      <c r="J18" s="53"/>
      <c r="K18" s="53"/>
      <c r="L18" s="53"/>
    </row>
    <row r="19" spans="1:12" x14ac:dyDescent="0.25">
      <c r="A19" s="54" t="s">
        <v>138</v>
      </c>
      <c r="B19" s="55"/>
      <c r="C19" s="60" t="s">
        <v>154</v>
      </c>
      <c r="D19" s="62">
        <v>4</v>
      </c>
      <c r="E19" s="60"/>
      <c r="F19" s="60"/>
      <c r="H19" s="53"/>
      <c r="I19" s="53"/>
      <c r="J19" s="53"/>
      <c r="K19" s="53"/>
      <c r="L19" s="53"/>
    </row>
    <row r="20" spans="1:12" x14ac:dyDescent="0.25">
      <c r="A20" s="54" t="s">
        <v>139</v>
      </c>
      <c r="B20" s="55"/>
      <c r="C20" s="60" t="s">
        <v>155</v>
      </c>
      <c r="D20" s="62">
        <v>7</v>
      </c>
      <c r="E20" s="60"/>
      <c r="F20" s="60"/>
      <c r="H20" s="53"/>
      <c r="I20" s="53"/>
      <c r="J20" s="53"/>
      <c r="K20" s="53"/>
      <c r="L20" s="53"/>
    </row>
    <row r="21" spans="1:12" x14ac:dyDescent="0.25">
      <c r="D21" s="5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13" workbookViewId="0">
      <selection activeCell="E11" sqref="E11:F11"/>
    </sheetView>
  </sheetViews>
  <sheetFormatPr defaultRowHeight="13.8" x14ac:dyDescent="0.25"/>
  <cols>
    <col min="1" max="1" width="8.88671875" style="52" customWidth="1"/>
    <col min="2" max="2" width="13.5546875" customWidth="1"/>
    <col min="3" max="3" width="43.33203125" customWidth="1"/>
    <col min="4" max="6" width="7.5546875" customWidth="1"/>
    <col min="7" max="7" width="7.77734375" customWidth="1"/>
    <col min="9" max="9" width="25.109375" customWidth="1"/>
  </cols>
  <sheetData>
    <row r="1" spans="1:15" x14ac:dyDescent="0.25">
      <c r="A1" s="89" t="s">
        <v>209</v>
      </c>
      <c r="B1" s="89"/>
      <c r="C1" s="89"/>
      <c r="D1" s="89"/>
      <c r="E1" s="89"/>
      <c r="F1" s="89"/>
      <c r="G1" s="89"/>
      <c r="H1" s="89"/>
      <c r="I1" s="89"/>
    </row>
    <row r="2" spans="1:15" ht="26.4" customHeight="1" x14ac:dyDescent="0.25">
      <c r="A2" s="86" t="s">
        <v>118</v>
      </c>
      <c r="B2" s="93" t="s">
        <v>119</v>
      </c>
      <c r="C2" s="93" t="s">
        <v>120</v>
      </c>
      <c r="D2" s="90" t="s">
        <v>165</v>
      </c>
      <c r="E2" s="91"/>
      <c r="F2" s="91"/>
      <c r="G2" s="92"/>
      <c r="H2" s="64" t="s">
        <v>121</v>
      </c>
      <c r="I2" s="64" t="s">
        <v>122</v>
      </c>
      <c r="K2" s="53"/>
      <c r="L2" s="53"/>
      <c r="M2" s="53"/>
      <c r="N2" s="53"/>
    </row>
    <row r="3" spans="1:15" ht="26.4" customHeight="1" x14ac:dyDescent="0.25">
      <c r="A3" s="88"/>
      <c r="B3" s="94"/>
      <c r="C3" s="94"/>
      <c r="D3" s="63" t="s">
        <v>167</v>
      </c>
      <c r="E3" s="63" t="s">
        <v>168</v>
      </c>
      <c r="F3" s="63" t="s">
        <v>169</v>
      </c>
      <c r="G3" s="57" t="s">
        <v>166</v>
      </c>
      <c r="H3" s="55"/>
      <c r="I3" s="55"/>
      <c r="K3" s="53"/>
      <c r="L3" s="53"/>
      <c r="M3" s="53"/>
      <c r="N3" s="53"/>
    </row>
    <row r="4" spans="1:15" ht="26.4" customHeight="1" x14ac:dyDescent="0.25">
      <c r="A4" s="54"/>
      <c r="B4" s="55"/>
      <c r="C4" s="65" t="s">
        <v>210</v>
      </c>
      <c r="D4" s="66">
        <v>2</v>
      </c>
      <c r="E4" s="66">
        <v>1</v>
      </c>
      <c r="F4" s="66">
        <v>1</v>
      </c>
      <c r="G4" s="63">
        <f>SUM(D4:F4)</f>
        <v>4</v>
      </c>
      <c r="H4" s="55"/>
      <c r="I4" s="55"/>
      <c r="K4" s="53"/>
      <c r="L4" s="53"/>
      <c r="M4" s="53"/>
      <c r="N4" s="53"/>
    </row>
    <row r="5" spans="1:15" ht="26.4" customHeight="1" x14ac:dyDescent="0.25">
      <c r="A5" s="54"/>
      <c r="B5" s="55"/>
      <c r="C5" s="55"/>
      <c r="D5" s="66"/>
      <c r="E5" s="66"/>
      <c r="F5" s="66"/>
      <c r="G5" s="66"/>
      <c r="H5" s="55"/>
      <c r="I5" s="55"/>
      <c r="K5" s="53"/>
      <c r="L5" s="53"/>
      <c r="M5" s="53"/>
      <c r="N5" s="53"/>
    </row>
    <row r="6" spans="1:15" ht="26.4" customHeight="1" x14ac:dyDescent="0.25">
      <c r="A6" s="54"/>
      <c r="B6" s="55"/>
      <c r="C6" s="68" t="s">
        <v>171</v>
      </c>
      <c r="D6" s="66"/>
      <c r="E6" s="66"/>
      <c r="F6" s="66"/>
      <c r="G6" s="66"/>
      <c r="H6" s="55"/>
      <c r="I6" s="55"/>
      <c r="K6" s="53"/>
      <c r="L6" s="53"/>
      <c r="M6" s="53"/>
      <c r="N6" s="53"/>
    </row>
    <row r="7" spans="1:15" ht="27.6" x14ac:dyDescent="0.25">
      <c r="A7" s="86">
        <v>1</v>
      </c>
      <c r="B7" s="55"/>
      <c r="C7" s="56" t="s">
        <v>170</v>
      </c>
      <c r="D7" s="66">
        <v>1</v>
      </c>
      <c r="E7" s="66"/>
      <c r="F7" s="66"/>
      <c r="G7" s="66">
        <f>$D$4*D7+$E$4*E7+$F$4*F7</f>
        <v>2</v>
      </c>
      <c r="H7" s="55"/>
      <c r="I7" s="65"/>
      <c r="J7" s="59"/>
      <c r="K7" s="53"/>
      <c r="L7" s="53"/>
      <c r="M7" s="53"/>
      <c r="N7" s="53"/>
      <c r="O7" s="53"/>
    </row>
    <row r="8" spans="1:15" ht="27.6" x14ac:dyDescent="0.25">
      <c r="A8" s="87"/>
      <c r="B8" s="55"/>
      <c r="C8" s="56" t="s">
        <v>172</v>
      </c>
      <c r="D8" s="66"/>
      <c r="E8" s="66">
        <v>1</v>
      </c>
      <c r="F8" s="66"/>
      <c r="G8" s="66">
        <f t="shared" ref="G8:G25" si="0">$D$4*D8+$E$4*E8+$F$4*F8</f>
        <v>1</v>
      </c>
      <c r="H8" s="55"/>
      <c r="I8" s="65"/>
      <c r="J8" s="59"/>
      <c r="K8" s="53"/>
      <c r="L8" s="53"/>
      <c r="M8" s="53"/>
      <c r="N8" s="53"/>
      <c r="O8" s="53"/>
    </row>
    <row r="9" spans="1:15" ht="27.6" x14ac:dyDescent="0.25">
      <c r="A9" s="88"/>
      <c r="B9" s="55"/>
      <c r="C9" s="56" t="s">
        <v>173</v>
      </c>
      <c r="D9" s="66"/>
      <c r="E9" s="66"/>
      <c r="F9" s="66">
        <v>1</v>
      </c>
      <c r="G9" s="66">
        <f t="shared" si="0"/>
        <v>1</v>
      </c>
      <c r="H9" s="55"/>
      <c r="I9" s="65"/>
      <c r="J9" s="59"/>
      <c r="K9" s="53"/>
      <c r="L9" s="53"/>
      <c r="M9" s="53"/>
      <c r="N9" s="53"/>
      <c r="O9" s="53"/>
    </row>
    <row r="10" spans="1:15" x14ac:dyDescent="0.25">
      <c r="A10" s="86" t="s">
        <v>128</v>
      </c>
      <c r="B10" s="55"/>
      <c r="C10" s="60" t="s">
        <v>174</v>
      </c>
      <c r="D10" s="66">
        <v>1</v>
      </c>
      <c r="E10" s="66"/>
      <c r="F10" s="66"/>
      <c r="G10" s="66">
        <f t="shared" si="0"/>
        <v>2</v>
      </c>
      <c r="H10" s="55"/>
      <c r="I10" s="55"/>
      <c r="J10" s="59"/>
      <c r="K10" s="53"/>
      <c r="L10" s="53"/>
      <c r="M10" s="53"/>
      <c r="N10" s="53"/>
      <c r="O10" s="53"/>
    </row>
    <row r="11" spans="1:15" x14ac:dyDescent="0.25">
      <c r="A11" s="88"/>
      <c r="B11" s="55"/>
      <c r="C11" s="60" t="s">
        <v>175</v>
      </c>
      <c r="D11" s="66"/>
      <c r="E11" s="66">
        <v>1</v>
      </c>
      <c r="F11" s="66">
        <v>1</v>
      </c>
      <c r="G11" s="66">
        <f t="shared" si="0"/>
        <v>2</v>
      </c>
      <c r="H11" s="55"/>
      <c r="I11" s="55"/>
      <c r="J11" s="59"/>
      <c r="K11" s="53"/>
      <c r="L11" s="53"/>
      <c r="M11" s="53"/>
      <c r="N11" s="53"/>
      <c r="O11" s="53"/>
    </row>
    <row r="12" spans="1:15" ht="27.6" x14ac:dyDescent="0.25">
      <c r="A12" s="86" t="s">
        <v>129</v>
      </c>
      <c r="B12" s="55"/>
      <c r="C12" s="61" t="s">
        <v>176</v>
      </c>
      <c r="D12" s="66">
        <v>1</v>
      </c>
      <c r="E12" s="66"/>
      <c r="F12" s="66"/>
      <c r="G12" s="66">
        <f t="shared" si="0"/>
        <v>2</v>
      </c>
      <c r="H12" s="55"/>
      <c r="I12" s="55"/>
      <c r="J12" s="59"/>
      <c r="K12" s="53"/>
      <c r="L12" s="53"/>
      <c r="M12" s="53"/>
      <c r="N12" s="53"/>
      <c r="O12" s="53"/>
    </row>
    <row r="13" spans="1:15" ht="27.6" x14ac:dyDescent="0.25">
      <c r="A13" s="88"/>
      <c r="B13" s="55"/>
      <c r="C13" s="61" t="s">
        <v>177</v>
      </c>
      <c r="D13" s="66"/>
      <c r="E13" s="66">
        <v>1</v>
      </c>
      <c r="F13" s="66">
        <v>1</v>
      </c>
      <c r="G13" s="66">
        <f t="shared" si="0"/>
        <v>2</v>
      </c>
      <c r="H13" s="55"/>
      <c r="I13" s="55"/>
      <c r="J13" s="59"/>
      <c r="K13" s="53"/>
      <c r="L13" s="53"/>
      <c r="M13" s="53"/>
      <c r="N13" s="53"/>
      <c r="O13" s="53"/>
    </row>
    <row r="14" spans="1:15" ht="27.6" x14ac:dyDescent="0.25">
      <c r="A14" s="63" t="s">
        <v>130</v>
      </c>
      <c r="B14" s="57" t="s">
        <v>148</v>
      </c>
      <c r="C14" s="61" t="s">
        <v>179</v>
      </c>
      <c r="D14" s="67">
        <v>4</v>
      </c>
      <c r="E14" s="67">
        <v>4</v>
      </c>
      <c r="F14" s="67">
        <v>4</v>
      </c>
      <c r="G14" s="66">
        <f t="shared" si="0"/>
        <v>16</v>
      </c>
      <c r="H14" s="60"/>
      <c r="I14" s="60"/>
      <c r="J14" s="58"/>
      <c r="K14" s="53"/>
      <c r="L14" s="53"/>
      <c r="M14" s="53"/>
      <c r="N14" s="53"/>
      <c r="O14" s="53"/>
    </row>
    <row r="15" spans="1:15" x14ac:dyDescent="0.25">
      <c r="A15" s="63" t="s">
        <v>131</v>
      </c>
      <c r="B15" s="57" t="s">
        <v>149</v>
      </c>
      <c r="C15" s="60" t="s">
        <v>178</v>
      </c>
      <c r="D15" s="67">
        <v>1</v>
      </c>
      <c r="E15" s="67">
        <v>1</v>
      </c>
      <c r="F15" s="67">
        <v>1</v>
      </c>
      <c r="G15" s="67">
        <f t="shared" si="0"/>
        <v>4</v>
      </c>
      <c r="H15" s="60"/>
      <c r="I15" s="60"/>
      <c r="J15" s="58"/>
      <c r="K15" s="53"/>
      <c r="L15" s="53"/>
      <c r="M15" s="53"/>
      <c r="N15" s="53"/>
      <c r="O15" s="53"/>
    </row>
    <row r="16" spans="1:15" ht="27.6" x14ac:dyDescent="0.25">
      <c r="A16" s="63" t="s">
        <v>132</v>
      </c>
      <c r="B16" s="57" t="s">
        <v>150</v>
      </c>
      <c r="C16" s="61" t="s">
        <v>180</v>
      </c>
      <c r="D16" s="67">
        <v>2</v>
      </c>
      <c r="E16" s="67">
        <v>2</v>
      </c>
      <c r="F16" s="67">
        <v>2</v>
      </c>
      <c r="G16" s="67">
        <f t="shared" si="0"/>
        <v>8</v>
      </c>
      <c r="H16" s="60"/>
      <c r="I16" s="60"/>
      <c r="J16" s="58"/>
      <c r="K16" s="53"/>
      <c r="L16" s="53"/>
      <c r="M16" s="53"/>
      <c r="N16" s="53"/>
      <c r="O16" s="53"/>
    </row>
    <row r="17" spans="1:15" x14ac:dyDescent="0.25">
      <c r="A17" s="63" t="s">
        <v>133</v>
      </c>
      <c r="B17" s="55"/>
      <c r="C17" s="60" t="s">
        <v>159</v>
      </c>
      <c r="D17" s="67">
        <v>1</v>
      </c>
      <c r="E17" s="67">
        <v>1</v>
      </c>
      <c r="F17" s="67">
        <v>1</v>
      </c>
      <c r="G17" s="67">
        <f t="shared" si="0"/>
        <v>4</v>
      </c>
      <c r="H17" s="60"/>
      <c r="I17" s="60"/>
      <c r="J17" s="58"/>
      <c r="K17" s="53"/>
      <c r="L17" s="53"/>
      <c r="M17" s="53"/>
      <c r="N17" s="53"/>
      <c r="O17" s="53"/>
    </row>
    <row r="18" spans="1:15" x14ac:dyDescent="0.25">
      <c r="A18" s="63" t="s">
        <v>134</v>
      </c>
      <c r="B18" s="55"/>
      <c r="C18" s="60" t="s">
        <v>151</v>
      </c>
      <c r="D18" s="67">
        <v>9</v>
      </c>
      <c r="E18" s="67">
        <v>9</v>
      </c>
      <c r="F18" s="67">
        <v>9</v>
      </c>
      <c r="G18" s="67">
        <f t="shared" si="0"/>
        <v>36</v>
      </c>
      <c r="H18" s="60"/>
      <c r="I18" s="60"/>
      <c r="J18" s="58"/>
      <c r="K18" s="53"/>
      <c r="L18" s="53"/>
      <c r="M18" s="53"/>
      <c r="N18" s="53"/>
      <c r="O18" s="53"/>
    </row>
    <row r="19" spans="1:15" x14ac:dyDescent="0.25">
      <c r="A19" s="63" t="s">
        <v>135</v>
      </c>
      <c r="B19" s="55"/>
      <c r="C19" s="60" t="s">
        <v>152</v>
      </c>
      <c r="D19" s="67">
        <v>3</v>
      </c>
      <c r="E19" s="67">
        <v>3</v>
      </c>
      <c r="F19" s="67">
        <v>3</v>
      </c>
      <c r="G19" s="67">
        <f t="shared" si="0"/>
        <v>12</v>
      </c>
      <c r="H19" s="60"/>
      <c r="I19" s="60"/>
      <c r="J19" s="58"/>
      <c r="K19" s="53"/>
      <c r="L19" s="53"/>
      <c r="M19" s="53"/>
      <c r="N19" s="53"/>
      <c r="O19" s="53"/>
    </row>
    <row r="20" spans="1:15" x14ac:dyDescent="0.25">
      <c r="A20" s="63" t="s">
        <v>136</v>
      </c>
      <c r="B20" s="55"/>
      <c r="C20" s="60" t="s">
        <v>153</v>
      </c>
      <c r="D20" s="67">
        <v>6</v>
      </c>
      <c r="E20" s="67">
        <v>6</v>
      </c>
      <c r="F20" s="67">
        <v>6</v>
      </c>
      <c r="G20" s="67">
        <f t="shared" si="0"/>
        <v>24</v>
      </c>
      <c r="H20" s="60"/>
      <c r="I20" s="60"/>
      <c r="J20" s="58"/>
      <c r="K20" s="53"/>
      <c r="L20" s="53"/>
      <c r="M20" s="53"/>
      <c r="N20" s="53"/>
      <c r="O20" s="53"/>
    </row>
    <row r="21" spans="1:15" x14ac:dyDescent="0.25">
      <c r="A21" s="63" t="s">
        <v>137</v>
      </c>
      <c r="B21" s="55"/>
      <c r="C21" s="60" t="s">
        <v>184</v>
      </c>
      <c r="D21" s="67"/>
      <c r="E21" s="67">
        <v>1</v>
      </c>
      <c r="F21" s="67">
        <v>1</v>
      </c>
      <c r="G21" s="67">
        <f t="shared" si="0"/>
        <v>2</v>
      </c>
      <c r="H21" s="60"/>
      <c r="I21" s="60"/>
      <c r="J21" s="59"/>
      <c r="K21" s="53"/>
      <c r="L21" s="53"/>
      <c r="M21" s="53"/>
      <c r="N21" s="53"/>
      <c r="O21" s="53"/>
    </row>
    <row r="22" spans="1:15" x14ac:dyDescent="0.25">
      <c r="A22" s="63" t="s">
        <v>138</v>
      </c>
      <c r="B22" s="55"/>
      <c r="C22" s="60" t="s">
        <v>158</v>
      </c>
      <c r="D22" s="67">
        <v>3</v>
      </c>
      <c r="E22" s="67">
        <v>3</v>
      </c>
      <c r="F22" s="67">
        <v>3</v>
      </c>
      <c r="G22" s="67">
        <f t="shared" si="0"/>
        <v>12</v>
      </c>
      <c r="H22" s="60"/>
      <c r="I22" s="60" t="s">
        <v>161</v>
      </c>
      <c r="J22" s="58"/>
      <c r="K22" s="53"/>
      <c r="L22" s="53"/>
      <c r="M22" s="53"/>
      <c r="N22" s="53"/>
      <c r="O22" s="53"/>
    </row>
    <row r="23" spans="1:15" ht="27.6" x14ac:dyDescent="0.25">
      <c r="A23" s="63" t="s">
        <v>139</v>
      </c>
      <c r="B23" s="55"/>
      <c r="C23" s="61" t="s">
        <v>181</v>
      </c>
      <c r="D23" s="67">
        <v>2</v>
      </c>
      <c r="E23" s="67">
        <v>2</v>
      </c>
      <c r="F23" s="67">
        <v>2</v>
      </c>
      <c r="G23" s="67">
        <f t="shared" si="0"/>
        <v>8</v>
      </c>
      <c r="H23" s="60"/>
      <c r="I23" s="60"/>
      <c r="J23" s="58"/>
      <c r="K23" s="53"/>
      <c r="L23" s="53"/>
      <c r="M23" s="53"/>
      <c r="N23" s="53"/>
      <c r="O23" s="53"/>
    </row>
    <row r="24" spans="1:15" ht="27.6" x14ac:dyDescent="0.25">
      <c r="A24" s="63" t="s">
        <v>185</v>
      </c>
      <c r="B24" s="55"/>
      <c r="C24" s="61" t="s">
        <v>182</v>
      </c>
      <c r="D24" s="67">
        <v>2</v>
      </c>
      <c r="E24" s="67">
        <v>2</v>
      </c>
      <c r="F24" s="67">
        <v>2</v>
      </c>
      <c r="G24" s="67">
        <f t="shared" si="0"/>
        <v>8</v>
      </c>
      <c r="H24" s="60"/>
      <c r="I24" s="60"/>
      <c r="J24" s="58"/>
      <c r="K24" s="53"/>
      <c r="L24" s="53"/>
      <c r="M24" s="53"/>
      <c r="N24" s="53"/>
      <c r="O24" s="53"/>
    </row>
    <row r="25" spans="1:15" x14ac:dyDescent="0.25">
      <c r="A25" s="63" t="s">
        <v>186</v>
      </c>
      <c r="B25" s="55"/>
      <c r="C25" s="60" t="s">
        <v>183</v>
      </c>
      <c r="D25" s="67">
        <v>7</v>
      </c>
      <c r="E25" s="67">
        <v>7</v>
      </c>
      <c r="F25" s="67">
        <v>7</v>
      </c>
      <c r="G25" s="67">
        <f t="shared" si="0"/>
        <v>28</v>
      </c>
      <c r="H25" s="60"/>
      <c r="I25" s="60"/>
      <c r="J25" s="58"/>
      <c r="K25" s="53"/>
      <c r="L25" s="53"/>
      <c r="M25" s="53"/>
      <c r="N25" s="53"/>
      <c r="O25" s="53"/>
    </row>
    <row r="26" spans="1:15" x14ac:dyDescent="0.25">
      <c r="D26" s="53"/>
      <c r="E26" s="53"/>
      <c r="F26" s="53"/>
      <c r="G26" s="53"/>
    </row>
    <row r="27" spans="1:15" x14ac:dyDescent="0.25">
      <c r="C27" t="s">
        <v>204</v>
      </c>
    </row>
    <row r="28" spans="1:15" x14ac:dyDescent="0.25">
      <c r="B28" s="72" t="s">
        <v>205</v>
      </c>
      <c r="C28" t="s">
        <v>207</v>
      </c>
    </row>
    <row r="29" spans="1:15" x14ac:dyDescent="0.25">
      <c r="B29" s="72" t="s">
        <v>206</v>
      </c>
      <c r="C29" t="s">
        <v>254</v>
      </c>
    </row>
    <row r="30" spans="1:15" x14ac:dyDescent="0.25">
      <c r="C30" t="s">
        <v>245</v>
      </c>
    </row>
    <row r="31" spans="1:15" x14ac:dyDescent="0.25">
      <c r="C31" t="s">
        <v>246</v>
      </c>
    </row>
  </sheetData>
  <mergeCells count="8">
    <mergeCell ref="A7:A9"/>
    <mergeCell ref="A10:A11"/>
    <mergeCell ref="A12:A13"/>
    <mergeCell ref="A1:I1"/>
    <mergeCell ref="D2:G2"/>
    <mergeCell ref="C2:C3"/>
    <mergeCell ref="B2:B3"/>
    <mergeCell ref="A2:A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opLeftCell="A10" workbookViewId="0">
      <selection activeCell="E10" sqref="E10:E22"/>
    </sheetView>
  </sheetViews>
  <sheetFormatPr defaultRowHeight="13.8" x14ac:dyDescent="0.25"/>
  <cols>
    <col min="1" max="1" width="8.88671875" style="52" customWidth="1"/>
    <col min="2" max="2" width="13.5546875" customWidth="1"/>
    <col min="3" max="3" width="43.33203125" customWidth="1"/>
    <col min="4" max="5" width="7.5546875" customWidth="1"/>
    <col min="6" max="6" width="7.77734375" customWidth="1"/>
    <col min="8" max="8" width="25.109375" customWidth="1"/>
  </cols>
  <sheetData>
    <row r="1" spans="1:14" x14ac:dyDescent="0.25">
      <c r="A1" s="89" t="s">
        <v>211</v>
      </c>
      <c r="B1" s="89"/>
      <c r="C1" s="89"/>
      <c r="D1" s="89"/>
      <c r="E1" s="89"/>
      <c r="F1" s="89"/>
      <c r="G1" s="89"/>
      <c r="H1" s="89"/>
    </row>
    <row r="2" spans="1:14" ht="26.4" customHeight="1" x14ac:dyDescent="0.25">
      <c r="A2" s="86" t="s">
        <v>118</v>
      </c>
      <c r="B2" s="93" t="s">
        <v>119</v>
      </c>
      <c r="C2" s="93" t="s">
        <v>120</v>
      </c>
      <c r="D2" s="90" t="s">
        <v>165</v>
      </c>
      <c r="E2" s="91"/>
      <c r="F2" s="92"/>
      <c r="G2" s="64" t="s">
        <v>121</v>
      </c>
      <c r="H2" s="64" t="s">
        <v>237</v>
      </c>
      <c r="J2" s="53"/>
      <c r="K2" s="53"/>
      <c r="L2" s="53"/>
      <c r="M2" s="53"/>
    </row>
    <row r="3" spans="1:14" ht="26.4" customHeight="1" x14ac:dyDescent="0.25">
      <c r="A3" s="88"/>
      <c r="B3" s="94"/>
      <c r="C3" s="94"/>
      <c r="D3" s="63" t="s">
        <v>167</v>
      </c>
      <c r="E3" s="63" t="s">
        <v>168</v>
      </c>
      <c r="F3" s="57" t="s">
        <v>166</v>
      </c>
      <c r="G3" s="55"/>
      <c r="H3" s="55"/>
      <c r="J3" s="53"/>
      <c r="K3" s="53"/>
      <c r="L3" s="53"/>
      <c r="M3" s="53"/>
    </row>
    <row r="4" spans="1:14" ht="26.4" customHeight="1" x14ac:dyDescent="0.25">
      <c r="A4" s="54"/>
      <c r="B4" s="55"/>
      <c r="C4" s="65" t="s">
        <v>210</v>
      </c>
      <c r="D4" s="66">
        <v>1</v>
      </c>
      <c r="E4" s="66">
        <v>2</v>
      </c>
      <c r="F4" s="63">
        <f>SUM(D4:E4)</f>
        <v>3</v>
      </c>
      <c r="G4" s="55"/>
      <c r="H4" s="55"/>
      <c r="J4" s="53"/>
      <c r="K4" s="53"/>
      <c r="L4" s="53"/>
      <c r="M4" s="53"/>
    </row>
    <row r="5" spans="1:14" ht="26.4" customHeight="1" x14ac:dyDescent="0.25">
      <c r="A5" s="54"/>
      <c r="B5" s="55"/>
      <c r="C5" s="55"/>
      <c r="D5" s="66"/>
      <c r="E5" s="66"/>
      <c r="F5" s="66"/>
      <c r="G5" s="55"/>
      <c r="H5" s="55"/>
      <c r="J5" s="53"/>
      <c r="K5" s="53"/>
      <c r="L5" s="53"/>
      <c r="M5" s="53"/>
    </row>
    <row r="6" spans="1:14" ht="26.4" customHeight="1" x14ac:dyDescent="0.25">
      <c r="A6" s="54"/>
      <c r="B6" s="55"/>
      <c r="C6" s="68" t="s">
        <v>171</v>
      </c>
      <c r="D6" s="66"/>
      <c r="E6" s="66"/>
      <c r="F6" s="66"/>
      <c r="G6" s="55"/>
      <c r="H6" s="55"/>
      <c r="J6" s="53"/>
      <c r="K6" s="53"/>
      <c r="L6" s="53"/>
      <c r="M6" s="53"/>
    </row>
    <row r="7" spans="1:14" ht="27.6" x14ac:dyDescent="0.25">
      <c r="A7" s="86">
        <v>1</v>
      </c>
      <c r="B7" s="55"/>
      <c r="C7" s="56" t="s">
        <v>213</v>
      </c>
      <c r="D7" s="66">
        <v>1</v>
      </c>
      <c r="E7" s="66"/>
      <c r="F7" s="66">
        <f>$D$4*D7+$E$4*E7</f>
        <v>1</v>
      </c>
      <c r="G7" s="55"/>
      <c r="H7" s="65"/>
      <c r="I7" s="59"/>
      <c r="J7" s="53"/>
      <c r="K7" s="53"/>
      <c r="L7" s="53"/>
      <c r="M7" s="53"/>
      <c r="N7" s="53"/>
    </row>
    <row r="8" spans="1:14" ht="27.6" x14ac:dyDescent="0.25">
      <c r="A8" s="87"/>
      <c r="B8" s="55"/>
      <c r="C8" s="56" t="s">
        <v>173</v>
      </c>
      <c r="D8" s="66"/>
      <c r="E8" s="66">
        <v>1</v>
      </c>
      <c r="F8" s="66">
        <f t="shared" ref="F8:F23" si="0">$D$4*D8+$E$4*E8</f>
        <v>2</v>
      </c>
      <c r="G8" s="55"/>
      <c r="H8" s="65"/>
      <c r="I8" s="59"/>
      <c r="J8" s="53"/>
      <c r="K8" s="53"/>
      <c r="L8" s="53"/>
      <c r="M8" s="53"/>
      <c r="N8" s="53"/>
    </row>
    <row r="9" spans="1:14" ht="27.6" x14ac:dyDescent="0.25">
      <c r="A9" s="86" t="s">
        <v>128</v>
      </c>
      <c r="B9" s="55"/>
      <c r="C9" s="61" t="s">
        <v>214</v>
      </c>
      <c r="D9" s="66">
        <v>1</v>
      </c>
      <c r="E9" s="66"/>
      <c r="F9" s="66">
        <f t="shared" si="0"/>
        <v>1</v>
      </c>
      <c r="G9" s="55"/>
      <c r="H9" s="55"/>
      <c r="I9" s="59"/>
      <c r="J9" s="53"/>
      <c r="K9" s="53"/>
      <c r="L9" s="53"/>
      <c r="M9" s="53"/>
      <c r="N9" s="53"/>
    </row>
    <row r="10" spans="1:14" ht="27.6" x14ac:dyDescent="0.25">
      <c r="A10" s="88"/>
      <c r="B10" s="55"/>
      <c r="C10" s="75" t="s">
        <v>215</v>
      </c>
      <c r="D10" s="66"/>
      <c r="E10" s="66">
        <v>1</v>
      </c>
      <c r="F10" s="66">
        <f t="shared" si="0"/>
        <v>2</v>
      </c>
      <c r="G10" s="55"/>
      <c r="H10" s="55"/>
      <c r="I10" s="59"/>
      <c r="J10" s="53"/>
      <c r="K10" s="53"/>
      <c r="L10" s="53"/>
      <c r="M10" s="53"/>
      <c r="N10" s="53"/>
    </row>
    <row r="11" spans="1:14" ht="27.6" x14ac:dyDescent="0.25">
      <c r="A11" s="86" t="s">
        <v>129</v>
      </c>
      <c r="B11" s="55"/>
      <c r="C11" s="61" t="s">
        <v>217</v>
      </c>
      <c r="D11" s="66">
        <v>1</v>
      </c>
      <c r="E11" s="66"/>
      <c r="F11" s="66">
        <f t="shared" si="0"/>
        <v>1</v>
      </c>
      <c r="G11" s="55"/>
      <c r="H11" s="55"/>
      <c r="I11" s="59"/>
      <c r="J11" s="53"/>
      <c r="K11" s="53"/>
      <c r="L11" s="53"/>
      <c r="M11" s="53"/>
      <c r="N11" s="53"/>
    </row>
    <row r="12" spans="1:14" ht="27.6" x14ac:dyDescent="0.25">
      <c r="A12" s="88"/>
      <c r="B12" s="55"/>
      <c r="C12" s="75" t="s">
        <v>216</v>
      </c>
      <c r="D12" s="66"/>
      <c r="E12" s="66">
        <v>1</v>
      </c>
      <c r="F12" s="66">
        <f t="shared" si="0"/>
        <v>2</v>
      </c>
      <c r="G12" s="55"/>
      <c r="H12" s="55"/>
      <c r="I12" s="59"/>
      <c r="J12" s="53"/>
      <c r="K12" s="53"/>
      <c r="L12" s="53"/>
      <c r="M12" s="53"/>
      <c r="N12" s="53"/>
    </row>
    <row r="13" spans="1:14" ht="27.6" x14ac:dyDescent="0.25">
      <c r="A13" s="63" t="s">
        <v>130</v>
      </c>
      <c r="B13" s="57" t="s">
        <v>148</v>
      </c>
      <c r="C13" s="61" t="s">
        <v>179</v>
      </c>
      <c r="D13" s="67">
        <v>4</v>
      </c>
      <c r="E13" s="67">
        <v>4</v>
      </c>
      <c r="F13" s="66">
        <f t="shared" si="0"/>
        <v>12</v>
      </c>
      <c r="G13" s="60"/>
      <c r="H13" s="60"/>
      <c r="I13" s="58"/>
      <c r="J13" s="53"/>
      <c r="K13" s="53"/>
      <c r="L13" s="53"/>
      <c r="M13" s="53"/>
      <c r="N13" s="53"/>
    </row>
    <row r="14" spans="1:14" x14ac:dyDescent="0.25">
      <c r="A14" s="63" t="s">
        <v>131</v>
      </c>
      <c r="B14" s="57" t="s">
        <v>149</v>
      </c>
      <c r="C14" s="60" t="s">
        <v>178</v>
      </c>
      <c r="D14" s="67">
        <v>1</v>
      </c>
      <c r="E14" s="67">
        <v>1</v>
      </c>
      <c r="F14" s="66">
        <f t="shared" si="0"/>
        <v>3</v>
      </c>
      <c r="G14" s="60"/>
      <c r="H14" s="60"/>
      <c r="I14" s="58"/>
      <c r="J14" s="53"/>
      <c r="K14" s="53"/>
      <c r="L14" s="53"/>
      <c r="M14" s="53"/>
      <c r="N14" s="53"/>
    </row>
    <row r="15" spans="1:14" ht="27.6" x14ac:dyDescent="0.25">
      <c r="A15" s="63" t="s">
        <v>132</v>
      </c>
      <c r="B15" s="57" t="s">
        <v>150</v>
      </c>
      <c r="C15" s="61" t="s">
        <v>180</v>
      </c>
      <c r="D15" s="67">
        <v>2</v>
      </c>
      <c r="E15" s="67">
        <v>2</v>
      </c>
      <c r="F15" s="66">
        <f t="shared" si="0"/>
        <v>6</v>
      </c>
      <c r="G15" s="60"/>
      <c r="H15" s="60"/>
      <c r="I15" s="58"/>
      <c r="J15" s="53"/>
      <c r="K15" s="53"/>
      <c r="L15" s="53"/>
      <c r="M15" s="53"/>
      <c r="N15" s="53"/>
    </row>
    <row r="16" spans="1:14" x14ac:dyDescent="0.25">
      <c r="A16" s="63" t="s">
        <v>133</v>
      </c>
      <c r="B16" s="55"/>
      <c r="C16" s="60" t="s">
        <v>159</v>
      </c>
      <c r="D16" s="67">
        <v>1</v>
      </c>
      <c r="E16" s="67">
        <v>1</v>
      </c>
      <c r="F16" s="66">
        <f t="shared" si="0"/>
        <v>3</v>
      </c>
      <c r="G16" s="60"/>
      <c r="H16" s="60"/>
      <c r="I16" s="58"/>
      <c r="J16" s="53"/>
      <c r="K16" s="53"/>
      <c r="L16" s="53"/>
      <c r="M16" s="53"/>
      <c r="N16" s="53"/>
    </row>
    <row r="17" spans="1:14" x14ac:dyDescent="0.25">
      <c r="A17" s="63" t="s">
        <v>134</v>
      </c>
      <c r="B17" s="55"/>
      <c r="C17" s="60" t="s">
        <v>151</v>
      </c>
      <c r="D17" s="67">
        <v>9</v>
      </c>
      <c r="E17" s="67">
        <v>9</v>
      </c>
      <c r="F17" s="66">
        <f t="shared" si="0"/>
        <v>27</v>
      </c>
      <c r="G17" s="60"/>
      <c r="H17" s="60"/>
      <c r="I17" s="58"/>
      <c r="J17" s="53"/>
      <c r="K17" s="53"/>
      <c r="L17" s="53"/>
      <c r="M17" s="53"/>
      <c r="N17" s="53"/>
    </row>
    <row r="18" spans="1:14" x14ac:dyDescent="0.25">
      <c r="A18" s="63" t="s">
        <v>135</v>
      </c>
      <c r="B18" s="55"/>
      <c r="C18" s="60" t="s">
        <v>152</v>
      </c>
      <c r="D18" s="67">
        <v>3</v>
      </c>
      <c r="E18" s="67">
        <v>3</v>
      </c>
      <c r="F18" s="66">
        <f t="shared" si="0"/>
        <v>9</v>
      </c>
      <c r="G18" s="60"/>
      <c r="H18" s="60"/>
      <c r="I18" s="58"/>
      <c r="J18" s="53"/>
      <c r="K18" s="53"/>
      <c r="L18" s="53"/>
      <c r="M18" s="53"/>
      <c r="N18" s="53"/>
    </row>
    <row r="19" spans="1:14" x14ac:dyDescent="0.25">
      <c r="A19" s="63" t="s">
        <v>136</v>
      </c>
      <c r="B19" s="55"/>
      <c r="C19" s="60" t="s">
        <v>153</v>
      </c>
      <c r="D19" s="67">
        <v>6</v>
      </c>
      <c r="E19" s="67">
        <v>6</v>
      </c>
      <c r="F19" s="66">
        <f t="shared" si="0"/>
        <v>18</v>
      </c>
      <c r="G19" s="60"/>
      <c r="H19" s="60"/>
      <c r="I19" s="58"/>
      <c r="J19" s="53"/>
      <c r="K19" s="53"/>
      <c r="L19" s="53"/>
      <c r="M19" s="53"/>
      <c r="N19" s="53"/>
    </row>
    <row r="20" spans="1:14" x14ac:dyDescent="0.25">
      <c r="A20" s="63" t="s">
        <v>137</v>
      </c>
      <c r="B20" s="55"/>
      <c r="C20" s="74" t="s">
        <v>218</v>
      </c>
      <c r="D20" s="67"/>
      <c r="E20" s="67">
        <v>1</v>
      </c>
      <c r="F20" s="66">
        <f t="shared" si="0"/>
        <v>2</v>
      </c>
      <c r="G20" s="60"/>
      <c r="H20" s="60"/>
      <c r="I20" s="59"/>
      <c r="J20" s="53"/>
      <c r="K20" s="53"/>
      <c r="L20" s="53"/>
      <c r="M20" s="53"/>
      <c r="N20" s="53"/>
    </row>
    <row r="21" spans="1:14" x14ac:dyDescent="0.25">
      <c r="A21" s="63" t="s">
        <v>138</v>
      </c>
      <c r="B21" s="55"/>
      <c r="C21" s="60" t="s">
        <v>158</v>
      </c>
      <c r="D21" s="67">
        <v>3</v>
      </c>
      <c r="E21" s="67">
        <v>3</v>
      </c>
      <c r="F21" s="66">
        <f t="shared" si="0"/>
        <v>9</v>
      </c>
      <c r="G21" s="60"/>
      <c r="H21" s="60" t="s">
        <v>161</v>
      </c>
      <c r="I21" s="58"/>
      <c r="J21" s="53"/>
      <c r="K21" s="53"/>
      <c r="L21" s="53"/>
      <c r="M21" s="53"/>
      <c r="N21" s="53"/>
    </row>
    <row r="22" spans="1:14" ht="27.6" x14ac:dyDescent="0.25">
      <c r="A22" s="63" t="s">
        <v>139</v>
      </c>
      <c r="B22" s="55"/>
      <c r="C22" s="61" t="s">
        <v>181</v>
      </c>
      <c r="D22" s="67">
        <v>2</v>
      </c>
      <c r="E22" s="67">
        <v>2</v>
      </c>
      <c r="F22" s="66">
        <f t="shared" si="0"/>
        <v>6</v>
      </c>
      <c r="G22" s="60"/>
      <c r="H22" s="60"/>
      <c r="I22" s="58"/>
      <c r="J22" s="53"/>
      <c r="K22" s="53"/>
      <c r="L22" s="53"/>
      <c r="M22" s="53"/>
      <c r="N22" s="53"/>
    </row>
    <row r="23" spans="1:14" ht="27.6" x14ac:dyDescent="0.25">
      <c r="A23" s="63" t="s">
        <v>185</v>
      </c>
      <c r="B23" s="55"/>
      <c r="C23" s="61" t="s">
        <v>182</v>
      </c>
      <c r="D23" s="67">
        <v>2</v>
      </c>
      <c r="E23" s="67">
        <v>2</v>
      </c>
      <c r="F23" s="66">
        <f t="shared" si="0"/>
        <v>6</v>
      </c>
      <c r="G23" s="60"/>
      <c r="H23" s="60"/>
      <c r="I23" s="58"/>
      <c r="J23" s="53"/>
      <c r="K23" s="53"/>
      <c r="L23" s="53"/>
      <c r="M23" s="53"/>
      <c r="N23" s="53"/>
    </row>
    <row r="24" spans="1:14" x14ac:dyDescent="0.25">
      <c r="A24" s="63" t="s">
        <v>186</v>
      </c>
      <c r="B24" s="55"/>
      <c r="C24" s="74" t="s">
        <v>155</v>
      </c>
      <c r="D24" s="67">
        <v>7</v>
      </c>
      <c r="E24" s="67">
        <v>7</v>
      </c>
      <c r="F24" s="66">
        <f>$D$4*D24+$E$4*E24</f>
        <v>21</v>
      </c>
      <c r="G24" s="60"/>
      <c r="H24" s="60"/>
      <c r="I24" s="58"/>
      <c r="J24" s="53"/>
      <c r="K24" s="53"/>
      <c r="L24" s="53"/>
      <c r="M24" s="53"/>
      <c r="N24" s="53"/>
    </row>
    <row r="25" spans="1:14" x14ac:dyDescent="0.25">
      <c r="D25" s="53"/>
      <c r="E25" s="53"/>
      <c r="F25" s="53"/>
    </row>
    <row r="26" spans="1:14" x14ac:dyDescent="0.25">
      <c r="C26" t="s">
        <v>204</v>
      </c>
    </row>
    <row r="27" spans="1:14" x14ac:dyDescent="0.25">
      <c r="B27" s="72" t="s">
        <v>205</v>
      </c>
      <c r="C27" t="s">
        <v>212</v>
      </c>
    </row>
    <row r="28" spans="1:14" x14ac:dyDescent="0.25">
      <c r="B28" s="72" t="s">
        <v>206</v>
      </c>
      <c r="C28" t="s">
        <v>240</v>
      </c>
    </row>
    <row r="29" spans="1:14" x14ac:dyDescent="0.25">
      <c r="C29" t="s">
        <v>241</v>
      </c>
    </row>
  </sheetData>
  <mergeCells count="8">
    <mergeCell ref="A9:A10"/>
    <mergeCell ref="A11:A12"/>
    <mergeCell ref="A1:H1"/>
    <mergeCell ref="A2:A3"/>
    <mergeCell ref="B2:B3"/>
    <mergeCell ref="C2:C3"/>
    <mergeCell ref="D2:F2"/>
    <mergeCell ref="A7:A8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opLeftCell="A10" workbookViewId="0">
      <selection activeCell="E21" sqref="E21"/>
    </sheetView>
  </sheetViews>
  <sheetFormatPr defaultRowHeight="13.8" x14ac:dyDescent="0.25"/>
  <cols>
    <col min="1" max="1" width="8.88671875" style="52" customWidth="1"/>
    <col min="2" max="2" width="13.5546875" customWidth="1"/>
    <col min="3" max="3" width="43.33203125" customWidth="1"/>
    <col min="4" max="6" width="7.5546875" customWidth="1"/>
    <col min="7" max="7" width="7.77734375" customWidth="1"/>
    <col min="9" max="9" width="25.109375" customWidth="1"/>
  </cols>
  <sheetData>
    <row r="1" spans="1:15" x14ac:dyDescent="0.25">
      <c r="A1" s="89" t="s">
        <v>221</v>
      </c>
      <c r="B1" s="89"/>
      <c r="C1" s="89"/>
      <c r="D1" s="89"/>
      <c r="E1" s="89"/>
      <c r="F1" s="89"/>
      <c r="G1" s="89"/>
      <c r="H1" s="89"/>
      <c r="I1" s="89"/>
    </row>
    <row r="2" spans="1:15" ht="26.4" customHeight="1" x14ac:dyDescent="0.25">
      <c r="A2" s="86" t="s">
        <v>118</v>
      </c>
      <c r="B2" s="93" t="s">
        <v>119</v>
      </c>
      <c r="C2" s="93" t="s">
        <v>120</v>
      </c>
      <c r="D2" s="90" t="s">
        <v>165</v>
      </c>
      <c r="E2" s="91"/>
      <c r="F2" s="91"/>
      <c r="G2" s="92"/>
      <c r="H2" s="64" t="s">
        <v>121</v>
      </c>
      <c r="I2" s="64" t="s">
        <v>122</v>
      </c>
      <c r="K2" s="53"/>
      <c r="L2" s="53"/>
      <c r="M2" s="53"/>
      <c r="N2" s="53"/>
    </row>
    <row r="3" spans="1:15" ht="26.4" customHeight="1" x14ac:dyDescent="0.25">
      <c r="A3" s="88"/>
      <c r="B3" s="94"/>
      <c r="C3" s="94"/>
      <c r="D3" s="63" t="s">
        <v>167</v>
      </c>
      <c r="E3" s="63" t="s">
        <v>168</v>
      </c>
      <c r="F3" s="63" t="s">
        <v>169</v>
      </c>
      <c r="G3" s="77" t="s">
        <v>166</v>
      </c>
      <c r="H3" s="55"/>
      <c r="I3" s="55"/>
      <c r="K3" s="53"/>
      <c r="L3" s="53"/>
      <c r="M3" s="53"/>
      <c r="N3" s="53"/>
    </row>
    <row r="4" spans="1:15" ht="26.4" customHeight="1" x14ac:dyDescent="0.25">
      <c r="A4" s="54"/>
      <c r="B4" s="55"/>
      <c r="C4" s="65" t="s">
        <v>210</v>
      </c>
      <c r="D4" s="66">
        <v>1</v>
      </c>
      <c r="E4" s="66">
        <v>1</v>
      </c>
      <c r="F4" s="66">
        <v>2</v>
      </c>
      <c r="G4" s="78">
        <f>SUM(D4:F4)</f>
        <v>4</v>
      </c>
      <c r="H4" s="55"/>
      <c r="I4" s="55"/>
      <c r="K4" s="53"/>
      <c r="L4" s="53"/>
      <c r="M4" s="53"/>
      <c r="N4" s="53"/>
    </row>
    <row r="5" spans="1:15" ht="26.4" customHeight="1" x14ac:dyDescent="0.25">
      <c r="A5" s="54"/>
      <c r="B5" s="55"/>
      <c r="C5" s="55"/>
      <c r="D5" s="66"/>
      <c r="E5" s="66"/>
      <c r="F5" s="66"/>
      <c r="G5" s="78"/>
      <c r="H5" s="55"/>
      <c r="I5" s="55"/>
      <c r="K5" s="53"/>
      <c r="L5" s="53"/>
      <c r="M5" s="53"/>
      <c r="N5" s="53"/>
    </row>
    <row r="6" spans="1:15" ht="26.4" customHeight="1" x14ac:dyDescent="0.25">
      <c r="A6" s="54"/>
      <c r="B6" s="55"/>
      <c r="C6" s="68" t="s">
        <v>171</v>
      </c>
      <c r="D6" s="66"/>
      <c r="E6" s="66"/>
      <c r="F6" s="66"/>
      <c r="G6" s="78"/>
      <c r="H6" s="55"/>
      <c r="I6" s="55"/>
      <c r="K6" s="53"/>
      <c r="L6" s="53"/>
      <c r="M6" s="53"/>
      <c r="N6" s="53"/>
    </row>
    <row r="7" spans="1:15" ht="27.6" x14ac:dyDescent="0.25">
      <c r="A7" s="86">
        <v>1</v>
      </c>
      <c r="B7" s="55"/>
      <c r="C7" s="56" t="s">
        <v>170</v>
      </c>
      <c r="D7" s="66">
        <v>1</v>
      </c>
      <c r="E7" s="66"/>
      <c r="F7" s="66"/>
      <c r="G7" s="78">
        <f>$D$4*D7+$E$4*E7+$F$4*F7</f>
        <v>1</v>
      </c>
      <c r="H7" s="55"/>
      <c r="I7" s="65"/>
      <c r="J7" s="59"/>
      <c r="K7" s="53"/>
      <c r="L7" s="53"/>
      <c r="M7" s="53"/>
      <c r="N7" s="53"/>
      <c r="O7" s="53"/>
    </row>
    <row r="8" spans="1:15" ht="27.6" x14ac:dyDescent="0.25">
      <c r="A8" s="87"/>
      <c r="B8" s="55"/>
      <c r="C8" s="56" t="s">
        <v>213</v>
      </c>
      <c r="D8" s="66"/>
      <c r="E8" s="66">
        <v>1</v>
      </c>
      <c r="F8" s="66"/>
      <c r="G8" s="78">
        <f t="shared" ref="G8:G25" si="0">$D$4*D8+$E$4*E8+$F$4*F8</f>
        <v>1</v>
      </c>
      <c r="H8" s="55"/>
      <c r="I8" s="65"/>
      <c r="J8" s="59"/>
      <c r="K8" s="53"/>
      <c r="L8" s="53"/>
      <c r="M8" s="53"/>
      <c r="N8" s="53"/>
      <c r="O8" s="53"/>
    </row>
    <row r="9" spans="1:15" ht="27.6" x14ac:dyDescent="0.25">
      <c r="A9" s="87"/>
      <c r="B9" s="55"/>
      <c r="C9" s="56" t="s">
        <v>173</v>
      </c>
      <c r="D9" s="66"/>
      <c r="E9" s="66"/>
      <c r="F9" s="66">
        <v>1</v>
      </c>
      <c r="G9" s="78">
        <f t="shared" si="0"/>
        <v>2</v>
      </c>
      <c r="H9" s="55"/>
      <c r="I9" s="65"/>
      <c r="J9" s="59"/>
      <c r="K9" s="53"/>
      <c r="L9" s="53"/>
      <c r="M9" s="53"/>
      <c r="N9" s="53"/>
      <c r="O9" s="53"/>
    </row>
    <row r="10" spans="1:15" ht="27.6" x14ac:dyDescent="0.25">
      <c r="A10" s="86" t="s">
        <v>128</v>
      </c>
      <c r="B10" s="55"/>
      <c r="C10" s="61" t="s">
        <v>214</v>
      </c>
      <c r="D10" s="66">
        <v>1</v>
      </c>
      <c r="E10" s="66">
        <v>1</v>
      </c>
      <c r="F10" s="66"/>
      <c r="G10" s="78">
        <f t="shared" si="0"/>
        <v>2</v>
      </c>
      <c r="H10" s="55"/>
      <c r="I10" s="55"/>
      <c r="J10" s="59"/>
      <c r="K10" s="53"/>
      <c r="L10" s="53"/>
      <c r="M10" s="53"/>
      <c r="N10" s="53"/>
      <c r="O10" s="53"/>
    </row>
    <row r="11" spans="1:15" ht="27.6" x14ac:dyDescent="0.25">
      <c r="A11" s="88"/>
      <c r="B11" s="55"/>
      <c r="C11" s="75" t="s">
        <v>215</v>
      </c>
      <c r="D11" s="66"/>
      <c r="E11" s="66"/>
      <c r="F11" s="66">
        <v>1</v>
      </c>
      <c r="G11" s="78">
        <f t="shared" si="0"/>
        <v>2</v>
      </c>
      <c r="H11" s="55"/>
      <c r="I11" s="55"/>
      <c r="J11" s="59"/>
      <c r="K11" s="53"/>
      <c r="L11" s="53"/>
      <c r="M11" s="53"/>
      <c r="N11" s="53"/>
      <c r="O11" s="53"/>
    </row>
    <row r="12" spans="1:15" ht="27.6" x14ac:dyDescent="0.25">
      <c r="A12" s="86" t="s">
        <v>129</v>
      </c>
      <c r="B12" s="55"/>
      <c r="C12" s="61" t="s">
        <v>217</v>
      </c>
      <c r="D12" s="66">
        <v>1</v>
      </c>
      <c r="E12" s="66">
        <v>1</v>
      </c>
      <c r="F12" s="66"/>
      <c r="G12" s="78">
        <f t="shared" si="0"/>
        <v>2</v>
      </c>
      <c r="H12" s="55"/>
      <c r="I12" s="55"/>
      <c r="J12" s="59"/>
      <c r="K12" s="53"/>
      <c r="L12" s="53"/>
      <c r="M12" s="53"/>
      <c r="N12" s="53"/>
      <c r="O12" s="53"/>
    </row>
    <row r="13" spans="1:15" ht="27.6" x14ac:dyDescent="0.25">
      <c r="A13" s="88"/>
      <c r="B13" s="55"/>
      <c r="C13" s="75" t="s">
        <v>216</v>
      </c>
      <c r="D13" s="66"/>
      <c r="E13" s="66"/>
      <c r="F13" s="66">
        <v>1</v>
      </c>
      <c r="G13" s="78">
        <f t="shared" si="0"/>
        <v>2</v>
      </c>
      <c r="H13" s="55"/>
      <c r="I13" s="55"/>
      <c r="J13" s="59"/>
      <c r="K13" s="53"/>
      <c r="L13" s="53"/>
      <c r="M13" s="53"/>
      <c r="N13" s="53"/>
      <c r="O13" s="53"/>
    </row>
    <row r="14" spans="1:15" ht="27.6" x14ac:dyDescent="0.25">
      <c r="A14" s="63" t="s">
        <v>130</v>
      </c>
      <c r="B14" s="57" t="s">
        <v>148</v>
      </c>
      <c r="C14" s="61" t="s">
        <v>179</v>
      </c>
      <c r="D14" s="67">
        <v>4</v>
      </c>
      <c r="E14" s="67">
        <v>4</v>
      </c>
      <c r="F14" s="67">
        <v>4</v>
      </c>
      <c r="G14" s="78">
        <f t="shared" si="0"/>
        <v>16</v>
      </c>
      <c r="H14" s="60"/>
      <c r="I14" s="60"/>
      <c r="J14" s="58"/>
      <c r="K14" s="53"/>
      <c r="L14" s="53"/>
      <c r="M14" s="53"/>
      <c r="N14" s="53"/>
      <c r="O14" s="53"/>
    </row>
    <row r="15" spans="1:15" x14ac:dyDescent="0.25">
      <c r="A15" s="63" t="s">
        <v>131</v>
      </c>
      <c r="B15" s="57" t="s">
        <v>149</v>
      </c>
      <c r="C15" s="60" t="s">
        <v>178</v>
      </c>
      <c r="D15" s="67">
        <v>1</v>
      </c>
      <c r="E15" s="67">
        <v>1</v>
      </c>
      <c r="F15" s="67">
        <v>1</v>
      </c>
      <c r="G15" s="78">
        <f t="shared" si="0"/>
        <v>4</v>
      </c>
      <c r="H15" s="60"/>
      <c r="I15" s="60"/>
      <c r="J15" s="58"/>
      <c r="K15" s="53"/>
      <c r="L15" s="53"/>
      <c r="M15" s="53"/>
      <c r="N15" s="53"/>
      <c r="O15" s="53"/>
    </row>
    <row r="16" spans="1:15" ht="27.6" x14ac:dyDescent="0.25">
      <c r="A16" s="63" t="s">
        <v>132</v>
      </c>
      <c r="B16" s="57" t="s">
        <v>150</v>
      </c>
      <c r="C16" s="61" t="s">
        <v>180</v>
      </c>
      <c r="D16" s="67">
        <v>2</v>
      </c>
      <c r="E16" s="67">
        <v>2</v>
      </c>
      <c r="F16" s="67">
        <v>2</v>
      </c>
      <c r="G16" s="78">
        <f t="shared" si="0"/>
        <v>8</v>
      </c>
      <c r="H16" s="60"/>
      <c r="I16" s="60"/>
      <c r="J16" s="58"/>
      <c r="K16" s="53"/>
      <c r="L16" s="53"/>
      <c r="M16" s="53"/>
      <c r="N16" s="53"/>
      <c r="O16" s="53"/>
    </row>
    <row r="17" spans="1:15" x14ac:dyDescent="0.25">
      <c r="A17" s="63" t="s">
        <v>133</v>
      </c>
      <c r="B17" s="55"/>
      <c r="C17" s="60" t="s">
        <v>159</v>
      </c>
      <c r="D17" s="67">
        <v>1</v>
      </c>
      <c r="E17" s="67">
        <v>1</v>
      </c>
      <c r="F17" s="67">
        <v>1</v>
      </c>
      <c r="G17" s="78">
        <f t="shared" si="0"/>
        <v>4</v>
      </c>
      <c r="H17" s="60"/>
      <c r="I17" s="60"/>
      <c r="J17" s="58"/>
      <c r="K17" s="53"/>
      <c r="L17" s="53"/>
      <c r="M17" s="53"/>
      <c r="N17" s="53"/>
      <c r="O17" s="53"/>
    </row>
    <row r="18" spans="1:15" x14ac:dyDescent="0.25">
      <c r="A18" s="63" t="s">
        <v>134</v>
      </c>
      <c r="B18" s="55"/>
      <c r="C18" s="60" t="s">
        <v>151</v>
      </c>
      <c r="D18" s="67">
        <v>9</v>
      </c>
      <c r="E18" s="67">
        <v>9</v>
      </c>
      <c r="F18" s="67">
        <v>9</v>
      </c>
      <c r="G18" s="78">
        <f t="shared" si="0"/>
        <v>36</v>
      </c>
      <c r="H18" s="60"/>
      <c r="I18" s="60"/>
      <c r="J18" s="58"/>
      <c r="K18" s="53"/>
      <c r="L18" s="53"/>
      <c r="M18" s="53"/>
      <c r="N18" s="53"/>
      <c r="O18" s="53"/>
    </row>
    <row r="19" spans="1:15" x14ac:dyDescent="0.25">
      <c r="A19" s="63" t="s">
        <v>135</v>
      </c>
      <c r="B19" s="55"/>
      <c r="C19" s="60" t="s">
        <v>152</v>
      </c>
      <c r="D19" s="67">
        <v>3</v>
      </c>
      <c r="E19" s="67">
        <v>3</v>
      </c>
      <c r="F19" s="67">
        <v>3</v>
      </c>
      <c r="G19" s="78">
        <f t="shared" si="0"/>
        <v>12</v>
      </c>
      <c r="H19" s="60"/>
      <c r="I19" s="60"/>
      <c r="J19" s="58"/>
      <c r="K19" s="53"/>
      <c r="L19" s="53"/>
      <c r="M19" s="53"/>
      <c r="N19" s="53"/>
      <c r="O19" s="53"/>
    </row>
    <row r="20" spans="1:15" x14ac:dyDescent="0.25">
      <c r="A20" s="63" t="s">
        <v>136</v>
      </c>
      <c r="B20" s="55"/>
      <c r="C20" s="60" t="s">
        <v>153</v>
      </c>
      <c r="D20" s="67">
        <v>6</v>
      </c>
      <c r="E20" s="67">
        <v>6</v>
      </c>
      <c r="F20" s="67">
        <v>6</v>
      </c>
      <c r="G20" s="78">
        <f t="shared" si="0"/>
        <v>24</v>
      </c>
      <c r="H20" s="60"/>
      <c r="I20" s="60"/>
      <c r="J20" s="58"/>
      <c r="K20" s="53"/>
      <c r="L20" s="53"/>
      <c r="M20" s="53"/>
      <c r="N20" s="53"/>
      <c r="O20" s="53"/>
    </row>
    <row r="21" spans="1:15" x14ac:dyDescent="0.25">
      <c r="A21" s="63" t="s">
        <v>137</v>
      </c>
      <c r="B21" s="55"/>
      <c r="C21" s="74" t="s">
        <v>218</v>
      </c>
      <c r="D21" s="67"/>
      <c r="E21" s="67"/>
      <c r="F21" s="67">
        <v>1</v>
      </c>
      <c r="G21" s="78">
        <f t="shared" si="0"/>
        <v>2</v>
      </c>
      <c r="H21" s="60"/>
      <c r="I21" s="60"/>
      <c r="J21" s="59"/>
      <c r="K21" s="53"/>
      <c r="L21" s="53"/>
      <c r="M21" s="53"/>
      <c r="N21" s="53"/>
      <c r="O21" s="53"/>
    </row>
    <row r="22" spans="1:15" x14ac:dyDescent="0.25">
      <c r="A22" s="63" t="s">
        <v>138</v>
      </c>
      <c r="B22" s="55"/>
      <c r="C22" s="60" t="s">
        <v>158</v>
      </c>
      <c r="D22" s="67">
        <v>3</v>
      </c>
      <c r="E22" s="67">
        <v>3</v>
      </c>
      <c r="F22" s="67">
        <v>3</v>
      </c>
      <c r="G22" s="78">
        <f t="shared" si="0"/>
        <v>12</v>
      </c>
      <c r="H22" s="60"/>
      <c r="I22" s="60" t="s">
        <v>161</v>
      </c>
      <c r="J22" s="58"/>
      <c r="K22" s="53"/>
      <c r="L22" s="53"/>
      <c r="M22" s="53"/>
      <c r="N22" s="53"/>
      <c r="O22" s="53"/>
    </row>
    <row r="23" spans="1:15" ht="27.6" x14ac:dyDescent="0.25">
      <c r="A23" s="63" t="s">
        <v>139</v>
      </c>
      <c r="B23" s="55"/>
      <c r="C23" s="61" t="s">
        <v>181</v>
      </c>
      <c r="D23" s="67">
        <v>2</v>
      </c>
      <c r="E23" s="67">
        <v>2</v>
      </c>
      <c r="F23" s="67">
        <v>2</v>
      </c>
      <c r="G23" s="78">
        <f t="shared" si="0"/>
        <v>8</v>
      </c>
      <c r="H23" s="60"/>
      <c r="I23" s="60"/>
      <c r="J23" s="58"/>
      <c r="K23" s="53"/>
      <c r="L23" s="53"/>
      <c r="M23" s="53"/>
      <c r="N23" s="53"/>
      <c r="O23" s="53"/>
    </row>
    <row r="24" spans="1:15" ht="27.6" x14ac:dyDescent="0.25">
      <c r="A24" s="63" t="s">
        <v>185</v>
      </c>
      <c r="B24" s="55"/>
      <c r="C24" s="61" t="s">
        <v>182</v>
      </c>
      <c r="D24" s="67">
        <v>2</v>
      </c>
      <c r="E24" s="67">
        <v>2</v>
      </c>
      <c r="F24" s="67">
        <v>2</v>
      </c>
      <c r="G24" s="78">
        <f t="shared" si="0"/>
        <v>8</v>
      </c>
      <c r="H24" s="60"/>
      <c r="I24" s="60"/>
      <c r="J24" s="58"/>
      <c r="K24" s="53"/>
      <c r="L24" s="53"/>
      <c r="M24" s="53"/>
      <c r="N24" s="53"/>
      <c r="O24" s="53"/>
    </row>
    <row r="25" spans="1:15" x14ac:dyDescent="0.25">
      <c r="A25" s="63" t="s">
        <v>186</v>
      </c>
      <c r="B25" s="55"/>
      <c r="C25" s="74" t="s">
        <v>155</v>
      </c>
      <c r="D25" s="67">
        <v>7</v>
      </c>
      <c r="E25" s="67">
        <v>7</v>
      </c>
      <c r="F25" s="67">
        <v>7</v>
      </c>
      <c r="G25" s="78">
        <f t="shared" si="0"/>
        <v>28</v>
      </c>
      <c r="H25" s="60"/>
      <c r="I25" s="60"/>
      <c r="J25" s="58"/>
      <c r="K25" s="53"/>
      <c r="L25" s="53"/>
      <c r="M25" s="53"/>
      <c r="N25" s="53"/>
      <c r="O25" s="53"/>
    </row>
    <row r="26" spans="1:15" x14ac:dyDescent="0.25">
      <c r="D26" s="53"/>
      <c r="E26" s="53"/>
      <c r="F26" s="53"/>
      <c r="G26" s="53"/>
    </row>
    <row r="27" spans="1:15" x14ac:dyDescent="0.25">
      <c r="C27" t="s">
        <v>204</v>
      </c>
    </row>
    <row r="28" spans="1:15" x14ac:dyDescent="0.25">
      <c r="B28" s="72" t="s">
        <v>205</v>
      </c>
      <c r="C28" t="s">
        <v>219</v>
      </c>
    </row>
    <row r="29" spans="1:15" x14ac:dyDescent="0.25">
      <c r="B29" s="72" t="s">
        <v>206</v>
      </c>
      <c r="C29" t="s">
        <v>247</v>
      </c>
    </row>
    <row r="30" spans="1:15" x14ac:dyDescent="0.25">
      <c r="C30" t="s">
        <v>248</v>
      </c>
    </row>
    <row r="31" spans="1:15" x14ac:dyDescent="0.25">
      <c r="C31" t="s">
        <v>249</v>
      </c>
    </row>
  </sheetData>
  <mergeCells count="8">
    <mergeCell ref="A10:A11"/>
    <mergeCell ref="A12:A13"/>
    <mergeCell ref="A1:I1"/>
    <mergeCell ref="A2:A3"/>
    <mergeCell ref="B2:B3"/>
    <mergeCell ref="C2:C3"/>
    <mergeCell ref="D2:G2"/>
    <mergeCell ref="A7:A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topLeftCell="A7" workbookViewId="0">
      <selection activeCell="A22" sqref="A22"/>
    </sheetView>
  </sheetViews>
  <sheetFormatPr defaultRowHeight="13.8" x14ac:dyDescent="0.25"/>
  <cols>
    <col min="1" max="1" width="8.88671875" style="52" customWidth="1"/>
    <col min="2" max="2" width="13.5546875" customWidth="1"/>
    <col min="3" max="3" width="43.33203125" customWidth="1"/>
    <col min="4" max="5" width="7.5546875" customWidth="1"/>
    <col min="6" max="6" width="7.77734375" customWidth="1"/>
    <col min="8" max="8" width="25.109375" customWidth="1"/>
  </cols>
  <sheetData>
    <row r="1" spans="1:14" x14ac:dyDescent="0.25">
      <c r="A1" s="89" t="s">
        <v>220</v>
      </c>
      <c r="B1" s="89"/>
      <c r="C1" s="89"/>
      <c r="D1" s="89"/>
      <c r="E1" s="89"/>
      <c r="F1" s="89"/>
      <c r="G1" s="89"/>
      <c r="H1" s="89"/>
    </row>
    <row r="2" spans="1:14" ht="26.4" customHeight="1" x14ac:dyDescent="0.25">
      <c r="A2" s="86" t="s">
        <v>118</v>
      </c>
      <c r="B2" s="93" t="s">
        <v>119</v>
      </c>
      <c r="C2" s="93" t="s">
        <v>120</v>
      </c>
      <c r="D2" s="90" t="s">
        <v>165</v>
      </c>
      <c r="E2" s="91"/>
      <c r="F2" s="92"/>
      <c r="G2" s="64" t="s">
        <v>121</v>
      </c>
      <c r="H2" s="64" t="s">
        <v>122</v>
      </c>
      <c r="J2" s="53"/>
      <c r="K2" s="53"/>
      <c r="L2" s="53"/>
      <c r="M2" s="53"/>
    </row>
    <row r="3" spans="1:14" ht="26.4" customHeight="1" x14ac:dyDescent="0.25">
      <c r="A3" s="88"/>
      <c r="B3" s="94"/>
      <c r="C3" s="94"/>
      <c r="D3" s="63" t="s">
        <v>167</v>
      </c>
      <c r="E3" s="63" t="s">
        <v>168</v>
      </c>
      <c r="F3" s="77" t="s">
        <v>166</v>
      </c>
      <c r="G3" s="55"/>
      <c r="H3" s="55"/>
      <c r="J3" s="53"/>
      <c r="K3" s="53"/>
      <c r="L3" s="53"/>
      <c r="M3" s="53"/>
    </row>
    <row r="4" spans="1:14" ht="26.4" customHeight="1" x14ac:dyDescent="0.25">
      <c r="A4" s="54"/>
      <c r="B4" s="55"/>
      <c r="C4" s="65" t="s">
        <v>210</v>
      </c>
      <c r="D4" s="66">
        <v>1</v>
      </c>
      <c r="E4" s="66">
        <v>3</v>
      </c>
      <c r="F4" s="78">
        <f>SUM(D4:E4)</f>
        <v>4</v>
      </c>
      <c r="G4" s="55"/>
      <c r="H4" s="55"/>
      <c r="J4" s="53"/>
      <c r="K4" s="53"/>
      <c r="L4" s="53"/>
      <c r="M4" s="53"/>
    </row>
    <row r="5" spans="1:14" ht="26.4" customHeight="1" x14ac:dyDescent="0.25">
      <c r="A5" s="54"/>
      <c r="B5" s="55"/>
      <c r="C5" s="55"/>
      <c r="D5" s="66"/>
      <c r="E5" s="66"/>
      <c r="F5" s="78"/>
      <c r="G5" s="55"/>
      <c r="H5" s="55"/>
      <c r="J5" s="53"/>
      <c r="K5" s="53"/>
      <c r="L5" s="53"/>
      <c r="M5" s="53"/>
    </row>
    <row r="6" spans="1:14" ht="26.4" customHeight="1" x14ac:dyDescent="0.25">
      <c r="A6" s="54"/>
      <c r="B6" s="55"/>
      <c r="C6" s="68" t="s">
        <v>171</v>
      </c>
      <c r="D6" s="66"/>
      <c r="E6" s="66"/>
      <c r="F6" s="78"/>
      <c r="G6" s="55"/>
      <c r="H6" s="55"/>
      <c r="J6" s="53"/>
      <c r="K6" s="53"/>
      <c r="L6" s="53"/>
      <c r="M6" s="53"/>
    </row>
    <row r="7" spans="1:14" ht="27.6" x14ac:dyDescent="0.25">
      <c r="A7" s="86">
        <v>1</v>
      </c>
      <c r="B7" s="55"/>
      <c r="C7" s="56" t="s">
        <v>170</v>
      </c>
      <c r="D7" s="66">
        <v>1</v>
      </c>
      <c r="E7" s="66"/>
      <c r="F7" s="78">
        <f>$D$4*D7+$E$4*E7</f>
        <v>1</v>
      </c>
      <c r="G7" s="55"/>
      <c r="H7" s="65"/>
      <c r="I7" s="59"/>
      <c r="J7" s="53"/>
      <c r="K7" s="53"/>
      <c r="L7" s="53"/>
      <c r="M7" s="53"/>
      <c r="N7" s="53"/>
    </row>
    <row r="8" spans="1:14" ht="27.6" x14ac:dyDescent="0.25">
      <c r="A8" s="87"/>
      <c r="B8" s="55"/>
      <c r="C8" s="56" t="s">
        <v>213</v>
      </c>
      <c r="D8" s="66"/>
      <c r="E8" s="66">
        <v>1</v>
      </c>
      <c r="F8" s="78">
        <f t="shared" ref="F8:F21" si="0">$D$4*D8+$E$4*E8</f>
        <v>3</v>
      </c>
      <c r="G8" s="55"/>
      <c r="H8" s="65"/>
      <c r="I8" s="59"/>
      <c r="J8" s="53"/>
      <c r="K8" s="53"/>
      <c r="L8" s="53"/>
      <c r="M8" s="53"/>
      <c r="N8" s="53"/>
    </row>
    <row r="9" spans="1:14" ht="27.6" x14ac:dyDescent="0.25">
      <c r="A9" s="73" t="s">
        <v>128</v>
      </c>
      <c r="B9" s="55"/>
      <c r="C9" s="61" t="s">
        <v>214</v>
      </c>
      <c r="D9" s="66">
        <v>1</v>
      </c>
      <c r="E9" s="66">
        <v>1</v>
      </c>
      <c r="F9" s="78">
        <f t="shared" si="0"/>
        <v>4</v>
      </c>
      <c r="G9" s="55"/>
      <c r="H9" s="55"/>
      <c r="I9" s="59"/>
      <c r="J9" s="53"/>
      <c r="K9" s="53"/>
      <c r="L9" s="53"/>
      <c r="M9" s="53"/>
      <c r="N9" s="53"/>
    </row>
    <row r="10" spans="1:14" ht="27.6" x14ac:dyDescent="0.25">
      <c r="A10" s="73" t="s">
        <v>129</v>
      </c>
      <c r="B10" s="55"/>
      <c r="C10" s="61" t="s">
        <v>217</v>
      </c>
      <c r="D10" s="66">
        <v>1</v>
      </c>
      <c r="E10" s="66">
        <v>1</v>
      </c>
      <c r="F10" s="78">
        <f t="shared" si="0"/>
        <v>4</v>
      </c>
      <c r="G10" s="55"/>
      <c r="H10" s="55"/>
      <c r="I10" s="59"/>
      <c r="J10" s="53"/>
      <c r="K10" s="53"/>
      <c r="L10" s="53"/>
      <c r="M10" s="53"/>
      <c r="N10" s="53"/>
    </row>
    <row r="11" spans="1:14" ht="27.6" x14ac:dyDescent="0.25">
      <c r="A11" s="63" t="s">
        <v>130</v>
      </c>
      <c r="B11" s="57" t="s">
        <v>148</v>
      </c>
      <c r="C11" s="61" t="s">
        <v>179</v>
      </c>
      <c r="D11" s="67">
        <v>4</v>
      </c>
      <c r="E11" s="67">
        <v>4</v>
      </c>
      <c r="F11" s="78">
        <f t="shared" si="0"/>
        <v>16</v>
      </c>
      <c r="G11" s="60"/>
      <c r="H11" s="60"/>
      <c r="I11" s="58"/>
      <c r="J11" s="53"/>
      <c r="K11" s="53"/>
      <c r="L11" s="53"/>
      <c r="M11" s="53"/>
      <c r="N11" s="53"/>
    </row>
    <row r="12" spans="1:14" x14ac:dyDescent="0.25">
      <c r="A12" s="63" t="s">
        <v>131</v>
      </c>
      <c r="B12" s="57" t="s">
        <v>149</v>
      </c>
      <c r="C12" s="60" t="s">
        <v>178</v>
      </c>
      <c r="D12" s="67">
        <v>1</v>
      </c>
      <c r="E12" s="67">
        <v>1</v>
      </c>
      <c r="F12" s="78">
        <f t="shared" si="0"/>
        <v>4</v>
      </c>
      <c r="G12" s="60"/>
      <c r="H12" s="60"/>
      <c r="I12" s="58"/>
      <c r="J12" s="53"/>
      <c r="K12" s="53"/>
      <c r="L12" s="53"/>
      <c r="M12" s="53"/>
      <c r="N12" s="53"/>
    </row>
    <row r="13" spans="1:14" ht="27.6" x14ac:dyDescent="0.25">
      <c r="A13" s="63" t="s">
        <v>132</v>
      </c>
      <c r="B13" s="57" t="s">
        <v>150</v>
      </c>
      <c r="C13" s="61" t="s">
        <v>180</v>
      </c>
      <c r="D13" s="67">
        <v>2</v>
      </c>
      <c r="E13" s="67">
        <v>2</v>
      </c>
      <c r="F13" s="78">
        <f t="shared" si="0"/>
        <v>8</v>
      </c>
      <c r="G13" s="60"/>
      <c r="H13" s="60"/>
      <c r="I13" s="58"/>
      <c r="J13" s="53"/>
      <c r="K13" s="53"/>
      <c r="L13" s="53"/>
      <c r="M13" s="53"/>
      <c r="N13" s="53"/>
    </row>
    <row r="14" spans="1:14" x14ac:dyDescent="0.25">
      <c r="A14" s="63" t="s">
        <v>133</v>
      </c>
      <c r="B14" s="55"/>
      <c r="C14" s="60" t="s">
        <v>159</v>
      </c>
      <c r="D14" s="67">
        <v>1</v>
      </c>
      <c r="E14" s="67">
        <v>1</v>
      </c>
      <c r="F14" s="78">
        <f t="shared" si="0"/>
        <v>4</v>
      </c>
      <c r="G14" s="60"/>
      <c r="H14" s="60"/>
      <c r="I14" s="58"/>
      <c r="J14" s="53"/>
      <c r="K14" s="53"/>
      <c r="L14" s="53"/>
      <c r="M14" s="53"/>
      <c r="N14" s="53"/>
    </row>
    <row r="15" spans="1:14" x14ac:dyDescent="0.25">
      <c r="A15" s="63" t="s">
        <v>134</v>
      </c>
      <c r="B15" s="55"/>
      <c r="C15" s="60" t="s">
        <v>151</v>
      </c>
      <c r="D15" s="67">
        <v>9</v>
      </c>
      <c r="E15" s="67">
        <v>9</v>
      </c>
      <c r="F15" s="78">
        <f t="shared" si="0"/>
        <v>36</v>
      </c>
      <c r="G15" s="60"/>
      <c r="H15" s="60"/>
      <c r="I15" s="58"/>
      <c r="J15" s="53"/>
      <c r="K15" s="53"/>
      <c r="L15" s="53"/>
      <c r="M15" s="53"/>
      <c r="N15" s="53"/>
    </row>
    <row r="16" spans="1:14" x14ac:dyDescent="0.25">
      <c r="A16" s="63" t="s">
        <v>135</v>
      </c>
      <c r="B16" s="55"/>
      <c r="C16" s="60" t="s">
        <v>152</v>
      </c>
      <c r="D16" s="67">
        <v>3</v>
      </c>
      <c r="E16" s="67">
        <v>3</v>
      </c>
      <c r="F16" s="78">
        <f t="shared" si="0"/>
        <v>12</v>
      </c>
      <c r="G16" s="60"/>
      <c r="H16" s="60"/>
      <c r="I16" s="58"/>
      <c r="J16" s="53"/>
      <c r="K16" s="53"/>
      <c r="L16" s="53"/>
      <c r="M16" s="53"/>
      <c r="N16" s="53"/>
    </row>
    <row r="17" spans="1:14" x14ac:dyDescent="0.25">
      <c r="A17" s="63" t="s">
        <v>136</v>
      </c>
      <c r="B17" s="55"/>
      <c r="C17" s="60" t="s">
        <v>153</v>
      </c>
      <c r="D17" s="67">
        <v>6</v>
      </c>
      <c r="E17" s="67">
        <v>6</v>
      </c>
      <c r="F17" s="78">
        <f t="shared" si="0"/>
        <v>24</v>
      </c>
      <c r="G17" s="60"/>
      <c r="H17" s="60"/>
      <c r="I17" s="58"/>
      <c r="J17" s="53"/>
      <c r="K17" s="53"/>
      <c r="L17" s="53"/>
      <c r="M17" s="53"/>
      <c r="N17" s="53"/>
    </row>
    <row r="18" spans="1:14" x14ac:dyDescent="0.25">
      <c r="A18" s="63"/>
      <c r="B18" s="55"/>
      <c r="C18" s="74"/>
      <c r="D18" s="67"/>
      <c r="E18" s="67"/>
      <c r="F18" s="78"/>
      <c r="G18" s="60"/>
      <c r="H18" s="60"/>
      <c r="I18" s="59"/>
      <c r="J18" s="53"/>
      <c r="K18" s="53"/>
      <c r="L18" s="53"/>
      <c r="M18" s="53"/>
      <c r="N18" s="53"/>
    </row>
    <row r="19" spans="1:14" x14ac:dyDescent="0.25">
      <c r="A19" s="63" t="s">
        <v>137</v>
      </c>
      <c r="B19" s="55"/>
      <c r="C19" s="60" t="s">
        <v>158</v>
      </c>
      <c r="D19" s="67">
        <v>3</v>
      </c>
      <c r="E19" s="67">
        <v>3</v>
      </c>
      <c r="F19" s="78">
        <f t="shared" si="0"/>
        <v>12</v>
      </c>
      <c r="G19" s="60"/>
      <c r="H19" s="60" t="s">
        <v>161</v>
      </c>
      <c r="I19" s="58"/>
      <c r="J19" s="53"/>
      <c r="K19" s="53"/>
      <c r="L19" s="53"/>
      <c r="M19" s="53"/>
      <c r="N19" s="53"/>
    </row>
    <row r="20" spans="1:14" ht="27.6" x14ac:dyDescent="0.25">
      <c r="A20" s="63" t="s">
        <v>138</v>
      </c>
      <c r="B20" s="55"/>
      <c r="C20" s="61" t="s">
        <v>181</v>
      </c>
      <c r="D20" s="67">
        <v>2</v>
      </c>
      <c r="E20" s="67">
        <v>2</v>
      </c>
      <c r="F20" s="78">
        <f t="shared" si="0"/>
        <v>8</v>
      </c>
      <c r="G20" s="60"/>
      <c r="H20" s="60"/>
      <c r="I20" s="58"/>
      <c r="J20" s="53"/>
      <c r="K20" s="53"/>
      <c r="L20" s="53"/>
      <c r="M20" s="53"/>
      <c r="N20" s="53"/>
    </row>
    <row r="21" spans="1:14" ht="27.6" x14ac:dyDescent="0.25">
      <c r="A21" s="63" t="s">
        <v>139</v>
      </c>
      <c r="B21" s="55"/>
      <c r="C21" s="61" t="s">
        <v>182</v>
      </c>
      <c r="D21" s="67">
        <v>2</v>
      </c>
      <c r="E21" s="67">
        <v>2</v>
      </c>
      <c r="F21" s="78">
        <f t="shared" si="0"/>
        <v>8</v>
      </c>
      <c r="G21" s="60"/>
      <c r="H21" s="60"/>
      <c r="I21" s="58"/>
      <c r="J21" s="53"/>
      <c r="K21" s="53"/>
      <c r="L21" s="53"/>
      <c r="M21" s="53"/>
      <c r="N21" s="53"/>
    </row>
    <row r="22" spans="1:14" x14ac:dyDescent="0.25">
      <c r="A22" s="63"/>
      <c r="B22" s="55"/>
      <c r="C22" s="74"/>
      <c r="D22" s="67"/>
      <c r="E22" s="67"/>
      <c r="F22" s="78"/>
      <c r="G22" s="60"/>
      <c r="H22" s="60"/>
      <c r="I22" s="58"/>
      <c r="J22" s="53"/>
      <c r="K22" s="53"/>
      <c r="L22" s="53"/>
      <c r="M22" s="53"/>
      <c r="N22" s="53"/>
    </row>
    <row r="23" spans="1:14" x14ac:dyDescent="0.25">
      <c r="D23" s="53"/>
      <c r="E23" s="53"/>
      <c r="F23" s="53"/>
    </row>
    <row r="24" spans="1:14" x14ac:dyDescent="0.25">
      <c r="C24" t="s">
        <v>204</v>
      </c>
    </row>
    <row r="25" spans="1:14" x14ac:dyDescent="0.25">
      <c r="B25" s="72" t="s">
        <v>205</v>
      </c>
      <c r="C25" t="s">
        <v>222</v>
      </c>
    </row>
    <row r="26" spans="1:14" x14ac:dyDescent="0.25">
      <c r="B26" s="72" t="s">
        <v>206</v>
      </c>
      <c r="C26" t="s">
        <v>238</v>
      </c>
    </row>
    <row r="27" spans="1:14" x14ac:dyDescent="0.25">
      <c r="C27" t="s">
        <v>239</v>
      </c>
    </row>
  </sheetData>
  <mergeCells count="6">
    <mergeCell ref="A7:A8"/>
    <mergeCell ref="A1:H1"/>
    <mergeCell ref="A2:A3"/>
    <mergeCell ref="B2:B3"/>
    <mergeCell ref="C2:C3"/>
    <mergeCell ref="D2:F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17" workbookViewId="0">
      <selection activeCell="J33" sqref="A1:J33"/>
    </sheetView>
  </sheetViews>
  <sheetFormatPr defaultRowHeight="13.8" x14ac:dyDescent="0.25"/>
  <cols>
    <col min="1" max="1" width="8.88671875" style="52" customWidth="1"/>
    <col min="2" max="2" width="13.5546875" customWidth="1"/>
    <col min="3" max="3" width="43.33203125" customWidth="1"/>
    <col min="4" max="7" width="7.5546875" customWidth="1"/>
    <col min="8" max="8" width="7.77734375" customWidth="1"/>
    <col min="10" max="10" width="25.109375" customWidth="1"/>
  </cols>
  <sheetData>
    <row r="1" spans="1:16" x14ac:dyDescent="0.25">
      <c r="A1" s="89" t="s">
        <v>223</v>
      </c>
      <c r="B1" s="89"/>
      <c r="C1" s="89"/>
      <c r="D1" s="89"/>
      <c r="E1" s="89"/>
      <c r="F1" s="89"/>
      <c r="G1" s="89"/>
      <c r="H1" s="89"/>
      <c r="I1" s="89"/>
      <c r="J1" s="89"/>
    </row>
    <row r="2" spans="1:16" ht="26.4" customHeight="1" x14ac:dyDescent="0.25">
      <c r="A2" s="86" t="s">
        <v>118</v>
      </c>
      <c r="B2" s="93" t="s">
        <v>119</v>
      </c>
      <c r="C2" s="93" t="s">
        <v>120</v>
      </c>
      <c r="D2" s="90" t="s">
        <v>165</v>
      </c>
      <c r="E2" s="91"/>
      <c r="F2" s="91"/>
      <c r="G2" s="91"/>
      <c r="H2" s="92"/>
      <c r="I2" s="64" t="s">
        <v>121</v>
      </c>
      <c r="J2" s="64" t="s">
        <v>122</v>
      </c>
      <c r="L2" s="53"/>
      <c r="M2" s="53"/>
      <c r="N2" s="53"/>
      <c r="O2" s="53"/>
    </row>
    <row r="3" spans="1:16" ht="26.4" customHeight="1" x14ac:dyDescent="0.25">
      <c r="A3" s="88"/>
      <c r="B3" s="94"/>
      <c r="C3" s="94"/>
      <c r="D3" s="63" t="s">
        <v>167</v>
      </c>
      <c r="E3" s="63" t="s">
        <v>168</v>
      </c>
      <c r="F3" s="63" t="s">
        <v>169</v>
      </c>
      <c r="G3" s="63" t="s">
        <v>224</v>
      </c>
      <c r="H3" s="77" t="s">
        <v>166</v>
      </c>
      <c r="I3" s="55"/>
      <c r="J3" s="55"/>
      <c r="L3" s="53"/>
      <c r="M3" s="53"/>
      <c r="N3" s="53"/>
      <c r="O3" s="53"/>
    </row>
    <row r="4" spans="1:16" ht="26.4" customHeight="1" x14ac:dyDescent="0.25">
      <c r="A4" s="54"/>
      <c r="B4" s="55"/>
      <c r="C4" s="65" t="s">
        <v>210</v>
      </c>
      <c r="D4" s="66">
        <v>1</v>
      </c>
      <c r="E4" s="66">
        <v>1</v>
      </c>
      <c r="F4" s="66">
        <v>1</v>
      </c>
      <c r="G4" s="66">
        <v>1</v>
      </c>
      <c r="H4" s="78">
        <f>SUM(D4:G4)</f>
        <v>4</v>
      </c>
      <c r="I4" s="55"/>
      <c r="J4" s="55"/>
      <c r="L4" s="53"/>
      <c r="M4" s="53"/>
      <c r="N4" s="53"/>
      <c r="O4" s="53"/>
    </row>
    <row r="5" spans="1:16" ht="26.4" customHeight="1" x14ac:dyDescent="0.25">
      <c r="A5" s="54"/>
      <c r="B5" s="55"/>
      <c r="C5" s="55"/>
      <c r="D5" s="66"/>
      <c r="E5" s="66"/>
      <c r="F5" s="66"/>
      <c r="G5" s="66"/>
      <c r="H5" s="78"/>
      <c r="I5" s="55"/>
      <c r="J5" s="55"/>
      <c r="L5" s="53"/>
      <c r="M5" s="53"/>
      <c r="N5" s="53"/>
      <c r="O5" s="53"/>
    </row>
    <row r="6" spans="1:16" ht="26.4" customHeight="1" x14ac:dyDescent="0.25">
      <c r="A6" s="54"/>
      <c r="B6" s="55"/>
      <c r="C6" s="68" t="s">
        <v>171</v>
      </c>
      <c r="D6" s="66"/>
      <c r="E6" s="66"/>
      <c r="F6" s="66"/>
      <c r="G6" s="66"/>
      <c r="H6" s="78"/>
      <c r="I6" s="55"/>
      <c r="J6" s="55"/>
      <c r="L6" s="53"/>
      <c r="M6" s="53"/>
      <c r="N6" s="53"/>
      <c r="O6" s="53"/>
    </row>
    <row r="7" spans="1:16" ht="27.6" x14ac:dyDescent="0.25">
      <c r="A7" s="86">
        <v>1</v>
      </c>
      <c r="B7" s="55"/>
      <c r="C7" s="56" t="s">
        <v>170</v>
      </c>
      <c r="D7" s="66">
        <v>1</v>
      </c>
      <c r="E7" s="66"/>
      <c r="F7" s="66"/>
      <c r="G7" s="66"/>
      <c r="H7" s="78">
        <f>$D$4*D7+$E$4*E7+$F$4*F7+$G$4*G7</f>
        <v>1</v>
      </c>
      <c r="I7" s="55"/>
      <c r="J7" s="65"/>
      <c r="K7" s="59"/>
      <c r="L7" s="53"/>
      <c r="M7" s="53"/>
      <c r="N7" s="53"/>
      <c r="O7" s="53"/>
      <c r="P7" s="53"/>
    </row>
    <row r="8" spans="1:16" ht="27.6" x14ac:dyDescent="0.25">
      <c r="A8" s="87"/>
      <c r="B8" s="55"/>
      <c r="C8" s="56" t="s">
        <v>213</v>
      </c>
      <c r="D8" s="66"/>
      <c r="E8" s="66">
        <v>1</v>
      </c>
      <c r="F8" s="66"/>
      <c r="G8" s="66"/>
      <c r="H8" s="78">
        <f t="shared" ref="H8:H26" si="0">$D$4*D8+$E$4*E8+$F$4*F8+$G$4*G8</f>
        <v>1</v>
      </c>
      <c r="I8" s="55"/>
      <c r="J8" s="65"/>
      <c r="K8" s="59"/>
      <c r="L8" s="53"/>
      <c r="M8" s="53"/>
      <c r="N8" s="53"/>
      <c r="O8" s="53"/>
      <c r="P8" s="53"/>
    </row>
    <row r="9" spans="1:16" ht="27.6" x14ac:dyDescent="0.25">
      <c r="A9" s="87"/>
      <c r="B9" s="55"/>
      <c r="C9" s="56" t="s">
        <v>225</v>
      </c>
      <c r="D9" s="66"/>
      <c r="E9" s="66"/>
      <c r="F9" s="66">
        <v>1</v>
      </c>
      <c r="G9" s="66"/>
      <c r="H9" s="78">
        <f t="shared" si="0"/>
        <v>1</v>
      </c>
      <c r="I9" s="55"/>
      <c r="J9" s="65"/>
      <c r="K9" s="59"/>
      <c r="L9" s="53"/>
      <c r="M9" s="53"/>
      <c r="N9" s="53"/>
      <c r="O9" s="53"/>
      <c r="P9" s="53"/>
    </row>
    <row r="10" spans="1:16" ht="27.6" x14ac:dyDescent="0.25">
      <c r="A10" s="88"/>
      <c r="B10" s="55"/>
      <c r="C10" s="56" t="s">
        <v>173</v>
      </c>
      <c r="D10" s="66"/>
      <c r="E10" s="66"/>
      <c r="F10" s="66"/>
      <c r="G10" s="66">
        <v>1</v>
      </c>
      <c r="H10" s="78">
        <f t="shared" si="0"/>
        <v>1</v>
      </c>
      <c r="I10" s="55"/>
      <c r="J10" s="65"/>
      <c r="K10" s="59"/>
      <c r="L10" s="53"/>
      <c r="M10" s="53"/>
      <c r="N10" s="53"/>
      <c r="O10" s="53"/>
      <c r="P10" s="53"/>
    </row>
    <row r="11" spans="1:16" ht="27.6" x14ac:dyDescent="0.25">
      <c r="A11" s="86" t="s">
        <v>128</v>
      </c>
      <c r="B11" s="55"/>
      <c r="C11" s="61" t="s">
        <v>214</v>
      </c>
      <c r="D11" s="66">
        <v>1</v>
      </c>
      <c r="E11" s="66">
        <v>1</v>
      </c>
      <c r="F11" s="66">
        <v>1</v>
      </c>
      <c r="G11" s="66"/>
      <c r="H11" s="78">
        <f t="shared" si="0"/>
        <v>3</v>
      </c>
      <c r="I11" s="55"/>
      <c r="J11" s="55"/>
      <c r="K11" s="59"/>
      <c r="L11" s="53"/>
      <c r="M11" s="53"/>
      <c r="N11" s="53"/>
      <c r="O11" s="53"/>
      <c r="P11" s="53"/>
    </row>
    <row r="12" spans="1:16" ht="27.6" x14ac:dyDescent="0.25">
      <c r="A12" s="88"/>
      <c r="B12" s="55"/>
      <c r="C12" s="75" t="s">
        <v>215</v>
      </c>
      <c r="D12" s="66"/>
      <c r="E12" s="66"/>
      <c r="F12" s="66"/>
      <c r="G12" s="66">
        <v>1</v>
      </c>
      <c r="H12" s="78">
        <f t="shared" si="0"/>
        <v>1</v>
      </c>
      <c r="I12" s="55"/>
      <c r="J12" s="55"/>
      <c r="K12" s="59"/>
      <c r="L12" s="53"/>
      <c r="M12" s="53"/>
      <c r="N12" s="53"/>
      <c r="O12" s="53"/>
      <c r="P12" s="53"/>
    </row>
    <row r="13" spans="1:16" ht="27.6" x14ac:dyDescent="0.25">
      <c r="A13" s="86" t="s">
        <v>129</v>
      </c>
      <c r="B13" s="55"/>
      <c r="C13" s="61" t="s">
        <v>217</v>
      </c>
      <c r="D13" s="66">
        <v>1</v>
      </c>
      <c r="E13" s="66">
        <v>1</v>
      </c>
      <c r="F13" s="66">
        <v>1</v>
      </c>
      <c r="G13" s="66"/>
      <c r="H13" s="78">
        <f t="shared" si="0"/>
        <v>3</v>
      </c>
      <c r="I13" s="55"/>
      <c r="J13" s="55"/>
      <c r="K13" s="59"/>
      <c r="L13" s="53"/>
      <c r="M13" s="53"/>
      <c r="N13" s="53"/>
      <c r="O13" s="53"/>
      <c r="P13" s="53"/>
    </row>
    <row r="14" spans="1:16" ht="27.6" x14ac:dyDescent="0.25">
      <c r="A14" s="88"/>
      <c r="B14" s="55"/>
      <c r="C14" s="75" t="s">
        <v>216</v>
      </c>
      <c r="D14" s="66"/>
      <c r="E14" s="66"/>
      <c r="F14" s="66"/>
      <c r="G14" s="66">
        <v>1</v>
      </c>
      <c r="H14" s="78">
        <f t="shared" si="0"/>
        <v>1</v>
      </c>
      <c r="I14" s="55"/>
      <c r="J14" s="55"/>
      <c r="K14" s="59"/>
      <c r="L14" s="53"/>
      <c r="M14" s="53"/>
      <c r="N14" s="53"/>
      <c r="O14" s="53"/>
      <c r="P14" s="53"/>
    </row>
    <row r="15" spans="1:16" ht="27.6" x14ac:dyDescent="0.25">
      <c r="A15" s="63" t="s">
        <v>130</v>
      </c>
      <c r="B15" s="57" t="s">
        <v>148</v>
      </c>
      <c r="C15" s="61" t="s">
        <v>179</v>
      </c>
      <c r="D15" s="67">
        <v>4</v>
      </c>
      <c r="E15" s="67">
        <v>4</v>
      </c>
      <c r="F15" s="67">
        <v>4</v>
      </c>
      <c r="G15" s="67">
        <v>4</v>
      </c>
      <c r="H15" s="78">
        <f t="shared" si="0"/>
        <v>16</v>
      </c>
      <c r="I15" s="60"/>
      <c r="J15" s="60"/>
      <c r="K15" s="58"/>
      <c r="L15" s="53"/>
      <c r="M15" s="53"/>
      <c r="N15" s="53"/>
      <c r="O15" s="53"/>
      <c r="P15" s="53"/>
    </row>
    <row r="16" spans="1:16" x14ac:dyDescent="0.25">
      <c r="A16" s="63" t="s">
        <v>131</v>
      </c>
      <c r="B16" s="57" t="s">
        <v>149</v>
      </c>
      <c r="C16" s="60" t="s">
        <v>178</v>
      </c>
      <c r="D16" s="67">
        <v>1</v>
      </c>
      <c r="E16" s="67">
        <v>1</v>
      </c>
      <c r="F16" s="67">
        <v>1</v>
      </c>
      <c r="G16" s="67">
        <v>1</v>
      </c>
      <c r="H16" s="78">
        <f t="shared" si="0"/>
        <v>4</v>
      </c>
      <c r="I16" s="60"/>
      <c r="J16" s="60"/>
      <c r="K16" s="58"/>
      <c r="L16" s="53"/>
      <c r="M16" s="53"/>
      <c r="N16" s="53"/>
      <c r="O16" s="53"/>
      <c r="P16" s="53"/>
    </row>
    <row r="17" spans="1:16" ht="27.6" x14ac:dyDescent="0.25">
      <c r="A17" s="63" t="s">
        <v>132</v>
      </c>
      <c r="B17" s="57" t="s">
        <v>150</v>
      </c>
      <c r="C17" s="61" t="s">
        <v>180</v>
      </c>
      <c r="D17" s="67">
        <v>2</v>
      </c>
      <c r="E17" s="67">
        <v>2</v>
      </c>
      <c r="F17" s="67">
        <v>2</v>
      </c>
      <c r="G17" s="67">
        <v>2</v>
      </c>
      <c r="H17" s="78">
        <f t="shared" si="0"/>
        <v>8</v>
      </c>
      <c r="I17" s="60"/>
      <c r="J17" s="60"/>
      <c r="K17" s="58"/>
      <c r="L17" s="53"/>
      <c r="M17" s="53"/>
      <c r="N17" s="53"/>
      <c r="O17" s="53"/>
      <c r="P17" s="53"/>
    </row>
    <row r="18" spans="1:16" x14ac:dyDescent="0.25">
      <c r="A18" s="63" t="s">
        <v>133</v>
      </c>
      <c r="B18" s="55"/>
      <c r="C18" s="60" t="s">
        <v>159</v>
      </c>
      <c r="D18" s="67">
        <v>1</v>
      </c>
      <c r="E18" s="67">
        <v>1</v>
      </c>
      <c r="F18" s="67">
        <v>1</v>
      </c>
      <c r="G18" s="67">
        <v>1</v>
      </c>
      <c r="H18" s="78">
        <f t="shared" si="0"/>
        <v>4</v>
      </c>
      <c r="I18" s="60"/>
      <c r="J18" s="60"/>
      <c r="K18" s="58"/>
      <c r="L18" s="53"/>
      <c r="M18" s="53"/>
      <c r="N18" s="53"/>
      <c r="O18" s="53"/>
      <c r="P18" s="53"/>
    </row>
    <row r="19" spans="1:16" x14ac:dyDescent="0.25">
      <c r="A19" s="63" t="s">
        <v>134</v>
      </c>
      <c r="B19" s="55"/>
      <c r="C19" s="60" t="s">
        <v>151</v>
      </c>
      <c r="D19" s="67">
        <v>9</v>
      </c>
      <c r="E19" s="67">
        <v>9</v>
      </c>
      <c r="F19" s="67">
        <v>9</v>
      </c>
      <c r="G19" s="67">
        <v>9</v>
      </c>
      <c r="H19" s="78">
        <f t="shared" si="0"/>
        <v>36</v>
      </c>
      <c r="I19" s="60"/>
      <c r="J19" s="60"/>
      <c r="K19" s="58"/>
      <c r="L19" s="53"/>
      <c r="M19" s="53"/>
      <c r="N19" s="53"/>
      <c r="O19" s="53"/>
      <c r="P19" s="53"/>
    </row>
    <row r="20" spans="1:16" x14ac:dyDescent="0.25">
      <c r="A20" s="63" t="s">
        <v>135</v>
      </c>
      <c r="B20" s="55"/>
      <c r="C20" s="60" t="s">
        <v>152</v>
      </c>
      <c r="D20" s="67">
        <v>3</v>
      </c>
      <c r="E20" s="67">
        <v>3</v>
      </c>
      <c r="F20" s="67">
        <v>3</v>
      </c>
      <c r="G20" s="67">
        <v>3</v>
      </c>
      <c r="H20" s="78">
        <f t="shared" si="0"/>
        <v>12</v>
      </c>
      <c r="I20" s="60"/>
      <c r="J20" s="60"/>
      <c r="K20" s="58"/>
      <c r="L20" s="53"/>
      <c r="M20" s="53"/>
      <c r="N20" s="53"/>
      <c r="O20" s="53"/>
      <c r="P20" s="53"/>
    </row>
    <row r="21" spans="1:16" x14ac:dyDescent="0.25">
      <c r="A21" s="63" t="s">
        <v>136</v>
      </c>
      <c r="B21" s="55"/>
      <c r="C21" s="60" t="s">
        <v>153</v>
      </c>
      <c r="D21" s="67">
        <v>6</v>
      </c>
      <c r="E21" s="67">
        <v>6</v>
      </c>
      <c r="F21" s="67">
        <v>6</v>
      </c>
      <c r="G21" s="67">
        <v>6</v>
      </c>
      <c r="H21" s="78">
        <f t="shared" si="0"/>
        <v>24</v>
      </c>
      <c r="I21" s="60"/>
      <c r="J21" s="60"/>
      <c r="K21" s="58"/>
      <c r="L21" s="53"/>
      <c r="M21" s="53"/>
      <c r="N21" s="53"/>
      <c r="O21" s="53"/>
      <c r="P21" s="53"/>
    </row>
    <row r="22" spans="1:16" x14ac:dyDescent="0.25">
      <c r="A22" s="63" t="s">
        <v>137</v>
      </c>
      <c r="B22" s="55"/>
      <c r="C22" s="74" t="s">
        <v>218</v>
      </c>
      <c r="D22" s="67"/>
      <c r="E22" s="67"/>
      <c r="F22" s="67"/>
      <c r="G22" s="67">
        <v>1</v>
      </c>
      <c r="H22" s="78">
        <f t="shared" si="0"/>
        <v>1</v>
      </c>
      <c r="I22" s="60"/>
      <c r="J22" s="60"/>
      <c r="K22" s="59"/>
      <c r="L22" s="53"/>
      <c r="M22" s="53"/>
      <c r="N22" s="53"/>
      <c r="O22" s="53"/>
      <c r="P22" s="53"/>
    </row>
    <row r="23" spans="1:16" x14ac:dyDescent="0.25">
      <c r="A23" s="63" t="s">
        <v>138</v>
      </c>
      <c r="B23" s="55"/>
      <c r="C23" s="60" t="s">
        <v>158</v>
      </c>
      <c r="D23" s="67">
        <v>3</v>
      </c>
      <c r="E23" s="67">
        <v>3</v>
      </c>
      <c r="F23" s="67">
        <v>3</v>
      </c>
      <c r="G23" s="67">
        <v>3</v>
      </c>
      <c r="H23" s="78">
        <f t="shared" si="0"/>
        <v>12</v>
      </c>
      <c r="I23" s="60"/>
      <c r="J23" s="60" t="s">
        <v>161</v>
      </c>
      <c r="K23" s="58"/>
      <c r="L23" s="53"/>
      <c r="M23" s="53"/>
      <c r="N23" s="53"/>
      <c r="O23" s="53"/>
      <c r="P23" s="53"/>
    </row>
    <row r="24" spans="1:16" ht="27.6" x14ac:dyDescent="0.25">
      <c r="A24" s="63" t="s">
        <v>139</v>
      </c>
      <c r="B24" s="55"/>
      <c r="C24" s="61" t="s">
        <v>181</v>
      </c>
      <c r="D24" s="67">
        <v>2</v>
      </c>
      <c r="E24" s="67">
        <v>2</v>
      </c>
      <c r="F24" s="67">
        <v>2</v>
      </c>
      <c r="G24" s="67">
        <v>2</v>
      </c>
      <c r="H24" s="78">
        <f t="shared" si="0"/>
        <v>8</v>
      </c>
      <c r="I24" s="60"/>
      <c r="J24" s="60"/>
      <c r="K24" s="58"/>
      <c r="L24" s="53"/>
      <c r="M24" s="53"/>
      <c r="N24" s="53"/>
      <c r="O24" s="53"/>
      <c r="P24" s="53"/>
    </row>
    <row r="25" spans="1:16" ht="27.6" x14ac:dyDescent="0.25">
      <c r="A25" s="63" t="s">
        <v>185</v>
      </c>
      <c r="B25" s="55"/>
      <c r="C25" s="61" t="s">
        <v>182</v>
      </c>
      <c r="D25" s="67">
        <v>2</v>
      </c>
      <c r="E25" s="67">
        <v>2</v>
      </c>
      <c r="F25" s="67">
        <v>2</v>
      </c>
      <c r="G25" s="67">
        <v>2</v>
      </c>
      <c r="H25" s="78">
        <f t="shared" si="0"/>
        <v>8</v>
      </c>
      <c r="I25" s="60"/>
      <c r="J25" s="60"/>
      <c r="K25" s="58"/>
      <c r="L25" s="53"/>
      <c r="M25" s="53"/>
      <c r="N25" s="53"/>
      <c r="O25" s="53"/>
      <c r="P25" s="53"/>
    </row>
    <row r="26" spans="1:16" x14ac:dyDescent="0.25">
      <c r="A26" s="63" t="s">
        <v>186</v>
      </c>
      <c r="B26" s="55"/>
      <c r="C26" s="74" t="s">
        <v>155</v>
      </c>
      <c r="D26" s="67"/>
      <c r="E26" s="67"/>
      <c r="F26" s="67"/>
      <c r="G26" s="67">
        <v>7</v>
      </c>
      <c r="H26" s="78">
        <f t="shared" si="0"/>
        <v>7</v>
      </c>
      <c r="I26" s="60"/>
      <c r="J26" s="60"/>
      <c r="K26" s="58"/>
      <c r="L26" s="53"/>
      <c r="M26" s="53"/>
      <c r="N26" s="53"/>
      <c r="O26" s="53"/>
      <c r="P26" s="53"/>
    </row>
    <row r="27" spans="1:16" x14ac:dyDescent="0.25">
      <c r="D27" s="53"/>
      <c r="E27" s="53"/>
      <c r="F27" s="53"/>
      <c r="G27" s="53"/>
      <c r="H27" s="53"/>
    </row>
    <row r="28" spans="1:16" x14ac:dyDescent="0.25">
      <c r="C28" t="s">
        <v>204</v>
      </c>
    </row>
    <row r="29" spans="1:16" x14ac:dyDescent="0.25">
      <c r="B29" s="72" t="s">
        <v>205</v>
      </c>
      <c r="C29" t="s">
        <v>226</v>
      </c>
    </row>
    <row r="30" spans="1:16" x14ac:dyDescent="0.25">
      <c r="B30" s="72" t="s">
        <v>206</v>
      </c>
      <c r="C30" t="s">
        <v>240</v>
      </c>
    </row>
    <row r="31" spans="1:16" x14ac:dyDescent="0.25">
      <c r="C31" t="s">
        <v>242</v>
      </c>
    </row>
    <row r="32" spans="1:16" x14ac:dyDescent="0.25">
      <c r="C32" t="s">
        <v>243</v>
      </c>
    </row>
    <row r="33" spans="3:3" x14ac:dyDescent="0.25">
      <c r="C33" t="s">
        <v>244</v>
      </c>
    </row>
  </sheetData>
  <mergeCells count="8">
    <mergeCell ref="A11:A12"/>
    <mergeCell ref="A13:A14"/>
    <mergeCell ref="A1:J1"/>
    <mergeCell ref="A2:A3"/>
    <mergeCell ref="B2:B3"/>
    <mergeCell ref="C2:C3"/>
    <mergeCell ref="D2:H2"/>
    <mergeCell ref="A7:A10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tabSelected="1" workbookViewId="0">
      <pane ySplit="3" topLeftCell="A22" activePane="bottomLeft" state="frozen"/>
      <selection pane="bottomLeft" activeCell="C40" sqref="C40"/>
    </sheetView>
  </sheetViews>
  <sheetFormatPr defaultRowHeight="13.8" x14ac:dyDescent="0.25"/>
  <cols>
    <col min="1" max="1" width="8.88671875" style="52" customWidth="1"/>
    <col min="2" max="2" width="13.5546875" customWidth="1"/>
    <col min="3" max="3" width="43.33203125" customWidth="1"/>
    <col min="4" max="9" width="7.5546875" customWidth="1"/>
    <col min="10" max="10" width="7.77734375" customWidth="1"/>
    <col min="12" max="12" width="25.109375" customWidth="1"/>
  </cols>
  <sheetData>
    <row r="1" spans="1:18" x14ac:dyDescent="0.25">
      <c r="A1" s="89" t="s">
        <v>228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</row>
    <row r="2" spans="1:18" ht="26.4" customHeight="1" x14ac:dyDescent="0.25">
      <c r="A2" s="86" t="s">
        <v>118</v>
      </c>
      <c r="B2" s="93" t="s">
        <v>119</v>
      </c>
      <c r="C2" s="93" t="s">
        <v>120</v>
      </c>
      <c r="D2" s="90" t="s">
        <v>165</v>
      </c>
      <c r="E2" s="91"/>
      <c r="F2" s="91"/>
      <c r="G2" s="91"/>
      <c r="H2" s="91"/>
      <c r="I2" s="91"/>
      <c r="J2" s="92"/>
      <c r="K2" s="64" t="s">
        <v>121</v>
      </c>
      <c r="L2" s="64" t="s">
        <v>122</v>
      </c>
      <c r="N2" s="53"/>
      <c r="O2" s="53"/>
      <c r="P2" s="53"/>
      <c r="Q2" s="53"/>
    </row>
    <row r="3" spans="1:18" ht="26.4" customHeight="1" x14ac:dyDescent="0.25">
      <c r="A3" s="88"/>
      <c r="B3" s="94"/>
      <c r="C3" s="94"/>
      <c r="D3" s="63" t="s">
        <v>167</v>
      </c>
      <c r="E3" s="63" t="s">
        <v>168</v>
      </c>
      <c r="F3" s="63" t="s">
        <v>169</v>
      </c>
      <c r="G3" s="63" t="s">
        <v>224</v>
      </c>
      <c r="H3" s="63" t="s">
        <v>229</v>
      </c>
      <c r="I3" s="63" t="s">
        <v>230</v>
      </c>
      <c r="J3" s="77" t="s">
        <v>166</v>
      </c>
      <c r="K3" s="55"/>
      <c r="L3" s="55"/>
      <c r="N3" s="53"/>
      <c r="O3" s="53"/>
      <c r="P3" s="53"/>
      <c r="Q3" s="53"/>
    </row>
    <row r="4" spans="1:18" ht="26.4" customHeight="1" x14ac:dyDescent="0.25">
      <c r="A4" s="54"/>
      <c r="B4" s="55"/>
      <c r="C4" s="65" t="s">
        <v>210</v>
      </c>
      <c r="D4" s="66">
        <v>1</v>
      </c>
      <c r="E4" s="66">
        <v>1</v>
      </c>
      <c r="F4" s="66">
        <v>1</v>
      </c>
      <c r="G4" s="66">
        <v>2</v>
      </c>
      <c r="H4" s="66">
        <v>1</v>
      </c>
      <c r="I4" s="66">
        <v>2</v>
      </c>
      <c r="J4" s="78">
        <f>SUM(D4:I4)</f>
        <v>8</v>
      </c>
      <c r="K4" s="55"/>
      <c r="L4" s="55"/>
      <c r="N4" s="53"/>
      <c r="O4" s="53"/>
      <c r="P4" s="53"/>
      <c r="Q4" s="53"/>
    </row>
    <row r="5" spans="1:18" ht="26.4" customHeight="1" x14ac:dyDescent="0.25">
      <c r="A5" s="54"/>
      <c r="B5" s="55"/>
      <c r="C5" s="55"/>
      <c r="D5" s="66"/>
      <c r="E5" s="66"/>
      <c r="F5" s="66"/>
      <c r="G5" s="66"/>
      <c r="H5" s="66"/>
      <c r="I5" s="66"/>
      <c r="J5" s="78"/>
      <c r="K5" s="55"/>
      <c r="L5" s="55"/>
      <c r="N5" s="53"/>
      <c r="O5" s="53"/>
      <c r="P5" s="53"/>
      <c r="Q5" s="53"/>
    </row>
    <row r="6" spans="1:18" ht="26.4" customHeight="1" x14ac:dyDescent="0.25">
      <c r="A6" s="54"/>
      <c r="B6" s="55"/>
      <c r="C6" s="68" t="s">
        <v>171</v>
      </c>
      <c r="D6" s="66"/>
      <c r="E6" s="66"/>
      <c r="F6" s="66"/>
      <c r="G6" s="66"/>
      <c r="H6" s="66"/>
      <c r="I6" s="66"/>
      <c r="J6" s="78"/>
      <c r="K6" s="55"/>
      <c r="L6" s="55"/>
      <c r="N6" s="53"/>
      <c r="O6" s="53"/>
      <c r="P6" s="53"/>
      <c r="Q6" s="53"/>
    </row>
    <row r="7" spans="1:18" ht="27.6" x14ac:dyDescent="0.25">
      <c r="A7" s="86">
        <v>1</v>
      </c>
      <c r="B7" s="55"/>
      <c r="C7" s="56" t="s">
        <v>231</v>
      </c>
      <c r="D7" s="66">
        <v>1</v>
      </c>
      <c r="E7" s="66">
        <v>1</v>
      </c>
      <c r="F7" s="66"/>
      <c r="G7" s="66"/>
      <c r="H7" s="66"/>
      <c r="I7" s="66"/>
      <c r="J7" s="78">
        <f>$D$4*D7+$E$4*E7+$F$4*F7+$G$4*G7+$H$4*H7+$I$4*I7</f>
        <v>2</v>
      </c>
      <c r="K7" s="55"/>
      <c r="L7" s="65"/>
      <c r="M7" s="59"/>
      <c r="N7" s="53"/>
      <c r="O7" s="53"/>
      <c r="P7" s="53"/>
      <c r="Q7" s="53"/>
      <c r="R7" s="53"/>
    </row>
    <row r="8" spans="1:18" ht="27.6" x14ac:dyDescent="0.25">
      <c r="A8" s="87"/>
      <c r="B8" s="55"/>
      <c r="C8" s="56" t="s">
        <v>170</v>
      </c>
      <c r="D8" s="66"/>
      <c r="E8" s="66"/>
      <c r="F8" s="66">
        <v>1</v>
      </c>
      <c r="G8" s="66"/>
      <c r="H8" s="66"/>
      <c r="I8" s="66"/>
      <c r="J8" s="78">
        <f t="shared" ref="J8:J10" si="0">$D$4*D8+$E$4*E8+$F$4*F8+$G$4*G8+$H$4*H8+$I$4*I8</f>
        <v>1</v>
      </c>
      <c r="K8" s="55"/>
      <c r="L8" s="65"/>
      <c r="M8" s="59"/>
      <c r="N8" s="53"/>
      <c r="O8" s="53"/>
      <c r="P8" s="53"/>
      <c r="Q8" s="53"/>
      <c r="R8" s="53"/>
    </row>
    <row r="9" spans="1:18" ht="27.6" x14ac:dyDescent="0.25">
      <c r="A9" s="87"/>
      <c r="B9" s="55"/>
      <c r="C9" s="56" t="s">
        <v>213</v>
      </c>
      <c r="D9" s="66"/>
      <c r="E9" s="66"/>
      <c r="F9" s="66"/>
      <c r="G9" s="66">
        <v>1</v>
      </c>
      <c r="H9" s="66"/>
      <c r="I9" s="66"/>
      <c r="J9" s="78">
        <f t="shared" si="0"/>
        <v>2</v>
      </c>
      <c r="K9" s="55"/>
      <c r="L9" s="65"/>
      <c r="M9" s="59"/>
      <c r="N9" s="53"/>
      <c r="O9" s="53"/>
      <c r="P9" s="53"/>
      <c r="Q9" s="53"/>
      <c r="R9" s="53"/>
    </row>
    <row r="10" spans="1:18" ht="27.6" x14ac:dyDescent="0.25">
      <c r="A10" s="87"/>
      <c r="B10" s="55"/>
      <c r="C10" s="56" t="s">
        <v>172</v>
      </c>
      <c r="D10" s="66"/>
      <c r="E10" s="66"/>
      <c r="F10" s="66"/>
      <c r="G10" s="66"/>
      <c r="H10" s="66">
        <v>1</v>
      </c>
      <c r="I10" s="66"/>
      <c r="J10" s="78">
        <f t="shared" si="0"/>
        <v>1</v>
      </c>
      <c r="K10" s="55"/>
      <c r="L10" s="65"/>
      <c r="M10" s="59"/>
      <c r="N10" s="53"/>
      <c r="O10" s="53"/>
      <c r="P10" s="53"/>
      <c r="Q10" s="53"/>
      <c r="R10" s="53"/>
    </row>
    <row r="11" spans="1:18" ht="27.6" x14ac:dyDescent="0.25">
      <c r="A11" s="88"/>
      <c r="B11" s="55"/>
      <c r="C11" s="56" t="s">
        <v>173</v>
      </c>
      <c r="D11" s="66"/>
      <c r="E11" s="66"/>
      <c r="F11" s="66"/>
      <c r="G11" s="66"/>
      <c r="H11" s="66"/>
      <c r="I11" s="66">
        <v>1</v>
      </c>
      <c r="J11" s="78">
        <f>$D$4*D11+$E$4*E11+$F$4*F11+$G$4*G11+$H$4*H11+$I$4*I11</f>
        <v>2</v>
      </c>
      <c r="K11" s="55"/>
      <c r="L11" s="65"/>
      <c r="M11" s="59"/>
      <c r="N11" s="53"/>
      <c r="O11" s="53"/>
      <c r="P11" s="53"/>
      <c r="Q11" s="53"/>
      <c r="R11" s="53"/>
    </row>
    <row r="12" spans="1:18" ht="27.6" x14ac:dyDescent="0.25">
      <c r="A12" s="86" t="s">
        <v>128</v>
      </c>
      <c r="B12" s="55"/>
      <c r="C12" s="61" t="s">
        <v>232</v>
      </c>
      <c r="D12" s="66">
        <v>1</v>
      </c>
      <c r="E12" s="66"/>
      <c r="F12" s="66"/>
      <c r="G12" s="66"/>
      <c r="H12" s="66"/>
      <c r="I12" s="66"/>
      <c r="J12" s="78">
        <f t="shared" ref="J12:J31" si="1">$D$4*D12+$E$4*E12+$F$4*F12+$G$4*G12+$H$4*H12+$I$4*I12</f>
        <v>1</v>
      </c>
      <c r="K12" s="55"/>
      <c r="L12" s="55"/>
      <c r="M12" s="59"/>
      <c r="N12" s="53"/>
      <c r="O12" s="53"/>
      <c r="P12" s="53"/>
      <c r="Q12" s="53"/>
      <c r="R12" s="53"/>
    </row>
    <row r="13" spans="1:18" ht="27.6" x14ac:dyDescent="0.25">
      <c r="A13" s="87"/>
      <c r="B13" s="55"/>
      <c r="C13" s="61" t="s">
        <v>233</v>
      </c>
      <c r="D13" s="66"/>
      <c r="E13" s="66">
        <v>1</v>
      </c>
      <c r="F13" s="66"/>
      <c r="G13" s="66"/>
      <c r="H13" s="66"/>
      <c r="I13" s="66"/>
      <c r="J13" s="78">
        <f t="shared" si="1"/>
        <v>1</v>
      </c>
      <c r="K13" s="55"/>
      <c r="L13" s="55"/>
      <c r="M13" s="59"/>
      <c r="N13" s="53"/>
      <c r="O13" s="53"/>
      <c r="P13" s="53"/>
      <c r="Q13" s="53"/>
      <c r="R13" s="53"/>
    </row>
    <row r="14" spans="1:18" ht="27.6" x14ac:dyDescent="0.25">
      <c r="A14" s="87"/>
      <c r="B14" s="55"/>
      <c r="C14" s="61" t="s">
        <v>214</v>
      </c>
      <c r="D14" s="66"/>
      <c r="E14" s="66"/>
      <c r="F14" s="66">
        <v>1</v>
      </c>
      <c r="G14" s="66">
        <v>1</v>
      </c>
      <c r="H14" s="66"/>
      <c r="I14" s="66"/>
      <c r="J14" s="78">
        <f t="shared" si="1"/>
        <v>3</v>
      </c>
      <c r="K14" s="55"/>
      <c r="L14" s="55"/>
      <c r="M14" s="59"/>
      <c r="N14" s="53"/>
      <c r="O14" s="53"/>
      <c r="P14" s="53"/>
      <c r="Q14" s="53"/>
      <c r="R14" s="53"/>
    </row>
    <row r="15" spans="1:18" ht="27.6" x14ac:dyDescent="0.25">
      <c r="A15" s="88"/>
      <c r="B15" s="55"/>
      <c r="C15" s="79" t="s">
        <v>215</v>
      </c>
      <c r="D15" s="66"/>
      <c r="E15" s="66"/>
      <c r="F15" s="66"/>
      <c r="G15" s="66"/>
      <c r="H15" s="66">
        <v>1</v>
      </c>
      <c r="I15" s="66">
        <v>1</v>
      </c>
      <c r="J15" s="78">
        <f t="shared" si="1"/>
        <v>3</v>
      </c>
      <c r="K15" s="55"/>
      <c r="L15" s="55"/>
      <c r="M15" s="59"/>
      <c r="N15" s="53"/>
      <c r="O15" s="53"/>
      <c r="P15" s="53"/>
      <c r="Q15" s="53"/>
      <c r="R15" s="53"/>
    </row>
    <row r="16" spans="1:18" ht="27.6" x14ac:dyDescent="0.25">
      <c r="A16" s="86" t="s">
        <v>129</v>
      </c>
      <c r="B16" s="55"/>
      <c r="C16" s="79" t="s">
        <v>234</v>
      </c>
      <c r="D16" s="66">
        <v>1</v>
      </c>
      <c r="E16" s="66"/>
      <c r="F16" s="66"/>
      <c r="G16" s="66"/>
      <c r="H16" s="66"/>
      <c r="I16" s="66"/>
      <c r="J16" s="78">
        <f t="shared" si="1"/>
        <v>1</v>
      </c>
      <c r="K16" s="55"/>
      <c r="L16" s="55"/>
      <c r="M16" s="59"/>
      <c r="N16" s="53"/>
      <c r="O16" s="53"/>
      <c r="P16" s="53"/>
      <c r="Q16" s="53"/>
      <c r="R16" s="53"/>
    </row>
    <row r="17" spans="1:18" ht="27.6" x14ac:dyDescent="0.25">
      <c r="A17" s="87"/>
      <c r="B17" s="55"/>
      <c r="C17" s="79" t="s">
        <v>235</v>
      </c>
      <c r="D17" s="66"/>
      <c r="E17" s="66">
        <v>1</v>
      </c>
      <c r="F17" s="66"/>
      <c r="G17" s="66"/>
      <c r="H17" s="66"/>
      <c r="I17" s="66"/>
      <c r="J17" s="78">
        <f t="shared" si="1"/>
        <v>1</v>
      </c>
      <c r="K17" s="55"/>
      <c r="L17" s="55"/>
      <c r="M17" s="59"/>
      <c r="N17" s="53"/>
      <c r="O17" s="53"/>
      <c r="P17" s="53"/>
      <c r="Q17" s="53"/>
      <c r="R17" s="53"/>
    </row>
    <row r="18" spans="1:18" ht="27.6" x14ac:dyDescent="0.25">
      <c r="A18" s="87"/>
      <c r="B18" s="55"/>
      <c r="C18" s="61" t="s">
        <v>217</v>
      </c>
      <c r="D18" s="66"/>
      <c r="E18" s="66"/>
      <c r="F18" s="66">
        <v>1</v>
      </c>
      <c r="G18" s="66">
        <v>1</v>
      </c>
      <c r="H18" s="66"/>
      <c r="I18" s="66"/>
      <c r="J18" s="78">
        <f t="shared" si="1"/>
        <v>3</v>
      </c>
      <c r="K18" s="55"/>
      <c r="L18" s="55"/>
      <c r="M18" s="59"/>
      <c r="N18" s="53"/>
      <c r="O18" s="53"/>
      <c r="P18" s="53"/>
      <c r="Q18" s="53"/>
      <c r="R18" s="53"/>
    </row>
    <row r="19" spans="1:18" ht="27.6" x14ac:dyDescent="0.25">
      <c r="A19" s="88"/>
      <c r="B19" s="55"/>
      <c r="C19" s="79" t="s">
        <v>216</v>
      </c>
      <c r="D19" s="66"/>
      <c r="E19" s="66"/>
      <c r="F19" s="66"/>
      <c r="G19" s="66"/>
      <c r="H19" s="66">
        <v>1</v>
      </c>
      <c r="I19" s="66">
        <v>1</v>
      </c>
      <c r="J19" s="78">
        <f t="shared" si="1"/>
        <v>3</v>
      </c>
      <c r="K19" s="55"/>
      <c r="L19" s="55"/>
      <c r="M19" s="59"/>
      <c r="N19" s="53"/>
      <c r="O19" s="53"/>
      <c r="P19" s="53"/>
      <c r="Q19" s="53"/>
      <c r="R19" s="53"/>
    </row>
    <row r="20" spans="1:18" ht="27.6" x14ac:dyDescent="0.25">
      <c r="A20" s="63" t="s">
        <v>130</v>
      </c>
      <c r="B20" s="57" t="s">
        <v>148</v>
      </c>
      <c r="C20" s="61" t="s">
        <v>179</v>
      </c>
      <c r="D20" s="67">
        <v>4</v>
      </c>
      <c r="E20" s="67">
        <v>4</v>
      </c>
      <c r="F20" s="67">
        <v>4</v>
      </c>
      <c r="G20" s="67">
        <v>4</v>
      </c>
      <c r="H20" s="67">
        <v>4</v>
      </c>
      <c r="I20" s="67">
        <v>4</v>
      </c>
      <c r="J20" s="78">
        <f t="shared" si="1"/>
        <v>32</v>
      </c>
      <c r="K20" s="60"/>
      <c r="L20" s="60"/>
      <c r="M20" s="58"/>
      <c r="N20" s="53"/>
      <c r="O20" s="53"/>
      <c r="P20" s="53"/>
      <c r="Q20" s="53"/>
      <c r="R20" s="53"/>
    </row>
    <row r="21" spans="1:18" x14ac:dyDescent="0.25">
      <c r="A21" s="63" t="s">
        <v>131</v>
      </c>
      <c r="B21" s="57" t="s">
        <v>149</v>
      </c>
      <c r="C21" s="60" t="s">
        <v>178</v>
      </c>
      <c r="D21" s="67">
        <v>1</v>
      </c>
      <c r="E21" s="67">
        <v>1</v>
      </c>
      <c r="F21" s="67">
        <v>1</v>
      </c>
      <c r="G21" s="67">
        <v>1</v>
      </c>
      <c r="H21" s="67">
        <v>1</v>
      </c>
      <c r="I21" s="67">
        <v>1</v>
      </c>
      <c r="J21" s="78">
        <f t="shared" si="1"/>
        <v>8</v>
      </c>
      <c r="K21" s="60"/>
      <c r="L21" s="60"/>
      <c r="M21" s="58"/>
      <c r="N21" s="53"/>
      <c r="O21" s="53"/>
      <c r="P21" s="53"/>
      <c r="Q21" s="53"/>
      <c r="R21" s="53"/>
    </row>
    <row r="22" spans="1:18" ht="27.6" x14ac:dyDescent="0.25">
      <c r="A22" s="63" t="s">
        <v>132</v>
      </c>
      <c r="B22" s="57" t="s">
        <v>150</v>
      </c>
      <c r="C22" s="61" t="s">
        <v>180</v>
      </c>
      <c r="D22" s="67">
        <v>2</v>
      </c>
      <c r="E22" s="67">
        <v>2</v>
      </c>
      <c r="F22" s="67">
        <v>2</v>
      </c>
      <c r="G22" s="67">
        <v>2</v>
      </c>
      <c r="H22" s="67">
        <v>2</v>
      </c>
      <c r="I22" s="67">
        <v>2</v>
      </c>
      <c r="J22" s="78">
        <f t="shared" si="1"/>
        <v>16</v>
      </c>
      <c r="K22" s="60"/>
      <c r="L22" s="60"/>
      <c r="M22" s="58"/>
      <c r="N22" s="53"/>
      <c r="O22" s="53"/>
      <c r="P22" s="53"/>
      <c r="Q22" s="53"/>
      <c r="R22" s="53"/>
    </row>
    <row r="23" spans="1:18" x14ac:dyDescent="0.25">
      <c r="A23" s="63" t="s">
        <v>133</v>
      </c>
      <c r="B23" s="55"/>
      <c r="C23" s="60" t="s">
        <v>159</v>
      </c>
      <c r="D23" s="67">
        <v>1</v>
      </c>
      <c r="E23" s="67">
        <v>1</v>
      </c>
      <c r="F23" s="67">
        <v>1</v>
      </c>
      <c r="G23" s="67">
        <v>1</v>
      </c>
      <c r="H23" s="67">
        <v>1</v>
      </c>
      <c r="I23" s="67">
        <v>1</v>
      </c>
      <c r="J23" s="78">
        <f t="shared" si="1"/>
        <v>8</v>
      </c>
      <c r="K23" s="60"/>
      <c r="L23" s="60"/>
      <c r="M23" s="58"/>
      <c r="N23" s="53"/>
      <c r="O23" s="53"/>
      <c r="P23" s="53"/>
      <c r="Q23" s="53"/>
      <c r="R23" s="53"/>
    </row>
    <row r="24" spans="1:18" x14ac:dyDescent="0.25">
      <c r="A24" s="63" t="s">
        <v>134</v>
      </c>
      <c r="B24" s="55"/>
      <c r="C24" s="60" t="s">
        <v>151</v>
      </c>
      <c r="D24" s="67">
        <v>9</v>
      </c>
      <c r="E24" s="67">
        <v>9</v>
      </c>
      <c r="F24" s="67">
        <v>9</v>
      </c>
      <c r="G24" s="67">
        <v>9</v>
      </c>
      <c r="H24" s="67">
        <v>9</v>
      </c>
      <c r="I24" s="67">
        <v>9</v>
      </c>
      <c r="J24" s="78">
        <f t="shared" si="1"/>
        <v>72</v>
      </c>
      <c r="K24" s="60"/>
      <c r="L24" s="60"/>
      <c r="M24" s="58"/>
      <c r="N24" s="53"/>
      <c r="O24" s="53"/>
      <c r="P24" s="53"/>
      <c r="Q24" s="53"/>
      <c r="R24" s="53"/>
    </row>
    <row r="25" spans="1:18" x14ac:dyDescent="0.25">
      <c r="A25" s="63" t="s">
        <v>135</v>
      </c>
      <c r="B25" s="55"/>
      <c r="C25" s="60" t="s">
        <v>152</v>
      </c>
      <c r="D25" s="67">
        <v>3</v>
      </c>
      <c r="E25" s="67">
        <v>3</v>
      </c>
      <c r="F25" s="67">
        <v>3</v>
      </c>
      <c r="G25" s="67">
        <v>3</v>
      </c>
      <c r="H25" s="67">
        <v>3</v>
      </c>
      <c r="I25" s="67">
        <v>3</v>
      </c>
      <c r="J25" s="78">
        <f t="shared" si="1"/>
        <v>24</v>
      </c>
      <c r="K25" s="60"/>
      <c r="L25" s="60"/>
      <c r="M25" s="58"/>
      <c r="N25" s="53"/>
      <c r="O25" s="53"/>
      <c r="P25" s="53"/>
      <c r="Q25" s="53"/>
      <c r="R25" s="53"/>
    </row>
    <row r="26" spans="1:18" x14ac:dyDescent="0.25">
      <c r="A26" s="63" t="s">
        <v>136</v>
      </c>
      <c r="B26" s="55"/>
      <c r="C26" s="60" t="s">
        <v>153</v>
      </c>
      <c r="D26" s="67">
        <v>6</v>
      </c>
      <c r="E26" s="67">
        <v>6</v>
      </c>
      <c r="F26" s="67">
        <v>6</v>
      </c>
      <c r="G26" s="67">
        <v>6</v>
      </c>
      <c r="H26" s="67">
        <v>6</v>
      </c>
      <c r="I26" s="67">
        <v>6</v>
      </c>
      <c r="J26" s="78">
        <f t="shared" si="1"/>
        <v>48</v>
      </c>
      <c r="K26" s="60"/>
      <c r="L26" s="60"/>
      <c r="M26" s="58"/>
      <c r="N26" s="53"/>
      <c r="O26" s="53"/>
      <c r="P26" s="53"/>
      <c r="Q26" s="53"/>
      <c r="R26" s="53"/>
    </row>
    <row r="27" spans="1:18" x14ac:dyDescent="0.25">
      <c r="A27" s="63" t="s">
        <v>137</v>
      </c>
      <c r="B27" s="55"/>
      <c r="C27" s="74" t="s">
        <v>218</v>
      </c>
      <c r="D27" s="67"/>
      <c r="E27" s="67"/>
      <c r="F27" s="67"/>
      <c r="G27" s="67"/>
      <c r="H27" s="67">
        <v>1</v>
      </c>
      <c r="I27" s="67">
        <v>1</v>
      </c>
      <c r="J27" s="78">
        <f t="shared" si="1"/>
        <v>3</v>
      </c>
      <c r="K27" s="60"/>
      <c r="L27" s="60"/>
      <c r="M27" s="59"/>
      <c r="N27" s="53"/>
      <c r="O27" s="53"/>
      <c r="P27" s="53"/>
      <c r="Q27" s="53"/>
      <c r="R27" s="53"/>
    </row>
    <row r="28" spans="1:18" x14ac:dyDescent="0.25">
      <c r="A28" s="63" t="s">
        <v>138</v>
      </c>
      <c r="B28" s="55"/>
      <c r="C28" s="60" t="s">
        <v>158</v>
      </c>
      <c r="D28" s="67">
        <v>3</v>
      </c>
      <c r="E28" s="67">
        <v>3</v>
      </c>
      <c r="F28" s="67">
        <v>3</v>
      </c>
      <c r="G28" s="67">
        <v>3</v>
      </c>
      <c r="H28" s="67">
        <v>3</v>
      </c>
      <c r="I28" s="67">
        <v>3</v>
      </c>
      <c r="J28" s="78">
        <f t="shared" si="1"/>
        <v>24</v>
      </c>
      <c r="K28" s="60"/>
      <c r="L28" s="60" t="s">
        <v>161</v>
      </c>
      <c r="M28" s="58"/>
      <c r="N28" s="53"/>
      <c r="O28" s="53"/>
      <c r="P28" s="53"/>
      <c r="Q28" s="53"/>
      <c r="R28" s="53"/>
    </row>
    <row r="29" spans="1:18" ht="27.6" x14ac:dyDescent="0.25">
      <c r="A29" s="63" t="s">
        <v>139</v>
      </c>
      <c r="B29" s="55"/>
      <c r="C29" s="61" t="s">
        <v>181</v>
      </c>
      <c r="D29" s="67">
        <v>2</v>
      </c>
      <c r="E29" s="67">
        <v>2</v>
      </c>
      <c r="F29" s="67">
        <v>2</v>
      </c>
      <c r="G29" s="67">
        <v>2</v>
      </c>
      <c r="H29" s="67">
        <v>2</v>
      </c>
      <c r="I29" s="67">
        <v>2</v>
      </c>
      <c r="J29" s="78">
        <f t="shared" si="1"/>
        <v>16</v>
      </c>
      <c r="K29" s="60"/>
      <c r="L29" s="60"/>
      <c r="M29" s="58"/>
      <c r="N29" s="53"/>
      <c r="O29" s="53"/>
      <c r="P29" s="53"/>
      <c r="Q29" s="53"/>
      <c r="R29" s="53"/>
    </row>
    <row r="30" spans="1:18" ht="27.6" x14ac:dyDescent="0.25">
      <c r="A30" s="63" t="s">
        <v>185</v>
      </c>
      <c r="B30" s="55"/>
      <c r="C30" s="61" t="s">
        <v>182</v>
      </c>
      <c r="D30" s="67">
        <v>2</v>
      </c>
      <c r="E30" s="67">
        <v>2</v>
      </c>
      <c r="F30" s="67">
        <v>2</v>
      </c>
      <c r="G30" s="67">
        <v>2</v>
      </c>
      <c r="H30" s="67">
        <v>2</v>
      </c>
      <c r="I30" s="67">
        <v>2</v>
      </c>
      <c r="J30" s="78">
        <f t="shared" si="1"/>
        <v>16</v>
      </c>
      <c r="K30" s="60"/>
      <c r="L30" s="60"/>
      <c r="M30" s="58"/>
      <c r="N30" s="53"/>
      <c r="O30" s="53"/>
      <c r="P30" s="53"/>
      <c r="Q30" s="53"/>
      <c r="R30" s="53"/>
    </row>
    <row r="31" spans="1:18" x14ac:dyDescent="0.25">
      <c r="A31" s="63" t="s">
        <v>186</v>
      </c>
      <c r="B31" s="55"/>
      <c r="C31" s="74" t="s">
        <v>155</v>
      </c>
      <c r="D31" s="67"/>
      <c r="E31" s="67"/>
      <c r="F31" s="67"/>
      <c r="G31" s="67"/>
      <c r="H31" s="67">
        <v>7</v>
      </c>
      <c r="I31" s="67">
        <v>7</v>
      </c>
      <c r="J31" s="78">
        <f t="shared" si="1"/>
        <v>21</v>
      </c>
      <c r="K31" s="60"/>
      <c r="L31" s="60"/>
      <c r="M31" s="58"/>
      <c r="N31" s="53"/>
      <c r="O31" s="53"/>
      <c r="P31" s="53"/>
      <c r="Q31" s="53"/>
      <c r="R31" s="53"/>
    </row>
    <row r="32" spans="1:18" x14ac:dyDescent="0.25">
      <c r="D32" s="53"/>
      <c r="E32" s="53"/>
      <c r="F32" s="53"/>
      <c r="G32" s="53"/>
      <c r="H32" s="53"/>
      <c r="I32" s="53"/>
      <c r="J32" s="53"/>
    </row>
    <row r="33" spans="2:3" x14ac:dyDescent="0.25">
      <c r="C33" t="s">
        <v>204</v>
      </c>
    </row>
    <row r="34" spans="2:3" x14ac:dyDescent="0.25">
      <c r="B34" s="72" t="s">
        <v>205</v>
      </c>
      <c r="C34" t="s">
        <v>227</v>
      </c>
    </row>
    <row r="35" spans="2:3" x14ac:dyDescent="0.25">
      <c r="B35" s="72" t="s">
        <v>206</v>
      </c>
      <c r="C35" t="s">
        <v>240</v>
      </c>
    </row>
    <row r="36" spans="2:3" x14ac:dyDescent="0.25">
      <c r="C36" t="s">
        <v>242</v>
      </c>
    </row>
    <row r="37" spans="2:3" x14ac:dyDescent="0.25">
      <c r="C37" t="s">
        <v>250</v>
      </c>
    </row>
    <row r="38" spans="2:3" x14ac:dyDescent="0.25">
      <c r="C38" t="s">
        <v>251</v>
      </c>
    </row>
    <row r="39" spans="2:3" x14ac:dyDescent="0.25">
      <c r="C39" t="s">
        <v>252</v>
      </c>
    </row>
    <row r="40" spans="2:3" x14ac:dyDescent="0.25">
      <c r="C40" t="s">
        <v>253</v>
      </c>
    </row>
  </sheetData>
  <mergeCells count="8">
    <mergeCell ref="A12:A15"/>
    <mergeCell ref="A16:A19"/>
    <mergeCell ref="A1:L1"/>
    <mergeCell ref="A2:A3"/>
    <mergeCell ref="B2:B3"/>
    <mergeCell ref="C2:C3"/>
    <mergeCell ref="D2:J2"/>
    <mergeCell ref="A7:A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8</vt:i4>
      </vt:variant>
      <vt:variant>
        <vt:lpstr>Именованные диапазоны</vt:lpstr>
      </vt:variant>
      <vt:variant>
        <vt:i4>16</vt:i4>
      </vt:variant>
    </vt:vector>
  </HeadingPairs>
  <TitlesOfParts>
    <vt:vector size="24" baseType="lpstr">
      <vt:lpstr>Смесительные узлы</vt:lpstr>
      <vt:lpstr>схема</vt:lpstr>
      <vt:lpstr>57</vt:lpstr>
      <vt:lpstr>111</vt:lpstr>
      <vt:lpstr>110</vt:lpstr>
      <vt:lpstr>61.17</vt:lpstr>
      <vt:lpstr>61.2</vt:lpstr>
      <vt:lpstr>56</vt:lpstr>
      <vt:lpstr>'Смесительные узлы'!Print_Area</vt:lpstr>
      <vt:lpstr>'61.2'!ГСО61.2</vt:lpstr>
      <vt:lpstr>'110'!СОдля110</vt:lpstr>
      <vt:lpstr>'111'!СОдля111</vt:lpstr>
      <vt:lpstr>'56'!СОдля56</vt:lpstr>
      <vt:lpstr>'57'!СОдля57</vt:lpstr>
      <vt:lpstr>'61.17'!СОдля61.17</vt:lpstr>
      <vt:lpstr>'61.2'!СОдля61.2</vt:lpstr>
      <vt:lpstr>'110'!Спецификация_к_схеме_узла_теплоснабжения_вентиляционных_установок</vt:lpstr>
      <vt:lpstr>'111'!Спецификация_к_схеме_узла_теплоснабжения_вентиляционных_установок</vt:lpstr>
      <vt:lpstr>'56'!Спецификация_к_схеме_узла_теплоснабжения_вентиляционных_установок</vt:lpstr>
      <vt:lpstr>'57'!Спецификация_к_схеме_узла_теплоснабжения_вентиляционных_установок</vt:lpstr>
      <vt:lpstr>'61.17'!Спецификация_к_схеме_узла_теплоснабжения_вентиляционных_установок</vt:lpstr>
      <vt:lpstr>'61.2'!Спецификация_к_схеме_узла_теплоснабжения_вентиляционных_установок</vt:lpstr>
      <vt:lpstr>схема!Спецификация_к_схеме_узла_теплоснабжения_вентиляционных_установок</vt:lpstr>
      <vt:lpstr>'Смесительные узлы'!Характеристики_систем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Кильяков Алексей Сергеевич</dc:creator>
  <cp:lastModifiedBy>Кильяков Алексей Сергеевич</cp:lastModifiedBy>
  <cp:lastPrinted>2025-06-20T06:40:24Z</cp:lastPrinted>
  <dcterms:created xsi:type="dcterms:W3CDTF">2025-06-20T06:38:54Z</dcterms:created>
  <dcterms:modified xsi:type="dcterms:W3CDTF">2025-08-20T18:14:39Z</dcterms:modified>
</cp:coreProperties>
</file>