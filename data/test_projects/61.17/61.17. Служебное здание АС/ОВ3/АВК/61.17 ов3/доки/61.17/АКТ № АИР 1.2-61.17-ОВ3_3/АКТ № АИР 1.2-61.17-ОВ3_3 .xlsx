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3\"/>
    </mc:Choice>
  </mc:AlternateContent>
  <xr:revisionPtr revIDLastSave="0" documentId="13_ncr:1_{8BA79663-D475-4AE9-808B-628F0FB7C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акт!$A$1:$BU$65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8" l="1"/>
  <c r="A45" i="18" l="1"/>
  <c r="S19" i="18" l="1"/>
  <c r="S17" i="18"/>
  <c r="S15" i="18"/>
  <c r="A51" i="18" l="1"/>
  <c r="X60" i="18" l="1"/>
  <c r="X57" i="18"/>
  <c r="BH54" i="18"/>
  <c r="BH60" i="18" s="1"/>
  <c r="X54" i="18"/>
  <c r="Y50" i="18"/>
  <c r="AA42" i="18"/>
  <c r="Q41" i="18"/>
  <c r="BH57" i="18" l="1"/>
</calcChain>
</file>

<file path=xl/sharedStrings.xml><?xml version="1.0" encoding="utf-8"?>
<sst xmlns="http://schemas.openxmlformats.org/spreadsheetml/2006/main" count="142" uniqueCount="118">
  <si>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</si>
  <si>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</si>
  <si>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</si>
  <si>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</si>
  <si>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</si>
  <si>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</si>
  <si>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</si>
  <si>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</si>
  <si>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</si>
  <si>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</si>
  <si>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</si>
  <si>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</si>
  <si>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</si>
  <si>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</si>
  <si>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</si>
  <si>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</si>
  <si>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</si>
  <si>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</si>
  <si>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</si>
  <si>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</si>
  <si>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</si>
  <si>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</si>
  <si>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</si>
  <si>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</si>
  <si>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</si>
  <si>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</si>
  <si>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</si>
  <si>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</si>
  <si>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</si>
  <si>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</si>
  <si>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</si>
  <si>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</si>
  <si>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</si>
  <si>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</si>
  <si>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</si>
  <si>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</si>
  <si>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</si>
  <si>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</si>
  <si>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</si>
  <si>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</si>
  <si>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</si>
  <si>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</si>
  <si>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</si>
  <si>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</si>
  <si>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</si>
  <si>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</si>
  <si>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</si>
  <si>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</si>
  <si>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</si>
  <si>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</si>
  <si>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</si>
  <si>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</si>
  <si>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</si>
  <si>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</si>
  <si>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</si>
  <si>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</si>
  <si>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</si>
  <si>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</si>
  <si>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</si>
  <si>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</si>
  <si>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</si>
  <si>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</si>
  <si>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</si>
  <si>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</si>
  <si>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</si>
  <si>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</si>
  <si>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</si>
  <si>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ВК произведен 
в соответствиями 
с требованиями НТД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</si>
  <si>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</si>
  <si>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</si>
  <si>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</si>
  <si>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</si>
  <si>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</si>
  <si>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</si>
  <si>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</si>
  <si>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</si>
  <si>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</si>
  <si>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</si>
  <si>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</si>
  <si>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</si>
  <si>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</si>
  <si>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Объемы материала не указываются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</si>
  <si>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</si>
  <si>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</si>
  <si>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</si>
  <si>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</si>
  <si>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</si>
  <si>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</si>
  <si>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</si>
  <si>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</si>
  <si>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</si>
  <si>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</si>
  <si>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</si>
  <si>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</si>
  <si>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</si>
  <si>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</si>
  <si>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</si>
  <si>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</si>
  <si>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</si>
  <si>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</si>
  <si>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</si>
  <si>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</si>
  <si>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</si>
  <si>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</si>
  <si>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</si>
  <si>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</si>
  <si>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</si>
  <si>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</si>
  <si>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>что:</t>
  </si>
  <si>
    <t>Тишаков В.В.</t>
  </si>
  <si>
    <t>АИР 1.2-61.17-ОВ3/3</t>
  </si>
  <si>
    <t>ПП2020РД-1.2-61.17-ОВ3, ПП2020РД-1.2-61.17-ОВ3.СО изм.2 л. 2</t>
  </si>
  <si>
    <t>Паспорт на изделия № 1632-15 от 23.10.2023 г.;</t>
  </si>
  <si>
    <t>Рефнет-разветвитель универсальный FQZHN-01D</t>
  </si>
  <si>
    <t>Рефнет-разветвитель универсальный FQZHN-01D - 13 компл.</t>
  </si>
  <si>
    <t>Сертификат соответствия № РОСС CN.HE06.H04240 с 23.03.2023 г.по 22.03.2026 г.</t>
  </si>
  <si>
    <t>ГОСТ 32590-2013; ГОСТ Р 52922-2008</t>
  </si>
  <si>
    <t>6,4/28,6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</si>
</sst>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8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99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wrapText="1"/>
    </xf>
    <xf numFmtId="0" fontId="13" fillId="2" borderId="0" xfId="1" applyFont="1" applyFill="1"/>
    <xf numFmtId="0" fontId="11" fillId="2" borderId="0" xfId="1" applyFont="1" applyFill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0" borderId="0" xfId="1" applyFont="1"/>
    <xf numFmtId="0" fontId="14" fillId="2" borderId="0" xfId="1" applyFont="1" applyFill="1" applyAlignment="1">
      <alignment wrapText="1"/>
    </xf>
    <xf numFmtId="14" fontId="13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12" fillId="2" borderId="0" xfId="1" applyFont="1" applyFill="1" applyAlignment="1">
      <alignment wrapText="1"/>
    </xf>
    <xf numFmtId="0" fontId="13" fillId="2" borderId="0" xfId="1" applyFont="1" applyFill="1" applyAlignment="1">
      <alignment wrapText="1"/>
    </xf>
    <xf numFmtId="0" fontId="11" fillId="2" borderId="0" xfId="1" applyFont="1" applyFill="1" applyAlignment="1">
      <alignment horizontal="center" vertical="top" wrapText="1"/>
    </xf>
    <xf numFmtId="165" fontId="10" fillId="2" borderId="0" xfId="1" applyNumberFormat="1" applyFont="1" applyFill="1" applyAlignment="1">
      <alignment vertical="center" wrapText="1"/>
    </xf>
    <xf numFmtId="165" fontId="10" fillId="2" borderId="0" xfId="1" applyNumberFormat="1" applyFont="1" applyFill="1" applyAlignment="1">
      <alignment vertical="top" wrapText="1"/>
    </xf>
    <xf numFmtId="14" fontId="13" fillId="2" borderId="0" xfId="1" applyNumberFormat="1" applyFont="1" applyFill="1" applyAlignment="1">
      <alignment vertical="top" wrapText="1"/>
    </xf>
    <xf numFmtId="14" fontId="10" fillId="2" borderId="0" xfId="1" applyNumberFormat="1" applyFont="1" applyFill="1" applyAlignment="1">
      <alignment vertical="top" wrapText="1"/>
    </xf>
    <xf numFmtId="0" fontId="5" fillId="0" borderId="0" xfId="0" applyFont="1"/>
    <xf numFmtId="0" fontId="15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5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14" fontId="16" fillId="0" borderId="0" xfId="0" applyNumberFormat="1" applyFont="1" applyAlignment="1">
      <alignment vertical="center"/>
    </xf>
    <xf numFmtId="0" fontId="1" fillId="0" borderId="0" xfId="0" applyFont="1"/>
    <xf numFmtId="0" fontId="11" fillId="2" borderId="0" xfId="1" applyFont="1" applyFill="1" applyAlignment="1">
      <alignment horizontal="left" wrapText="1"/>
    </xf>
    <xf numFmtId="0" fontId="11" fillId="2" borderId="0" xfId="1" applyFont="1" applyFill="1" applyAlignment="1">
      <alignment horizontal="center" vertical="top"/>
    </xf>
    <xf numFmtId="0" fontId="17" fillId="0" borderId="0" xfId="0" applyFont="1"/>
    <xf numFmtId="0" fontId="17" fillId="0" borderId="0" xfId="0" applyFont="1" applyFill="1"/>
    <xf numFmtId="0" fontId="17" fillId="0" borderId="0" xfId="0" applyFont="1" applyAlignment="1">
      <alignment horizontal="left" vertical="top" wrapText="1"/>
    </xf>
    <xf numFmtId="14" fontId="13" fillId="4" borderId="1" xfId="1" applyNumberFormat="1" applyFont="1" applyFill="1" applyBorder="1" applyAlignment="1">
      <alignment horizontal="left" wrapText="1"/>
    </xf>
    <xf numFmtId="14" fontId="13" fillId="3" borderId="1" xfId="1" applyNumberFormat="1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14" fontId="13" fillId="0" borderId="1" xfId="1" applyNumberFormat="1" applyFont="1" applyFill="1" applyBorder="1" applyAlignment="1">
      <alignment horizontal="left" vertical="top" wrapText="1"/>
    </xf>
    <xf numFmtId="0" fontId="13" fillId="4" borderId="1" xfId="1" applyFont="1" applyFill="1" applyBorder="1" applyAlignment="1">
      <alignment horizontal="left"/>
    </xf>
    <xf numFmtId="0" fontId="11" fillId="2" borderId="2" xfId="1" applyFont="1" applyFill="1" applyBorder="1" applyAlignment="1">
      <alignment horizontal="center" vertical="top"/>
    </xf>
    <xf numFmtId="0" fontId="11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3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165" fontId="11" fillId="3" borderId="1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14" fontId="11" fillId="3" borderId="1" xfId="1" applyNumberFormat="1" applyFont="1" applyFill="1" applyBorder="1" applyAlignment="1">
      <alignment horizontal="center"/>
    </xf>
    <xf numFmtId="0" fontId="11" fillId="3" borderId="1" xfId="1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0" fillId="3" borderId="0" xfId="1" applyFont="1" applyFill="1" applyAlignment="1">
      <alignment horizontal="left" vertical="top" wrapText="1"/>
    </xf>
    <xf numFmtId="0" fontId="10" fillId="5" borderId="0" xfId="1" applyFont="1" applyFill="1" applyAlignment="1">
      <alignment horizontal="left" vertical="top"/>
    </xf>
    <xf numFmtId="0" fontId="13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4" fontId="11" fillId="2" borderId="0" xfId="1" applyNumberFormat="1" applyFont="1" applyFill="1" applyAlignment="1">
      <alignment horizontal="center"/>
    </xf>
    <xf numFmtId="0" fontId="11" fillId="3" borderId="1" xfId="1" applyFont="1" applyFill="1" applyBorder="1" applyAlignment="1">
      <alignment horizontal="left" wrapText="1"/>
    </xf>
    <xf numFmtId="0" fontId="11" fillId="3" borderId="1" xfId="1" applyFont="1" applyFill="1" applyBorder="1" applyAlignment="1">
      <alignment horizontal="right"/>
    </xf>
    <xf numFmtId="0" fontId="11" fillId="3" borderId="0" xfId="1" applyFont="1" applyFill="1" applyAlignment="1">
      <alignment horizontal="left" wrapText="1"/>
    </xf>
    <xf numFmtId="0" fontId="11" fillId="3" borderId="1" xfId="1" applyFont="1" applyFill="1" applyBorder="1" applyAlignment="1">
      <alignment horizontal="right" vertical="center"/>
    </xf>
    <xf numFmtId="14" fontId="11" fillId="2" borderId="0" xfId="1" applyNumberFormat="1" applyFont="1" applyFill="1" applyAlignment="1">
      <alignment horizontal="center" vertical="top" wrapText="1"/>
    </xf>
    <xf numFmtId="0" fontId="10" fillId="4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horizontal="center" vertical="center"/>
    </xf>
    <xf numFmtId="14" fontId="11" fillId="2" borderId="1" xfId="1" applyNumberFormat="1" applyFont="1" applyFill="1" applyBorder="1" applyAlignment="1">
      <alignment horizontal="center" wrapText="1"/>
    </xf>
    <xf numFmtId="0" fontId="13" fillId="0" borderId="3" xfId="1" applyFont="1" applyFill="1" applyBorder="1" applyAlignment="1">
      <alignment horizontal="left"/>
    </xf>
    <xf numFmtId="0" fontId="13" fillId="4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14" fontId="13" fillId="2" borderId="0" xfId="1" applyNumberFormat="1" applyFont="1" applyFill="1" applyAlignment="1">
      <alignment horizontal="center" wrapText="1"/>
    </xf>
    <xf numFmtId="164" fontId="13" fillId="4" borderId="1" xfId="1" applyNumberFormat="1" applyFont="1" applyFill="1" applyBorder="1" applyAlignment="1">
      <alignment horizontal="center"/>
    </xf>
    <xf numFmtId="14" fontId="13" fillId="4" borderId="3" xfId="1" applyNumberFormat="1" applyFont="1" applyFill="1" applyBorder="1" applyAlignment="1">
      <alignment horizontal="left" wrapText="1"/>
    </xf>
    <xf numFmtId="49" fontId="12" fillId="2" borderId="0" xfId="1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left"/>
    </xf>
    <xf numFmtId="0" fontId="11" fillId="2" borderId="0" xfId="1" applyFont="1" applyFill="1" applyAlignment="1">
      <alignment horizontal="left" wrapText="1"/>
    </xf>
    <xf numFmtId="49" fontId="11" fillId="2" borderId="0" xfId="1" applyNumberFormat="1" applyFont="1" applyFill="1" applyAlignment="1">
      <alignment horizontal="center"/>
    </xf>
    <xf numFmtId="0" fontId="13" fillId="4" borderId="1" xfId="1" applyFont="1" applyFill="1" applyBorder="1" applyAlignment="1">
      <alignment horizontal="left" wrapText="1"/>
    </xf>
    <xf numFmtId="14" fontId="13" fillId="3" borderId="1" xfId="1" applyNumberFormat="1" applyFont="1" applyFill="1" applyBorder="1" applyAlignment="1">
      <alignment horizontal="left" vertical="top" wrapText="1"/>
    </xf>
    <xf numFmtId="0" fontId="13" fillId="3" borderId="3" xfId="1" applyFont="1" applyFill="1" applyBorder="1" applyAlignment="1">
      <alignment horizontal="left"/>
    </xf>
    <xf numFmtId="165" fontId="10" fillId="3" borderId="0" xfId="1" applyNumberFormat="1" applyFont="1" applyFill="1" applyAlignment="1">
      <alignment horizontal="left" vertical="top" wrapText="1"/>
    </xf>
    <xf numFmtId="0" fontId="13" fillId="3" borderId="1" xfId="1" applyFont="1" applyFill="1" applyBorder="1" applyAlignment="1">
      <alignment horizontal="left"/>
    </xf>
    <xf numFmtId="0" fontId="10" fillId="3" borderId="0" xfId="1" applyFont="1" applyFill="1" applyAlignment="1">
      <alignment horizontal="left"/>
    </xf>
    <xf numFmtId="0" fontId="11" fillId="2" borderId="0" xfId="1" applyFont="1" applyFill="1" applyAlignment="1">
      <alignment horizontal="right" vertical="top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0</xdr:rowOff>
    </xdr:from>
    <xdr:to>
      <xdr:col>76</xdr:col>
      <xdr:colOff>201930</xdr:colOff>
      <xdr:row>11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20</xdr:row>
      <xdr:rowOff>0</xdr:rowOff>
    </xdr:from>
    <xdr:to>
      <xdr:col>75</xdr:col>
      <xdr:colOff>521970</xdr:colOff>
      <xdr:row>21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26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31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39</xdr:row>
      <xdr:rowOff>0</xdr:rowOff>
    </xdr:from>
    <xdr:to>
      <xdr:col>75</xdr:col>
      <xdr:colOff>521970</xdr:colOff>
      <xdr:row>40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49</xdr:row>
      <xdr:rowOff>0</xdr:rowOff>
    </xdr:from>
    <xdr:to>
      <xdr:col>75</xdr:col>
      <xdr:colOff>521970</xdr:colOff>
      <xdr:row>51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65"/>
  <sheetViews>
    <sheetView tabSelected="1" view="pageBreakPreview" topLeftCell="A25" zoomScaleNormal="100" zoomScaleSheetLayoutView="100" workbookViewId="0">
      <selection activeCell="BX37" sqref="BX37"/>
    </sheetView>
  </sheetViews>
  <sheetFormatPr defaultRowHeight="13.8" x14ac:dyDescent="0.25"/>
  <cols>
    <col min="1" max="71" width="1.44140625" style="48" customWidth="1"/>
    <col min="72" max="72" width="7.6640625" style="48" customWidth="1"/>
    <col min="73" max="73" width="1.44140625" style="48" customWidth="1"/>
    <col min="74" max="74" width="5.6640625" style="48" customWidth="1"/>
    <col min="75" max="16384" width="8.88671875" style="48"/>
  </cols>
  <sheetData>
    <row r="1" spans="1:78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8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70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8" x14ac:dyDescent="0.25">
      <c r="A3" s="71" t="s">
        <v>4</v>
      </c>
      <c r="B3" s="71"/>
      <c r="C3" s="71"/>
      <c r="D3" s="71"/>
      <c r="E3" s="71"/>
      <c r="F3" s="88" t="s">
        <v>5</v>
      </c>
      <c r="G3" s="88"/>
      <c r="H3" s="88"/>
      <c r="I3" s="89" t="s">
        <v>6</v>
      </c>
      <c r="J3" s="89"/>
      <c r="K3" s="8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71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72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8" x14ac:dyDescent="0.25">
      <c r="A6" s="71"/>
      <c r="B6" s="71"/>
      <c r="C6" s="71"/>
      <c r="D6" s="71"/>
      <c r="E6" s="71"/>
      <c r="F6" s="88"/>
      <c r="G6" s="88"/>
      <c r="H6" s="88"/>
      <c r="I6" s="89"/>
      <c r="J6" s="89"/>
      <c r="K6" s="8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0" t="s">
        <v>61</v>
      </c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</row>
    <row r="7" spans="1:78" x14ac:dyDescent="0.25">
      <c r="A7" s="8"/>
      <c r="B7" s="8"/>
      <c r="C7" s="8"/>
      <c r="D7" s="8"/>
      <c r="E7" s="8"/>
      <c r="F7" s="8"/>
      <c r="G7" s="91"/>
      <c r="H7" s="91"/>
      <c r="I7" s="89"/>
      <c r="J7" s="89"/>
      <c r="K7" s="89"/>
      <c r="L7" s="89"/>
      <c r="M7" s="89"/>
      <c r="N7" s="89"/>
      <c r="O7" s="8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</row>
    <row r="8" spans="1:7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83" t="s">
        <v>110</v>
      </c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8" x14ac:dyDescent="0.25">
      <c r="A10" s="84" t="s">
        <v>45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</row>
    <row r="11" spans="1:78" ht="13.95" customHeight="1" x14ac:dyDescent="0.25">
      <c r="A11" s="87" t="s">
        <v>113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Z11" s="48" t="s">
        <v>81</v>
      </c>
    </row>
    <row r="12" spans="1:78" x14ac:dyDescent="0.25">
      <c r="A12" s="85" t="s">
        <v>46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</row>
    <row r="13" spans="1:7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3" t="s">
        <v>9</v>
      </c>
      <c r="AB13" s="8"/>
      <c r="AC13" s="8"/>
      <c r="AD13" s="8"/>
      <c r="AE13" s="86">
        <v>45273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14"/>
      <c r="AV13" s="14"/>
      <c r="AW13" s="14"/>
      <c r="AX13" s="14"/>
      <c r="AY13" s="14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12"/>
    </row>
    <row r="14" spans="1:78" x14ac:dyDescent="0.25">
      <c r="A14" s="8" t="s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 t="s">
        <v>11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</row>
    <row r="15" spans="1:78" x14ac:dyDescent="0.25">
      <c r="A15" s="8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5" t="str">
        <f>VLOOKUP(BJ15,подписанты!$B$3:$C$11,2,FALSE)</f>
        <v>Руководитель группы МТО АО «Газстройпроект»</v>
      </c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4" t="s">
        <v>63</v>
      </c>
      <c r="BK15" s="74"/>
      <c r="BL15" s="74"/>
      <c r="BM15" s="74"/>
      <c r="BN15" s="74"/>
      <c r="BO15" s="74"/>
      <c r="BP15" s="74"/>
      <c r="BQ15" s="74"/>
      <c r="BR15" s="74"/>
      <c r="BS15" s="74"/>
      <c r="BT15" s="74"/>
    </row>
    <row r="16" spans="1:7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57" t="s">
        <v>13</v>
      </c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 spans="1:83" x14ac:dyDescent="0.25">
      <c r="A17" s="8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73" t="str">
        <f>VLOOKUP(BJ17,подписанты!$B$3:$C$11,2,FALSE)</f>
        <v>Инженер отдела технического надзора АО «Газстройпроект»</v>
      </c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4" t="s">
        <v>69</v>
      </c>
      <c r="BK17" s="74"/>
      <c r="BL17" s="74"/>
      <c r="BM17" s="74"/>
      <c r="BN17" s="74"/>
      <c r="BO17" s="74"/>
      <c r="BP17" s="74"/>
      <c r="BQ17" s="74"/>
      <c r="BR17" s="74"/>
      <c r="BS17" s="74"/>
      <c r="BT17" s="74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4" t="s">
        <v>13</v>
      </c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7"/>
      <c r="BK18" s="15"/>
      <c r="BL18" s="15"/>
      <c r="BM18" s="15"/>
      <c r="BN18" s="15"/>
      <c r="BO18" s="15"/>
      <c r="BP18" s="15"/>
      <c r="BQ18" s="15"/>
      <c r="BR18" s="15"/>
      <c r="BS18" s="15"/>
      <c r="BT18" s="15"/>
    </row>
    <row r="19" spans="1:83" ht="40.200000000000003" customHeight="1" x14ac:dyDescent="0.25">
      <c r="A19" s="8" t="s">
        <v>15</v>
      </c>
      <c r="B19" s="8"/>
      <c r="C19" s="8"/>
      <c r="D19" s="8"/>
      <c r="E19" s="8"/>
      <c r="F19" s="8"/>
      <c r="G19" s="8"/>
      <c r="H19" s="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75" t="str">
        <f>VLOOKUP(BJ19,подписанты!$B$3:$C$11,2,FALSE)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6" t="s">
        <v>92</v>
      </c>
      <c r="BK19" s="76"/>
      <c r="BL19" s="76"/>
      <c r="BM19" s="76"/>
      <c r="BN19" s="76"/>
      <c r="BO19" s="76"/>
      <c r="BP19" s="76"/>
      <c r="BQ19" s="76"/>
      <c r="BR19" s="76"/>
      <c r="BS19" s="76"/>
      <c r="BT19" s="76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57" t="s">
        <v>13</v>
      </c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spans="1:83" x14ac:dyDescent="0.25">
      <c r="A21" s="8" t="s">
        <v>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6"/>
      <c r="O21" s="65" t="s">
        <v>90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8" t="s">
        <v>17</v>
      </c>
      <c r="BR21" s="13"/>
      <c r="BS21" s="13"/>
      <c r="BT21" s="13"/>
      <c r="BY21" s="50" t="s">
        <v>82</v>
      </c>
      <c r="BZ21" s="50"/>
      <c r="CA21" s="50"/>
      <c r="CB21" s="50"/>
      <c r="CC21" s="50"/>
      <c r="CD21" s="50"/>
      <c r="CE21" s="50"/>
    </row>
    <row r="22" spans="1:83" x14ac:dyDescent="0.25">
      <c r="A22" s="8"/>
      <c r="B22" s="8"/>
      <c r="C22" s="8"/>
      <c r="D22" s="8"/>
      <c r="E22" s="80" t="s">
        <v>47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Y22" s="50"/>
      <c r="BZ22" s="50"/>
      <c r="CA22" s="50"/>
      <c r="CB22" s="50"/>
      <c r="CC22" s="50"/>
      <c r="CD22" s="50"/>
      <c r="CE22" s="50"/>
    </row>
    <row r="23" spans="1:83" ht="13.95" customHeight="1" x14ac:dyDescent="0.25">
      <c r="A23" s="81" t="s">
        <v>108</v>
      </c>
      <c r="B23" s="81"/>
      <c r="C23" s="81"/>
      <c r="D23" s="51" t="s">
        <v>114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Y23" s="50"/>
      <c r="BZ23" s="50"/>
      <c r="CA23" s="50"/>
      <c r="CB23" s="50"/>
      <c r="CC23" s="50"/>
      <c r="CD23" s="50"/>
      <c r="CE23" s="50"/>
    </row>
    <row r="24" spans="1:83" x14ac:dyDescent="0.25">
      <c r="A24" s="77" t="s">
        <v>48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</row>
    <row r="25" spans="1:83" x14ac:dyDescent="0.25">
      <c r="A25" s="10" t="s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7"/>
      <c r="S25" s="8"/>
      <c r="T25" s="20"/>
      <c r="U25" s="78" t="s">
        <v>111</v>
      </c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Y25" s="50" t="s">
        <v>83</v>
      </c>
      <c r="BZ25" s="50"/>
      <c r="CA25" s="50"/>
      <c r="CB25" s="50"/>
      <c r="CC25" s="50"/>
      <c r="CD25" s="50"/>
    </row>
    <row r="26" spans="1:8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9" t="s">
        <v>19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Y26" s="50"/>
      <c r="BZ26" s="50"/>
      <c r="CA26" s="50"/>
      <c r="CB26" s="50"/>
      <c r="CC26" s="50"/>
      <c r="CD26" s="50"/>
    </row>
    <row r="27" spans="1:83" ht="15" customHeight="1" x14ac:dyDescent="0.25">
      <c r="A27" s="10" t="s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0"/>
      <c r="T27" s="20"/>
      <c r="U27" s="78" t="s">
        <v>52</v>
      </c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Y27" s="50"/>
      <c r="BZ27" s="50"/>
      <c r="CA27" s="50"/>
      <c r="CB27" s="50"/>
      <c r="CC27" s="50"/>
      <c r="CD27" s="50"/>
    </row>
    <row r="28" spans="1:83" x14ac:dyDescent="0.25">
      <c r="A28" s="54" t="s">
        <v>21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</row>
    <row r="29" spans="1:83" x14ac:dyDescent="0.25">
      <c r="A29" s="8"/>
      <c r="B29" s="8"/>
      <c r="C29" s="8"/>
      <c r="D29" s="8" t="s">
        <v>22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9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spans="1:83" x14ac:dyDescent="0.25">
      <c r="A30" s="8" t="s">
        <v>23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27"/>
      <c r="AJ30" s="8"/>
      <c r="AK30" s="55" t="s">
        <v>112</v>
      </c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Y30" s="8" t="s">
        <v>84</v>
      </c>
    </row>
    <row r="31" spans="1:83" hidden="1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Y31" s="50" t="s">
        <v>85</v>
      </c>
      <c r="BZ31" s="50"/>
      <c r="CA31" s="50"/>
      <c r="CB31" s="50"/>
      <c r="CC31" s="50"/>
      <c r="CD31" s="50"/>
      <c r="CE31" s="50"/>
    </row>
    <row r="32" spans="1:83" hidden="1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Y32" s="50"/>
      <c r="BZ32" s="50"/>
      <c r="CA32" s="50"/>
      <c r="CB32" s="50"/>
      <c r="CC32" s="50"/>
      <c r="CD32" s="50"/>
      <c r="CE32" s="50"/>
    </row>
    <row r="33" spans="1:83" x14ac:dyDescent="0.25">
      <c r="A33" s="82" t="s">
        <v>115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49"/>
      <c r="BY33" s="50"/>
      <c r="BZ33" s="50"/>
      <c r="CA33" s="50"/>
      <c r="CB33" s="50"/>
      <c r="CC33" s="50"/>
      <c r="CD33" s="50"/>
      <c r="CE33" s="50"/>
    </row>
    <row r="34" spans="1:83" x14ac:dyDescent="0.25">
      <c r="A34" s="57" t="s">
        <v>24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Y34" s="50"/>
      <c r="BZ34" s="50"/>
      <c r="CA34" s="50"/>
      <c r="CB34" s="50"/>
      <c r="CC34" s="50"/>
      <c r="CD34" s="50"/>
      <c r="CE34" s="50"/>
    </row>
    <row r="35" spans="1:83" x14ac:dyDescent="0.25">
      <c r="A35" s="58" t="s">
        <v>58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Y35" s="50"/>
      <c r="BZ35" s="50"/>
      <c r="CA35" s="50"/>
      <c r="CB35" s="50"/>
      <c r="CC35" s="50"/>
      <c r="CD35" s="50"/>
      <c r="CE35" s="50"/>
    </row>
    <row r="36" spans="1:83" x14ac:dyDescent="0.25">
      <c r="A36" s="16" t="s">
        <v>108</v>
      </c>
      <c r="B36" s="18"/>
      <c r="C36" s="18"/>
      <c r="D36" s="52" t="str">
        <f>D23</f>
        <v>Рефнет-разветвитель универсальный FQZHN-01D - 13 компл.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Y36" s="50"/>
      <c r="BZ36" s="50"/>
      <c r="CA36" s="50"/>
      <c r="CB36" s="50"/>
      <c r="CC36" s="50"/>
      <c r="CD36" s="50"/>
      <c r="CE36" s="50"/>
    </row>
    <row r="37" spans="1:83" x14ac:dyDescent="0.25">
      <c r="A37" s="8"/>
      <c r="B37" s="8"/>
      <c r="C37" s="8"/>
      <c r="D37" s="53" t="s">
        <v>25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Y37" s="50"/>
      <c r="BZ37" s="50"/>
      <c r="CA37" s="50"/>
      <c r="CB37" s="50"/>
      <c r="CC37" s="50"/>
      <c r="CD37" s="50"/>
      <c r="CE37" s="50"/>
    </row>
    <row r="38" spans="1:83" x14ac:dyDescent="0.25">
      <c r="A38" s="8" t="s">
        <v>26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"/>
      <c r="Y38" s="60" t="s">
        <v>117</v>
      </c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Y38" s="50"/>
      <c r="BZ38" s="50"/>
      <c r="CA38" s="50"/>
      <c r="CB38" s="50"/>
      <c r="CC38" s="50"/>
      <c r="CD38" s="50"/>
      <c r="CE38" s="50"/>
    </row>
    <row r="39" spans="1:8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9"/>
      <c r="Y39" s="54" t="s">
        <v>27</v>
      </c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</row>
    <row r="40" spans="1:83" x14ac:dyDescent="0.25">
      <c r="A40" s="8" t="s">
        <v>28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G40" s="7"/>
      <c r="AH40" s="7"/>
      <c r="AI40" s="7"/>
      <c r="AJ40" s="66" t="s">
        <v>29</v>
      </c>
      <c r="AK40" s="66"/>
      <c r="AL40" s="66"/>
      <c r="AM40" s="66"/>
      <c r="AN40" s="66"/>
      <c r="AO40" s="66"/>
      <c r="AP40" s="66"/>
      <c r="AQ40" s="66"/>
      <c r="AR40" s="66"/>
      <c r="AS40" s="66"/>
      <c r="AT40" s="67" t="s">
        <v>73</v>
      </c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Y40" s="48" t="s">
        <v>86</v>
      </c>
    </row>
    <row r="41" spans="1:83" x14ac:dyDescent="0.25">
      <c r="A41" s="10" t="s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20"/>
      <c r="O41" s="20"/>
      <c r="P41" s="20"/>
      <c r="Q41" s="68" t="str">
        <f>U25</f>
        <v>ПП2020РД-1.2-61.17-ОВ3, ПП2020РД-1.2-61.17-ОВ3.СО изм.2 л. 2</v>
      </c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Y41" s="48" t="s">
        <v>87</v>
      </c>
    </row>
    <row r="42" spans="1:83" x14ac:dyDescent="0.25">
      <c r="A42" s="8"/>
      <c r="B42" s="8"/>
      <c r="C42" s="8"/>
      <c r="D42" s="10" t="s">
        <v>31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0"/>
      <c r="X42" s="8"/>
      <c r="Y42" s="28"/>
      <c r="Z42" s="28"/>
      <c r="AA42" s="93" t="str">
        <f>AK30</f>
        <v>Паспорт на изделия № 1632-15 от 23.10.2023 г.;</v>
      </c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</row>
    <row r="43" spans="1:83" hidden="1" x14ac:dyDescent="0.25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</row>
    <row r="44" spans="1:83" hidden="1" x14ac:dyDescent="0.25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</row>
    <row r="45" spans="1:83" x14ac:dyDescent="0.25">
      <c r="A45" s="94" t="str">
        <f>A33</f>
        <v>Сертификат соответствия № РОСС CN.HE06.H04240 с 23.03.2023 г.по 22.03.2026 г.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</row>
    <row r="46" spans="1:83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79" t="s">
        <v>32</v>
      </c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</row>
    <row r="47" spans="1:83" x14ac:dyDescent="0.25">
      <c r="A47" s="8" t="s">
        <v>33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22"/>
    </row>
    <row r="48" spans="1:83" x14ac:dyDescent="0.25">
      <c r="A48" s="46"/>
      <c r="B48" s="8"/>
      <c r="C48" s="8"/>
      <c r="D48" s="8" t="s">
        <v>34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7"/>
      <c r="X48" s="7"/>
      <c r="Y48" s="7"/>
      <c r="Z48" s="7"/>
      <c r="AA48" s="46"/>
      <c r="AB48" s="7"/>
      <c r="AC48" s="46"/>
      <c r="AD48" s="97" t="s">
        <v>35</v>
      </c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</row>
    <row r="49" spans="1:77" x14ac:dyDescent="0.25">
      <c r="A49" s="8"/>
      <c r="B49" s="8"/>
      <c r="C49" s="8"/>
      <c r="D49" s="8"/>
      <c r="E49" s="8"/>
      <c r="F49" s="8"/>
      <c r="G49" s="8"/>
      <c r="H49" s="8"/>
      <c r="I49" s="8"/>
      <c r="J49" s="98" t="s">
        <v>36</v>
      </c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</row>
    <row r="50" spans="1:77" x14ac:dyDescent="0.25">
      <c r="A50" s="10" t="s">
        <v>37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25"/>
      <c r="W50" s="46"/>
      <c r="X50" s="26"/>
      <c r="Y50" s="95" t="str">
        <f>U25</f>
        <v>ПП2020РД-1.2-61.17-ОВ3, ПП2020РД-1.2-61.17-ОВ3.СО изм.2 л. 2</v>
      </c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Y50" s="48" t="s">
        <v>88</v>
      </c>
    </row>
    <row r="51" spans="1:77" hidden="1" x14ac:dyDescent="0.25">
      <c r="A51" s="69" t="e">
        <f>#REF!</f>
        <v>#REF!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</row>
    <row r="52" spans="1:77" ht="16.2" customHeight="1" x14ac:dyDescent="0.25">
      <c r="A52" s="8" t="s">
        <v>38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46"/>
      <c r="M52" s="23"/>
      <c r="N52" s="92" t="s">
        <v>116</v>
      </c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Y52" s="48" t="s">
        <v>89</v>
      </c>
    </row>
    <row r="53" spans="1:77" x14ac:dyDescent="0.25">
      <c r="A53" s="8" t="s">
        <v>39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12"/>
    </row>
    <row r="54" spans="1:77" x14ac:dyDescent="0.25">
      <c r="A54" s="8" t="s">
        <v>12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62" t="str">
        <f>BJ15</f>
        <v>Кострова Н.Л.</v>
      </c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8"/>
      <c r="AP54" s="8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8"/>
      <c r="BG54" s="8"/>
      <c r="BH54" s="64">
        <f>AE13</f>
        <v>45273</v>
      </c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12"/>
    </row>
    <row r="55" spans="1:7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57" t="s">
        <v>59</v>
      </c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8"/>
      <c r="AP55" s="8"/>
      <c r="AQ55" s="57" t="s">
        <v>40</v>
      </c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8"/>
      <c r="BG55" s="8"/>
      <c r="BH55" s="57" t="s">
        <v>41</v>
      </c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24"/>
    </row>
    <row r="56" spans="1:77" x14ac:dyDescent="0.25">
      <c r="A56" s="8" t="s">
        <v>42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12"/>
    </row>
    <row r="57" spans="1:77" x14ac:dyDescent="0.25">
      <c r="A57" s="8" t="s">
        <v>43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62" t="str">
        <f>BJ17</f>
        <v>Халыгов Э. А.</v>
      </c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8"/>
      <c r="AP57" s="8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8"/>
      <c r="BG57" s="8"/>
      <c r="BH57" s="64">
        <f>BH54</f>
        <v>45273</v>
      </c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12"/>
    </row>
    <row r="58" spans="1:77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57" t="s">
        <v>59</v>
      </c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8"/>
      <c r="AP58" s="8"/>
      <c r="AQ58" s="57" t="s">
        <v>40</v>
      </c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8"/>
      <c r="BG58" s="8"/>
      <c r="BH58" s="57" t="s">
        <v>41</v>
      </c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12"/>
    </row>
    <row r="59" spans="1:77" x14ac:dyDescent="0.25">
      <c r="A59" s="8" t="s">
        <v>39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12"/>
    </row>
    <row r="60" spans="1:77" x14ac:dyDescent="0.25">
      <c r="A60" s="8" t="s">
        <v>44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5" t="str">
        <f>BJ19</f>
        <v>Тюкин Е.В.</v>
      </c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8"/>
      <c r="AP60" s="8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8"/>
      <c r="BG60" s="8"/>
      <c r="BH60" s="64">
        <f>BH54</f>
        <v>45273</v>
      </c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12"/>
    </row>
    <row r="61" spans="1:7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57" t="s">
        <v>59</v>
      </c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8"/>
      <c r="AP61" s="8"/>
      <c r="AQ61" s="57" t="s">
        <v>40</v>
      </c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8"/>
      <c r="BG61" s="8"/>
      <c r="BH61" s="57" t="s">
        <v>41</v>
      </c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12"/>
    </row>
    <row r="62" spans="1:77" x14ac:dyDescent="0.25">
      <c r="A62" s="13"/>
      <c r="B62" s="13"/>
      <c r="C62" s="13"/>
      <c r="D62" s="7"/>
      <c r="E62" s="7"/>
      <c r="F62" s="7"/>
      <c r="G62" s="7"/>
      <c r="H62" s="7"/>
      <c r="I62" s="7"/>
      <c r="J62" s="7"/>
      <c r="K62" s="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77" x14ac:dyDescent="0.25">
      <c r="A63" s="70" t="s">
        <v>67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8"/>
      <c r="AP63" s="8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8"/>
      <c r="BG63" s="8"/>
      <c r="BH63" s="72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12"/>
    </row>
    <row r="64" spans="1:77" x14ac:dyDescent="0.25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8"/>
      <c r="W64" s="8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8"/>
      <c r="AP64" s="8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8"/>
      <c r="BG64" s="8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12"/>
    </row>
    <row r="65" spans="1:72" x14ac:dyDescent="0.2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</sheetData>
  <mergeCells count="81">
    <mergeCell ref="AH6:BT7"/>
    <mergeCell ref="G7:H7"/>
    <mergeCell ref="I7:O7"/>
    <mergeCell ref="N52:BT52"/>
    <mergeCell ref="AA42:BT42"/>
    <mergeCell ref="A45:BT45"/>
    <mergeCell ref="Y50:BT50"/>
    <mergeCell ref="A44:BT44"/>
    <mergeCell ref="V46:BT46"/>
    <mergeCell ref="AD48:BT48"/>
    <mergeCell ref="J49:BT49"/>
    <mergeCell ref="A43:BT43"/>
    <mergeCell ref="A3:E3"/>
    <mergeCell ref="F3:H3"/>
    <mergeCell ref="I3:K3"/>
    <mergeCell ref="A6:E6"/>
    <mergeCell ref="F6:H6"/>
    <mergeCell ref="I6:K6"/>
    <mergeCell ref="A23:C23"/>
    <mergeCell ref="A33:BT33"/>
    <mergeCell ref="U27:BT27"/>
    <mergeCell ref="AF9:AW9"/>
    <mergeCell ref="A10:BT10"/>
    <mergeCell ref="A12:BT12"/>
    <mergeCell ref="AE13:AT13"/>
    <mergeCell ref="A11:BT11"/>
    <mergeCell ref="P26:BT26"/>
    <mergeCell ref="T20:BJ20"/>
    <mergeCell ref="S15:BI15"/>
    <mergeCell ref="BJ15:BT15"/>
    <mergeCell ref="E22:BT22"/>
    <mergeCell ref="T16:BJ16"/>
    <mergeCell ref="S17:BI17"/>
    <mergeCell ref="BJ17:BT17"/>
    <mergeCell ref="T18:BJ18"/>
    <mergeCell ref="S19:BI19"/>
    <mergeCell ref="BJ19:BT19"/>
    <mergeCell ref="X55:AN55"/>
    <mergeCell ref="AQ55:BE55"/>
    <mergeCell ref="BH55:BS55"/>
    <mergeCell ref="A51:BT51"/>
    <mergeCell ref="A63:U65"/>
    <mergeCell ref="AQ63:BE63"/>
    <mergeCell ref="BH63:BS63"/>
    <mergeCell ref="AQ64:BE64"/>
    <mergeCell ref="BH64:BS64"/>
    <mergeCell ref="X60:AN60"/>
    <mergeCell ref="AQ60:BE60"/>
    <mergeCell ref="BH60:BS60"/>
    <mergeCell ref="X61:AN61"/>
    <mergeCell ref="AQ61:BE61"/>
    <mergeCell ref="BH61:BS61"/>
    <mergeCell ref="Y39:BT39"/>
    <mergeCell ref="AJ40:AS40"/>
    <mergeCell ref="AT40:BT40"/>
    <mergeCell ref="Q41:BT41"/>
    <mergeCell ref="X54:AN54"/>
    <mergeCell ref="AQ54:BE54"/>
    <mergeCell ref="BH54:BS54"/>
    <mergeCell ref="X57:AN57"/>
    <mergeCell ref="AQ57:BE57"/>
    <mergeCell ref="BH57:BS57"/>
    <mergeCell ref="X58:AN58"/>
    <mergeCell ref="AQ58:BE58"/>
    <mergeCell ref="BH58:BS58"/>
    <mergeCell ref="BY21:CE23"/>
    <mergeCell ref="BY25:CD27"/>
    <mergeCell ref="BY31:CE38"/>
    <mergeCell ref="D23:BT23"/>
    <mergeCell ref="D36:BT36"/>
    <mergeCell ref="D37:BT37"/>
    <mergeCell ref="A28:BT28"/>
    <mergeCell ref="AK30:BT30"/>
    <mergeCell ref="A31:BT31"/>
    <mergeCell ref="A32:BT32"/>
    <mergeCell ref="A34:BT34"/>
    <mergeCell ref="A35:BT35"/>
    <mergeCell ref="Y38:BT38"/>
    <mergeCell ref="O21:BP21"/>
    <mergeCell ref="A24:BT24"/>
    <mergeCell ref="U25:BT25"/>
  </mergeCells>
  <dataValidations count="4">
    <dataValidation type="list" errorStyle="information" allowBlank="1" showInputMessage="1" sqref="O21:BP21" xr:uid="{00000000-0002-0000-0000-000000000000}">
      <formula1>"выборочный,сплошной"</formula1>
    </dataValidation>
    <dataValidation type="list" allowBlank="1" showInputMessage="1" showErrorMessage="1" sqref="N21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59055118110236227" right="0.19685039370078741" top="0.39370078740157483" bottom="0.39370078740157483" header="0.19685039370078741" footer="0.19685039370078741"/>
  <pageSetup paperSize="9" scale="87" fitToHeight="0" orientation="portrait" blackAndWhite="1" r:id="rId1"/>
  <headerFooter>
    <oddFooter>&amp;R&amp;"Times New Roman,обычный"стр. &amp;P из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BJ19:BT19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BJ17:BT17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BJ15:BT15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T25:U25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S27:U27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C18" sqref="C18"/>
    </sheetView>
  </sheetViews>
  <sheetFormatPr defaultColWidth="8.88671875" defaultRowHeight="13.8" x14ac:dyDescent="0.25"/>
  <cols>
    <col min="1" max="1" width="27.109375" style="29" customWidth="1"/>
    <col min="2" max="2" width="21.6640625" style="29" customWidth="1"/>
    <col min="3" max="3" width="49.6640625" style="29" customWidth="1"/>
    <col min="4" max="5" width="10.109375" style="29" customWidth="1"/>
    <col min="6" max="6" width="44.6640625" style="29" customWidth="1"/>
    <col min="7" max="16384" width="8.88671875" style="29"/>
  </cols>
  <sheetData>
    <row r="2" spans="1:6" ht="29.4" customHeight="1" x14ac:dyDescent="0.25">
      <c r="A2" s="35" t="s">
        <v>10</v>
      </c>
      <c r="B2" s="36" t="s">
        <v>77</v>
      </c>
      <c r="C2" s="36" t="s">
        <v>76</v>
      </c>
      <c r="D2" s="34" t="s">
        <v>74</v>
      </c>
      <c r="E2" s="34" t="s">
        <v>75</v>
      </c>
    </row>
    <row r="3" spans="1:6" x14ac:dyDescent="0.25">
      <c r="A3" s="30" t="s">
        <v>12</v>
      </c>
      <c r="B3" s="29" t="s">
        <v>63</v>
      </c>
      <c r="C3" s="37" t="s">
        <v>64</v>
      </c>
      <c r="D3" s="32">
        <v>44927</v>
      </c>
      <c r="E3" s="32">
        <v>45337</v>
      </c>
    </row>
    <row r="4" spans="1:6" x14ac:dyDescent="0.25">
      <c r="A4" s="30" t="s">
        <v>12</v>
      </c>
      <c r="B4" s="45" t="s">
        <v>109</v>
      </c>
      <c r="C4" s="37" t="s">
        <v>78</v>
      </c>
      <c r="D4" s="32">
        <v>45337</v>
      </c>
      <c r="E4" s="32">
        <v>45657</v>
      </c>
    </row>
    <row r="5" spans="1:6" x14ac:dyDescent="0.25">
      <c r="A5" s="30" t="s">
        <v>14</v>
      </c>
      <c r="B5" s="29" t="s">
        <v>69</v>
      </c>
      <c r="C5" s="31" t="s">
        <v>68</v>
      </c>
      <c r="D5" s="32">
        <v>45166</v>
      </c>
      <c r="E5" s="32">
        <v>45657</v>
      </c>
    </row>
    <row r="6" spans="1:6" x14ac:dyDescent="0.25">
      <c r="A6" s="30" t="s">
        <v>14</v>
      </c>
      <c r="B6" s="29" t="s">
        <v>80</v>
      </c>
      <c r="C6" s="31" t="s">
        <v>79</v>
      </c>
      <c r="D6" s="32">
        <v>44927</v>
      </c>
      <c r="E6" s="32">
        <v>45166</v>
      </c>
    </row>
    <row r="7" spans="1:6" ht="27.6" x14ac:dyDescent="0.25">
      <c r="A7" s="30" t="s">
        <v>14</v>
      </c>
      <c r="B7" s="40" t="s">
        <v>93</v>
      </c>
      <c r="C7" s="31" t="s">
        <v>68</v>
      </c>
      <c r="D7" s="32">
        <v>45278</v>
      </c>
      <c r="E7" s="32">
        <v>45342</v>
      </c>
      <c r="F7" s="39" t="s">
        <v>94</v>
      </c>
    </row>
    <row r="8" spans="1:6" ht="55.2" x14ac:dyDescent="0.25">
      <c r="A8" s="41" t="s">
        <v>15</v>
      </c>
      <c r="B8" s="42" t="s">
        <v>66</v>
      </c>
      <c r="C8" s="43" t="s">
        <v>65</v>
      </c>
      <c r="D8" s="44">
        <v>44927</v>
      </c>
      <c r="E8" s="44">
        <v>45657</v>
      </c>
    </row>
    <row r="9" spans="1:6" ht="55.2" x14ac:dyDescent="0.25">
      <c r="A9" s="33" t="s">
        <v>15</v>
      </c>
      <c r="B9" s="29" t="s">
        <v>92</v>
      </c>
      <c r="C9" s="38" t="s">
        <v>91</v>
      </c>
      <c r="F9" s="45" t="s">
        <v>95</v>
      </c>
    </row>
    <row r="11" spans="1:6" x14ac:dyDescent="0.25">
      <c r="A11" s="30"/>
    </row>
    <row r="12" spans="1:6" x14ac:dyDescent="0.25">
      <c r="A1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B12" sqref="B12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99</v>
      </c>
      <c r="B5" s="2" t="s">
        <v>49</v>
      </c>
      <c r="C5" s="2" t="s">
        <v>50</v>
      </c>
      <c r="D5" s="2" t="s">
        <v>107</v>
      </c>
    </row>
    <row r="6" spans="1:4" ht="27.6" x14ac:dyDescent="0.25">
      <c r="A6" s="6" t="s">
        <v>96</v>
      </c>
      <c r="B6" s="3" t="s">
        <v>51</v>
      </c>
      <c r="C6" s="5" t="s">
        <v>100</v>
      </c>
    </row>
    <row r="7" spans="1:4" x14ac:dyDescent="0.25">
      <c r="A7" s="6" t="s">
        <v>97</v>
      </c>
      <c r="B7" s="3" t="s">
        <v>52</v>
      </c>
      <c r="C7" s="1" t="s">
        <v>101</v>
      </c>
    </row>
    <row r="8" spans="1:4" x14ac:dyDescent="0.25">
      <c r="A8" s="6" t="s">
        <v>98</v>
      </c>
      <c r="B8" s="3" t="s">
        <v>53</v>
      </c>
      <c r="C8" s="1" t="s">
        <v>102</v>
      </c>
    </row>
    <row r="9" spans="1:4" x14ac:dyDescent="0.25">
      <c r="A9" s="6">
        <v>56</v>
      </c>
      <c r="B9" s="3" t="s">
        <v>54</v>
      </c>
      <c r="C9" s="1" t="s">
        <v>103</v>
      </c>
    </row>
    <row r="10" spans="1:4" ht="27.6" x14ac:dyDescent="0.25">
      <c r="A10" s="6">
        <v>57</v>
      </c>
      <c r="B10" s="3" t="s">
        <v>55</v>
      </c>
      <c r="C10" s="4" t="s">
        <v>104</v>
      </c>
    </row>
    <row r="11" spans="1:4" ht="27.6" x14ac:dyDescent="0.25">
      <c r="A11" s="6">
        <v>110</v>
      </c>
      <c r="B11" s="3" t="s">
        <v>56</v>
      </c>
      <c r="C11" s="6" t="s">
        <v>105</v>
      </c>
    </row>
    <row r="12" spans="1:4" ht="27.6" x14ac:dyDescent="0.25">
      <c r="A12" s="6">
        <v>111</v>
      </c>
      <c r="B12" s="3" t="s">
        <v>57</v>
      </c>
      <c r="C12" s="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2026-02-16T14:28:02Z</cp:lastPrinted>
  <dcterms:created xsi:type="dcterms:W3CDTF">2023-09-19T09:44:50Z</dcterms:created>
  <dcterms:modified xsi:type="dcterms:W3CDTF">2026-02-16T14:29:59Z</dcterms:modified>
</cp:coreProperties>
</file>