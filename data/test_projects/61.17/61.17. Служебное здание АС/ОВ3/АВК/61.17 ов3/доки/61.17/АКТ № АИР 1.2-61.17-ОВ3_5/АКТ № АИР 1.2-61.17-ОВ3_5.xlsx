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asha\Desktop\job\левашово\АКТЫ\Акты ОВ3\61.17\АКТ № АИР 1.2-61.17-ОВ3_5\"/>
    </mc:Choice>
  </mc:AlternateContent>
  <xr:revisionPtr revIDLastSave="0" documentId="13_ncr:1_{4DDF99E1-5D4C-4332-86B6-77F67422A0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23р труба ппр, фитинги" sheetId="24" r:id="rId1"/>
    <sheet name="126р" sheetId="26" r:id="rId2"/>
    <sheet name="подписанты" sheetId="8" r:id="rId3"/>
    <sheet name="Лист общих данных" sheetId="2" r:id="rId4"/>
  </sheets>
  <definedNames>
    <definedName name="_xlnm.Print_Area" localSheetId="0">'123р труба ппр, фитинги'!$A$1:$BT$92</definedName>
    <definedName name="_xlnm.Print_Area" localSheetId="1">'126р'!$A$1:$BT$72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2" i="24" l="1"/>
  <c r="D55" i="24"/>
  <c r="D56" i="24"/>
  <c r="D57" i="24"/>
  <c r="D58" i="24"/>
  <c r="D59" i="24"/>
  <c r="D60" i="24"/>
  <c r="D61" i="24"/>
  <c r="D54" i="24"/>
  <c r="A70" i="24"/>
  <c r="A71" i="24"/>
  <c r="A69" i="24" l="1"/>
  <c r="D43" i="26" l="1"/>
  <c r="D44" i="26"/>
  <c r="D45" i="26"/>
  <c r="D42" i="26"/>
  <c r="X69" i="26"/>
  <c r="X66" i="26"/>
  <c r="BH63" i="26"/>
  <c r="BH66" i="26" s="1"/>
  <c r="X63" i="26"/>
  <c r="Y59" i="26"/>
  <c r="A54" i="26"/>
  <c r="A53" i="26"/>
  <c r="A52" i="26"/>
  <c r="AA51" i="26"/>
  <c r="Q50" i="26"/>
  <c r="S23" i="26"/>
  <c r="S21" i="26"/>
  <c r="S19" i="26"/>
  <c r="BW17" i="26"/>
  <c r="BH69" i="26" l="1"/>
  <c r="X88" i="24"/>
  <c r="X85" i="24"/>
  <c r="BH82" i="24"/>
  <c r="BH85" i="24" s="1"/>
  <c r="X82" i="24"/>
  <c r="Y77" i="24"/>
  <c r="A68" i="24"/>
  <c r="AA67" i="24"/>
  <c r="Q66" i="24"/>
  <c r="S28" i="24"/>
  <c r="S26" i="24"/>
  <c r="S24" i="24"/>
  <c r="BW22" i="24"/>
  <c r="BH88" i="24" l="1"/>
</calcChain>
</file>

<file path=xl/sharedStrings.xml><?xml version="1.0" encoding="utf-8"?>
<sst xmlns="http://schemas.openxmlformats.org/spreadsheetml/2006/main" count="255" uniqueCount="148">
  <si>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</si>
  <si>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</si>
  <si>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</si>
  <si>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</si>
  <si>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</si>
  <si>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</si>
  <si>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</si>
  <si>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</si>
  <si>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</si>
  <si>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</si>
  <si>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</si>
  <si>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</si>
  <si>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</si>
  <si>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</si>
  <si>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</si>
  <si>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</si>
  <si>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</si>
  <si>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</si>
  <si>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</si>
  <si>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 xml:space="preserve">                                                      (номер проекта, чертежа, дата)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</si>
  <si>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</si>
  <si>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</si>
  <si>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</si>
  <si>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</si>
  <si>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</si>
  <si>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</si>
  <si>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</si>
  <si>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</si>
  <si>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</si>
  <si>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</si>
  <si>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</si>
  <si>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</si>
  <si>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</si>
  <si>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</si>
  <si>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</si>
  <si>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</si>
  <si>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</si>
  <si>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</si>
  <si>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</si>
  <si>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</si>
  <si>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</si>
  <si>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</si>
  <si>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</si>
  <si>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</si>
  <si>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</si>
  <si>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 xml:space="preserve">о результатах проверки изделий/материалов </t>
  </si>
  <si>
    <t>на соответствие техдокументации</t>
  </si>
  <si>
    <t xml:space="preserve">  (сплошной, выборочный )</t>
  </si>
  <si>
    <t xml:space="preserve">Наименование объекта </t>
  </si>
  <si>
    <t>Шифр чертежа КМ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</si>
  <si>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</si>
  <si>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</si>
  <si>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</si>
  <si>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</si>
  <si>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</si>
  <si>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</si>
  <si>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</si>
  <si>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 xml:space="preserve"> на изделия установлено, </t>
  </si>
  <si>
    <t>что</t>
  </si>
  <si>
    <t>(фамилия, инициалы)</t>
  </si>
  <si>
    <t>ПАО «Газпром»</t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</si>
  <si>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</si>
  <si>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</si>
  <si>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t>Кострова Н.Л.</t>
  </si>
  <si>
    <t>Руководитель группы МТО АО «Газстройпроект»</t>
  </si>
  <si>
    <t xml:space="preserve">Главный специалист Отдела организации и контроля материально-технического обеспечения Управления по реализации проектов г. Санкт-Петербург ООО «Газпром инвест» </t>
  </si>
  <si>
    <t>Лбова П.А.</t>
  </si>
  <si>
    <t>Инженер отдела технического надзора АО «Газстройпроект»</t>
  </si>
  <si>
    <t>Халыгов Э. А.</t>
  </si>
  <si>
    <r>
      <t xml:space="preserve">Основание: </t>
    </r>
    <r>
      <rPr>
        <u/>
        <sz val="11"/>
        <rFont val="Times New Roman"/>
        <family val="1"/>
        <charset val="204"/>
      </rPr>
      <t>ВСН 012-88 (Часть II)</t>
    </r>
  </si>
  <si>
    <r>
      <t xml:space="preserve">Строительство: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</si>
  <si>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</si>
  <si>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t>проекту (соответствует, не соответствует)</t>
  </si>
  <si>
    <t xml:space="preserve">с </t>
  </si>
  <si>
    <t>до</t>
  </si>
  <si>
    <t>Должность</t>
  </si>
  <si>
    <t>ФИО</t>
  </si>
  <si>
    <t>Журавлев Ю.С.</t>
  </si>
  <si>
    <t>Ведущий инженер МТО АО «Газстройпроект»</t>
  </si>
  <si>
    <t>Ткаченко С.В.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</si>
  <si>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</si>
  <si>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Шифр РД, изм., листы, 
Учётный лист ЖАН, письмо ООО "Газпром Инвест", письмо ООО "Транссроймеханизации" - при наличии</t>
  </si>
  <si>
    <t>Примеры написания: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</si>
  <si>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</t>
  </si>
  <si>
    <t>трубы: диаметр 25 мм толщ. 3 мм, диаметр 32 мм толщ. 4 мм</t>
  </si>
  <si>
    <t>По поворотам, отводам и т.д. необходимо уточнее в МТО ГСП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</si>
  <si>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</t>
  </si>
  <si>
    <t>Если в РД отсутствует ГОСТ-ы, ТУ или СТО пишится из паспорта</t>
  </si>
  <si>
    <t>При отсутствиее норматива в РД или паспорта остается пустым</t>
  </si>
  <si>
    <t>сплошной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</si>
  <si>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</si>
  <si>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</si>
  <si>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Будянский А.С.</t>
  </si>
  <si>
    <t>на период отпуска Ткаченко, на период отпуска Халыгова август 2024</t>
  </si>
  <si>
    <t>подписывает сейчас</t>
  </si>
  <si>
    <t>61.6</t>
  </si>
  <si>
    <t>61.17</t>
  </si>
  <si>
    <t>61.2</t>
  </si>
  <si>
    <t>№ по ГП</t>
  </si>
  <si>
    <t>ПП2020РД-1.2-61.6-ОВ1</t>
  </si>
  <si>
    <t>ПП2020РД-1.2-61.17-ОВ1</t>
  </si>
  <si>
    <t>ПП2020РД-1.2-61.2-ОВ1</t>
  </si>
  <si>
    <t>ПП2020РД-1.2-56-ОВ1</t>
  </si>
  <si>
    <t>ПП2020РД-1.2-57-ОВ1</t>
  </si>
  <si>
    <t>ПП2020РД-1.2-110-ОВ1</t>
  </si>
  <si>
    <t>ПП2020РД-1.2-111-ОВ1</t>
  </si>
  <si>
    <t>№ последнего изм</t>
  </si>
  <si>
    <t xml:space="preserve">ВК произведен в соответствиями с требованиями НТД
</t>
  </si>
  <si>
    <t>Ведущий инженер отдела технического надзора АО «Газстройпроект»</t>
  </si>
  <si>
    <t>Тишаков ? ?</t>
  </si>
  <si>
    <t>н/п</t>
  </si>
  <si>
    <t xml:space="preserve">ПП2020РД-1.2-61.17-ОВ3.СО изм.  лист </t>
  </si>
  <si>
    <t>ГОСТ 17375-2001, ТР ТС 032/2013, ГОСТ 32415-2013, ТУ 2248-001-16965449-2016</t>
  </si>
  <si>
    <t>Технический паспорт и руководство по эксплуатации б/н</t>
  </si>
  <si>
    <t>от 07.11.2023, Информационное письмо исх. №1523/Л от 26.01.2022, Паспорт изделия б/н от 26.10.2023,</t>
  </si>
  <si>
    <t>Информационное письмо исх.№ОТК/109 от 10.09.2018, Паспорт б/н от 21.11.2023,</t>
  </si>
  <si>
    <t>Сертификат соответствия № РОСС RU.HE06.H12786 с 19.09.2023 по 18.09.2026</t>
  </si>
  <si>
    <t>Резиновая манжета Ø50/Ø32</t>
  </si>
  <si>
    <t>Комперссионное соединение Ø110/Ø50</t>
  </si>
  <si>
    <t>АИР 1.2-61.17-ОВ3/5</t>
  </si>
  <si>
    <t>АИР 1.2-61.17-ОВ3/6</t>
  </si>
  <si>
    <t>Труба PP-R SDR11: Ø20, Ø25, Ø32;</t>
  </si>
  <si>
    <t>Труба ПВХ гофрированная d16;</t>
  </si>
  <si>
    <r>
      <t>Отвод 90</t>
    </r>
    <r>
      <rPr>
        <b/>
        <sz val="11"/>
        <rFont val="Calibri"/>
        <family val="2"/>
        <charset val="204"/>
      </rPr>
      <t>°</t>
    </r>
    <r>
      <rPr>
        <b/>
        <sz val="11"/>
        <rFont val="Times New Roman"/>
        <family val="1"/>
        <charset val="204"/>
      </rPr>
      <t>: Ø20, Ø25, Ø32;</t>
    </r>
  </si>
  <si>
    <t>Отвод 45°: Ø20, Ø32;</t>
  </si>
  <si>
    <t>Тройник PPR: Ø20/Ø20/Ø20, Ø25/Ø20/Ø25, Ø32/Ø20/Ø32, Ø32/Ø32/Ø32;</t>
  </si>
  <si>
    <t>Переход PPR : Ø25/Ø20, Ø32/Ø20, Ø32/Ø25;</t>
  </si>
  <si>
    <t>Заглушка PPR Ø20.</t>
  </si>
  <si>
    <t>Труба PP-R SDR11: Ø20 - 21,4 м, Ø25 - 4,43 м, Ø32 - 28,4 м;</t>
  </si>
  <si>
    <t>Отвод 90°: Ø20 - 14 шт., Ø25 - 1 шт., Ø32 - 4 шт.;</t>
  </si>
  <si>
    <t>Отвод 45°: Ø20 - 2 шт., Ø32 - 3 шт.;</t>
  </si>
  <si>
    <t>Тройник PPR: Ø20/Ø20/Ø20 - 4 шт., Ø25/Ø20/Ø25 - 4 шт., Ø32/Ø20/Ø32 - 6 шт., Ø32/Ø32/Ø32 - 2 шт.;</t>
  </si>
  <si>
    <t>Переход PPR : Ø25/Ø20 - 2 шт., Ø32/Ø20 - 1 шт., Ø32/Ø25 -3 шт.;</t>
  </si>
  <si>
    <t xml:space="preserve">                                (паспорта,  сертификаты)</t>
  </si>
  <si>
    <t>Технический паспорт изделия № ПС-42982 от 29.11.2023 г.;</t>
  </si>
  <si>
    <t>Сертификат соответствия № ЕАЭС RU C-RU.ПБ68.В.00559/21 с 04.10.2021 г. по 15.03.2026 г.;</t>
  </si>
  <si>
    <t>Паспорт,техническое описание и инструкция по эксплуатации б/н от 26.10.2023 г.;</t>
  </si>
  <si>
    <t xml:space="preserve">ГОСТ 32415-2013; ТУ 2248-003-78044889-2013; ГОСТ 30244-94; ГОСТ Р 30244-94; ГОСТ Р 30402-96; </t>
  </si>
  <si>
    <t>Капиллярная трубка (шланг однослойный ПВХ) - 7,6 м;</t>
  </si>
  <si>
    <t>Труба ПВХ гофрированная - 7,6 м;</t>
  </si>
  <si>
    <t>Заглушка PPR - 11 шт.</t>
  </si>
  <si>
    <t>-</t>
  </si>
  <si>
    <t>Декларация о соответствии № РОСС RU Д-RU.РА01.В.13131/23 с 13.04.2023 г. по 12.04.2026 г.</t>
  </si>
  <si>
    <t>ГОСТ 12.1.044-89; ГОСТ Р 12.1.044-89; ГОСТ Р 51032-97; ТУ 2247-008-47022248-2002; ТР ЕАЭС 043/2017</t>
  </si>
  <si>
    <t>ПП2020РД-1.2-61.17-ОВ3.СО изм.2, л. 2-3</t>
  </si>
  <si>
    <t>Капиллярная трубка Ø6;</t>
  </si>
  <si>
    <t>Сертификат соответствия № РОСС RU.HA39.H00401/22 с 08.09.2022 г. по 07.09.2025 г.;Паспорт качества б/н от 19.12.2023</t>
  </si>
  <si>
    <t>Сертификат соответствия № РОСС RU.АЖ49.Н01493 с 08.06.2021 г. по 07.06.2024 г.;Паспорт качества № 91916 от 29.09.202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</si>
</sst>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0;\-0;;@"/>
    <numFmt numFmtId="166" formatCode="dddd"/>
  </numFmts>
  <fonts count="26" x14ac:knownFonts="1">
    <font>
      <sz val="11"/>
      <color theme="1"/>
      <name val="Times New Roman"/>
      <family val="2"/>
      <charset val="204"/>
      <scheme val="minor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  <scheme val="minor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u/>
      <sz val="11"/>
      <name val="Times New Roman"/>
      <family val="1"/>
      <charset val="204"/>
    </font>
    <font>
      <sz val="11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name val="Times New Roman"/>
      <family val="2"/>
      <charset val="204"/>
    </font>
    <font>
      <strike/>
      <sz val="11"/>
      <color rgb="FFFF0000"/>
      <name val="Times New Roman"/>
      <family val="2"/>
      <charset val="204"/>
    </font>
    <font>
      <sz val="11"/>
      <color theme="1"/>
      <name val="Times New Roman"/>
      <family val="1"/>
      <charset val="204"/>
      <scheme val="minor"/>
    </font>
    <font>
      <sz val="8"/>
      <name val="Times New Roman"/>
      <family val="2"/>
      <charset val="204"/>
      <scheme val="minor"/>
    </font>
    <font>
      <b/>
      <sz val="10"/>
      <name val="Times New Roman"/>
      <family val="1"/>
      <charset val="204"/>
    </font>
    <font>
      <b/>
      <sz val="11"/>
      <name val="Times New Roman"/>
      <family val="1"/>
      <charset val="204"/>
      <scheme val="major"/>
    </font>
    <font>
      <b/>
      <sz val="11"/>
      <name val="Times New Roman"/>
      <family val="1"/>
      <charset val="204"/>
      <scheme val="minor"/>
    </font>
    <font>
      <b/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15">
    <xf numFmtId="0" fontId="0" fillId="0" borderId="0" xfId="0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wrapText="1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1" fillId="2" borderId="0" xfId="1" applyFont="1" applyFill="1"/>
    <xf numFmtId="0" fontId="12" fillId="2" borderId="0" xfId="1" applyFont="1" applyFill="1"/>
    <xf numFmtId="0" fontId="13" fillId="2" borderId="0" xfId="1" applyFont="1" applyFill="1"/>
    <xf numFmtId="0" fontId="12" fillId="2" borderId="0" xfId="1" applyFont="1" applyFill="1" applyAlignment="1">
      <alignment vertical="top"/>
    </xf>
    <xf numFmtId="0" fontId="12" fillId="2" borderId="0" xfId="1" applyFont="1" applyFill="1" applyAlignment="1">
      <alignment horizontal="left" vertical="top"/>
    </xf>
    <xf numFmtId="0" fontId="12" fillId="2" borderId="0" xfId="1" applyFont="1" applyFill="1" applyAlignment="1">
      <alignment wrapText="1"/>
    </xf>
    <xf numFmtId="0" fontId="14" fillId="2" borderId="0" xfId="1" applyFont="1" applyFill="1"/>
    <xf numFmtId="0" fontId="14" fillId="2" borderId="0" xfId="1" applyFont="1" applyFill="1" applyAlignment="1">
      <alignment horizontal="center"/>
    </xf>
    <xf numFmtId="14" fontId="14" fillId="2" borderId="0" xfId="1" applyNumberFormat="1" applyFont="1" applyFill="1" applyAlignment="1">
      <alignment horizontal="center" vertical="center" wrapText="1"/>
    </xf>
    <xf numFmtId="0" fontId="12" fillId="2" borderId="0" xfId="1" applyFont="1" applyFill="1" applyAlignment="1">
      <alignment vertical="center"/>
    </xf>
    <xf numFmtId="0" fontId="12" fillId="2" borderId="2" xfId="1" applyFont="1" applyFill="1" applyBorder="1" applyAlignment="1">
      <alignment vertical="top"/>
    </xf>
    <xf numFmtId="0" fontId="12" fillId="0" borderId="0" xfId="1" applyFont="1"/>
    <xf numFmtId="14" fontId="14" fillId="0" borderId="0" xfId="1" applyNumberFormat="1" applyFont="1" applyAlignment="1">
      <alignment vertical="center" wrapText="1"/>
    </xf>
    <xf numFmtId="0" fontId="14" fillId="2" borderId="0" xfId="1" applyFont="1" applyFill="1" applyAlignment="1">
      <alignment horizontal="center" vertical="top"/>
    </xf>
    <xf numFmtId="0" fontId="11" fillId="2" borderId="0" xfId="1" applyFont="1" applyFill="1" applyAlignment="1">
      <alignment vertical="top" wrapText="1"/>
    </xf>
    <xf numFmtId="0" fontId="14" fillId="2" borderId="0" xfId="1" applyFont="1" applyFill="1" applyAlignment="1">
      <alignment vertical="top"/>
    </xf>
    <xf numFmtId="0" fontId="13" fillId="2" borderId="0" xfId="1" applyFont="1" applyFill="1" applyAlignment="1">
      <alignment wrapText="1"/>
    </xf>
    <xf numFmtId="0" fontId="14" fillId="2" borderId="0" xfId="1" applyFont="1" applyFill="1" applyAlignment="1">
      <alignment wrapText="1"/>
    </xf>
    <xf numFmtId="0" fontId="12" fillId="2" borderId="0" xfId="1" applyFont="1" applyFill="1" applyAlignment="1">
      <alignment horizontal="center" wrapText="1"/>
    </xf>
    <xf numFmtId="0" fontId="12" fillId="2" borderId="0" xfId="1" applyFont="1" applyFill="1" applyAlignment="1">
      <alignment horizontal="center" vertical="top" wrapText="1"/>
    </xf>
    <xf numFmtId="0" fontId="16" fillId="2" borderId="2" xfId="1" applyFont="1" applyFill="1" applyBorder="1" applyAlignment="1">
      <alignment vertical="top"/>
    </xf>
    <xf numFmtId="165" fontId="11" fillId="2" borderId="0" xfId="1" applyNumberFormat="1" applyFont="1" applyFill="1" applyAlignment="1">
      <alignment vertical="center" wrapText="1"/>
    </xf>
    <xf numFmtId="165" fontId="11" fillId="2" borderId="0" xfId="1" applyNumberFormat="1" applyFont="1" applyFill="1" applyAlignment="1">
      <alignment vertical="top" wrapText="1"/>
    </xf>
    <xf numFmtId="0" fontId="16" fillId="2" borderId="0" xfId="1" applyFont="1" applyFill="1"/>
    <xf numFmtId="14" fontId="14" fillId="2" borderId="0" xfId="1" applyNumberFormat="1" applyFont="1" applyFill="1" applyAlignment="1">
      <alignment vertical="top" wrapText="1"/>
    </xf>
    <xf numFmtId="14" fontId="11" fillId="2" borderId="0" xfId="1" applyNumberFormat="1" applyFont="1" applyFill="1" applyAlignment="1">
      <alignment vertical="top" wrapText="1"/>
    </xf>
    <xf numFmtId="0" fontId="12" fillId="2" borderId="0" xfId="1" applyFont="1" applyFill="1" applyAlignment="1">
      <alignment horizontal="center" vertical="top"/>
    </xf>
    <xf numFmtId="0" fontId="12" fillId="2" borderId="0" xfId="1" applyFont="1" applyFill="1" applyAlignment="1">
      <alignment horizontal="left" wrapText="1"/>
    </xf>
    <xf numFmtId="0" fontId="7" fillId="2" borderId="0" xfId="1" applyFont="1" applyFill="1" applyAlignment="1">
      <alignment horizontal="left" wrapText="1"/>
    </xf>
    <xf numFmtId="0" fontId="5" fillId="0" borderId="0" xfId="0" applyFont="1"/>
    <xf numFmtId="0" fontId="18" fillId="0" borderId="0" xfId="1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/>
    <xf numFmtId="0" fontId="18" fillId="0" borderId="0" xfId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7" fillId="2" borderId="0" xfId="1" applyFont="1" applyFill="1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 wrapText="1"/>
    </xf>
    <xf numFmtId="14" fontId="19" fillId="0" borderId="0" xfId="0" applyNumberFormat="1" applyFont="1" applyAlignment="1">
      <alignment vertical="center"/>
    </xf>
    <xf numFmtId="0" fontId="1" fillId="0" borderId="0" xfId="0" applyFont="1"/>
    <xf numFmtId="166" fontId="0" fillId="0" borderId="0" xfId="0" applyNumberFormat="1"/>
    <xf numFmtId="0" fontId="14" fillId="2" borderId="0" xfId="1" applyFont="1" applyFill="1" applyAlignment="1">
      <alignment vertical="top" wrapText="1"/>
    </xf>
    <xf numFmtId="0" fontId="15" fillId="2" borderId="0" xfId="1" applyFont="1" applyFill="1" applyAlignment="1">
      <alignment wrapText="1"/>
    </xf>
    <xf numFmtId="0" fontId="20" fillId="0" borderId="0" xfId="0" applyFont="1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top" wrapText="1"/>
    </xf>
    <xf numFmtId="0" fontId="12" fillId="2" borderId="0" xfId="1" applyFont="1" applyFill="1" applyAlignment="1">
      <alignment horizontal="left" wrapText="1"/>
    </xf>
    <xf numFmtId="14" fontId="14" fillId="4" borderId="0" xfId="1" applyNumberFormat="1" applyFont="1" applyFill="1" applyBorder="1" applyAlignment="1">
      <alignment horizontal="left" vertical="center" wrapText="1"/>
    </xf>
    <xf numFmtId="165" fontId="12" fillId="3" borderId="1" xfId="1" applyNumberFormat="1" applyFont="1" applyFill="1" applyBorder="1" applyAlignment="1">
      <alignment horizontal="center"/>
    </xf>
    <xf numFmtId="0" fontId="12" fillId="2" borderId="1" xfId="1" applyFont="1" applyFill="1" applyBorder="1" applyAlignment="1">
      <alignment horizontal="center"/>
    </xf>
    <xf numFmtId="14" fontId="12" fillId="3" borderId="1" xfId="1" applyNumberFormat="1" applyFont="1" applyFill="1" applyBorder="1" applyAlignment="1">
      <alignment horizontal="center"/>
    </xf>
    <xf numFmtId="0" fontId="16" fillId="2" borderId="2" xfId="1" applyFont="1" applyFill="1" applyBorder="1" applyAlignment="1">
      <alignment horizontal="center" vertical="top"/>
    </xf>
    <xf numFmtId="0" fontId="11" fillId="3" borderId="0" xfId="1" applyFont="1" applyFill="1" applyAlignment="1">
      <alignment horizontal="center"/>
    </xf>
    <xf numFmtId="0" fontId="12" fillId="2" borderId="0" xfId="1" applyFont="1" applyFill="1" applyAlignment="1">
      <alignment horizontal="left"/>
    </xf>
    <xf numFmtId="0" fontId="14" fillId="3" borderId="1" xfId="1" applyFont="1" applyFill="1" applyBorder="1" applyAlignment="1">
      <alignment horizontal="left" vertical="top" wrapText="1"/>
    </xf>
    <xf numFmtId="14" fontId="14" fillId="3" borderId="3" xfId="1" applyNumberFormat="1" applyFont="1" applyFill="1" applyBorder="1" applyAlignment="1">
      <alignment horizontal="left" vertical="top" wrapText="1"/>
    </xf>
    <xf numFmtId="0" fontId="14" fillId="3" borderId="1" xfId="1" applyFont="1" applyFill="1" applyBorder="1" applyAlignment="1">
      <alignment horizontal="left"/>
    </xf>
    <xf numFmtId="0" fontId="16" fillId="2" borderId="2" xfId="1" applyFont="1" applyFill="1" applyBorder="1" applyAlignment="1">
      <alignment horizontal="left" vertical="top"/>
    </xf>
    <xf numFmtId="0" fontId="11" fillId="3" borderId="0" xfId="1" applyFont="1" applyFill="1" applyAlignment="1">
      <alignment horizontal="left"/>
    </xf>
    <xf numFmtId="0" fontId="16" fillId="2" borderId="0" xfId="1" applyFont="1" applyFill="1" applyAlignment="1">
      <alignment horizontal="right" vertical="top" wrapText="1"/>
    </xf>
    <xf numFmtId="165" fontId="14" fillId="3" borderId="1" xfId="1" applyNumberFormat="1" applyFont="1" applyFill="1" applyBorder="1" applyAlignment="1">
      <alignment horizontal="left" vertical="top" wrapText="1"/>
    </xf>
    <xf numFmtId="0" fontId="14" fillId="2" borderId="0" xfId="1" applyFont="1" applyFill="1" applyAlignment="1">
      <alignment horizontal="left" vertical="top" wrapText="1"/>
    </xf>
    <xf numFmtId="0" fontId="12" fillId="2" borderId="0" xfId="1" applyFont="1" applyFill="1" applyAlignment="1">
      <alignment horizontal="center"/>
    </xf>
    <xf numFmtId="14" fontId="12" fillId="2" borderId="0" xfId="1" applyNumberFormat="1" applyFont="1" applyFill="1" applyAlignment="1">
      <alignment horizontal="center"/>
    </xf>
    <xf numFmtId="0" fontId="12" fillId="2" borderId="0" xfId="1" applyFont="1" applyFill="1" applyAlignment="1">
      <alignment horizontal="center" vertical="top"/>
    </xf>
    <xf numFmtId="0" fontId="12" fillId="3" borderId="1" xfId="1" applyFont="1" applyFill="1" applyBorder="1" applyAlignment="1">
      <alignment horizontal="center"/>
    </xf>
    <xf numFmtId="0" fontId="0" fillId="0" borderId="0" xfId="0" applyAlignment="1">
      <alignment horizontal="left" vertical="top" wrapText="1"/>
    </xf>
    <xf numFmtId="0" fontId="12" fillId="2" borderId="0" xfId="1" applyFont="1" applyFill="1" applyAlignment="1">
      <alignment horizontal="left" vertical="center"/>
    </xf>
    <xf numFmtId="14" fontId="14" fillId="3" borderId="1" xfId="1" applyNumberFormat="1" applyFont="1" applyFill="1" applyBorder="1" applyAlignment="1">
      <alignment horizontal="left" vertical="center" wrapText="1"/>
    </xf>
    <xf numFmtId="0" fontId="17" fillId="0" borderId="2" xfId="1" applyFont="1" applyBorder="1" applyAlignment="1">
      <alignment horizontal="center" vertical="top"/>
    </xf>
    <xf numFmtId="0" fontId="14" fillId="4" borderId="1" xfId="1" applyFont="1" applyFill="1" applyBorder="1" applyAlignment="1">
      <alignment horizontal="left"/>
    </xf>
    <xf numFmtId="0" fontId="16" fillId="2" borderId="0" xfId="1" applyFont="1" applyFill="1" applyAlignment="1">
      <alignment horizontal="center" vertical="center"/>
    </xf>
    <xf numFmtId="14" fontId="14" fillId="4" borderId="1" xfId="1" applyNumberFormat="1" applyFont="1" applyFill="1" applyBorder="1" applyAlignment="1">
      <alignment horizontal="left" vertical="center" wrapText="1"/>
    </xf>
    <xf numFmtId="14" fontId="14" fillId="2" borderId="2" xfId="1" applyNumberFormat="1" applyFont="1" applyFill="1" applyBorder="1" applyAlignment="1">
      <alignment horizontal="center" vertical="top" wrapText="1"/>
    </xf>
    <xf numFmtId="0" fontId="14" fillId="4" borderId="1" xfId="1" applyFont="1" applyFill="1" applyBorder="1" applyAlignment="1">
      <alignment horizontal="left" vertical="top" wrapText="1"/>
    </xf>
    <xf numFmtId="0" fontId="16" fillId="2" borderId="0" xfId="1" applyFont="1" applyFill="1" applyAlignment="1">
      <alignment horizontal="left" vertical="top"/>
    </xf>
    <xf numFmtId="0" fontId="11" fillId="4" borderId="0" xfId="1" applyFont="1" applyFill="1" applyAlignment="1">
      <alignment horizontal="left" vertical="top" wrapText="1"/>
    </xf>
    <xf numFmtId="14" fontId="23" fillId="4" borderId="1" xfId="1" applyNumberFormat="1" applyFont="1" applyFill="1" applyBorder="1" applyAlignment="1">
      <alignment horizontal="left" vertical="center" wrapText="1"/>
    </xf>
    <xf numFmtId="49" fontId="13" fillId="2" borderId="0" xfId="1" applyNumberFormat="1" applyFont="1" applyFill="1" applyAlignment="1">
      <alignment horizontal="center" vertical="center"/>
    </xf>
    <xf numFmtId="0" fontId="13" fillId="2" borderId="0" xfId="1" applyFont="1" applyFill="1" applyAlignment="1">
      <alignment horizontal="left"/>
    </xf>
    <xf numFmtId="0" fontId="12" fillId="2" borderId="0" xfId="1" applyFont="1" applyFill="1" applyAlignment="1">
      <alignment horizontal="left" wrapText="1"/>
    </xf>
    <xf numFmtId="49" fontId="12" fillId="2" borderId="0" xfId="1" applyNumberFormat="1" applyFont="1" applyFill="1" applyAlignment="1">
      <alignment horizontal="center"/>
    </xf>
    <xf numFmtId="0" fontId="14" fillId="4" borderId="0" xfId="1" applyFont="1" applyFill="1" applyAlignment="1">
      <alignment horizontal="left"/>
    </xf>
    <xf numFmtId="0" fontId="14" fillId="0" borderId="0" xfId="1" applyFont="1" applyAlignment="1">
      <alignment horizontal="center"/>
    </xf>
    <xf numFmtId="14" fontId="14" fillId="4" borderId="3" xfId="1" applyNumberFormat="1" applyFont="1" applyFill="1" applyBorder="1" applyAlignment="1">
      <alignment horizontal="left" vertical="center" wrapText="1"/>
    </xf>
    <xf numFmtId="0" fontId="16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/>
    </xf>
    <xf numFmtId="0" fontId="12" fillId="3" borderId="1" xfId="1" applyFont="1" applyFill="1" applyBorder="1" applyAlignment="1">
      <alignment horizontal="right"/>
    </xf>
    <xf numFmtId="0" fontId="12" fillId="3" borderId="1" xfId="1" applyFont="1" applyFill="1" applyBorder="1" applyAlignment="1">
      <alignment horizontal="left" wrapText="1"/>
    </xf>
    <xf numFmtId="0" fontId="12" fillId="3" borderId="1" xfId="1" applyFont="1" applyFill="1" applyBorder="1" applyAlignment="1">
      <alignment horizontal="right" vertical="center"/>
    </xf>
    <xf numFmtId="14" fontId="14" fillId="4" borderId="1" xfId="1" applyNumberFormat="1" applyFont="1" applyFill="1" applyBorder="1" applyAlignment="1">
      <alignment horizontal="left" vertical="top" wrapText="1"/>
    </xf>
    <xf numFmtId="14" fontId="14" fillId="2" borderId="0" xfId="1" applyNumberFormat="1" applyFont="1" applyFill="1" applyAlignment="1">
      <alignment horizontal="center" wrapText="1"/>
    </xf>
    <xf numFmtId="164" fontId="14" fillId="4" borderId="1" xfId="1" applyNumberFormat="1" applyFont="1" applyFill="1" applyBorder="1" applyAlignment="1">
      <alignment horizontal="center"/>
    </xf>
    <xf numFmtId="0" fontId="22" fillId="4" borderId="3" xfId="1" applyFont="1" applyFill="1" applyBorder="1" applyAlignment="1">
      <alignment horizontal="left" wrapText="1"/>
    </xf>
    <xf numFmtId="0" fontId="12" fillId="0" borderId="0" xfId="1" applyFont="1" applyBorder="1" applyAlignment="1">
      <alignment horizontal="center"/>
    </xf>
    <xf numFmtId="0" fontId="22" fillId="4" borderId="1" xfId="1" applyFont="1" applyFill="1" applyBorder="1" applyAlignment="1">
      <alignment horizontal="left" wrapText="1"/>
    </xf>
    <xf numFmtId="0" fontId="12" fillId="3" borderId="0" xfId="1" applyFont="1" applyFill="1" applyAlignment="1">
      <alignment horizontal="left" wrapText="1"/>
    </xf>
    <xf numFmtId="14" fontId="22" fillId="3" borderId="1" xfId="1" applyNumberFormat="1" applyFont="1" applyFill="1" applyBorder="1" applyAlignment="1">
      <alignment horizontal="left" vertical="center" wrapText="1"/>
    </xf>
    <xf numFmtId="0" fontId="14" fillId="4" borderId="1" xfId="1" applyFont="1" applyFill="1" applyBorder="1" applyAlignment="1">
      <alignment horizontal="center" vertical="center" wrapText="1"/>
    </xf>
    <xf numFmtId="0" fontId="24" fillId="4" borderId="1" xfId="1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289560</xdr:colOff>
      <xdr:row>10</xdr:row>
      <xdr:rowOff>30480</xdr:rowOff>
    </xdr:from>
    <xdr:to>
      <xdr:col>76</xdr:col>
      <xdr:colOff>201930</xdr:colOff>
      <xdr:row>19</xdr:row>
      <xdr:rowOff>97155</xdr:rowOff>
    </xdr:to>
    <xdr:sp macro="" textlink="">
      <xdr:nvSpPr>
        <xdr:cNvPr id="2" name="Стрелка: влево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8961120" y="1783080"/>
          <a:ext cx="1520190" cy="37147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29</xdr:row>
      <xdr:rowOff>0</xdr:rowOff>
    </xdr:from>
    <xdr:to>
      <xdr:col>75</xdr:col>
      <xdr:colOff>521970</xdr:colOff>
      <xdr:row>30</xdr:row>
      <xdr:rowOff>78105</xdr:rowOff>
    </xdr:to>
    <xdr:sp macro="" textlink="">
      <xdr:nvSpPr>
        <xdr:cNvPr id="3" name="Стрелка: влево 6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8671560" y="4053840"/>
          <a:ext cx="1520190" cy="25336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40</xdr:row>
      <xdr:rowOff>0</xdr:rowOff>
    </xdr:from>
    <xdr:to>
      <xdr:col>75</xdr:col>
      <xdr:colOff>521970</xdr:colOff>
      <xdr:row>42</xdr:row>
      <xdr:rowOff>38100</xdr:rowOff>
    </xdr:to>
    <xdr:sp macro="" textlink="">
      <xdr:nvSpPr>
        <xdr:cNvPr id="4" name="Стрелка: влево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671560" y="4785360"/>
          <a:ext cx="152019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45</xdr:row>
      <xdr:rowOff>0</xdr:rowOff>
    </xdr:from>
    <xdr:to>
      <xdr:col>75</xdr:col>
      <xdr:colOff>521970</xdr:colOff>
      <xdr:row>51</xdr:row>
      <xdr:rowOff>38100</xdr:rowOff>
    </xdr:to>
    <xdr:sp macro="" textlink="">
      <xdr:nvSpPr>
        <xdr:cNvPr id="5" name="Стрелка: влево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671560" y="5661660"/>
          <a:ext cx="152019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72</xdr:row>
      <xdr:rowOff>0</xdr:rowOff>
    </xdr:from>
    <xdr:to>
      <xdr:col>75</xdr:col>
      <xdr:colOff>521970</xdr:colOff>
      <xdr:row>73</xdr:row>
      <xdr:rowOff>72390</xdr:rowOff>
    </xdr:to>
    <xdr:sp macro="" textlink="">
      <xdr:nvSpPr>
        <xdr:cNvPr id="6" name="Стрелка: влево 4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8671560" y="7764780"/>
          <a:ext cx="152019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84</xdr:row>
      <xdr:rowOff>0</xdr:rowOff>
    </xdr:from>
    <xdr:to>
      <xdr:col>75</xdr:col>
      <xdr:colOff>521970</xdr:colOff>
      <xdr:row>86</xdr:row>
      <xdr:rowOff>66675</xdr:rowOff>
    </xdr:to>
    <xdr:sp macro="" textlink="">
      <xdr:nvSpPr>
        <xdr:cNvPr id="7" name="Стрелка: влево 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671560" y="9692640"/>
          <a:ext cx="1520190" cy="41719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289560</xdr:colOff>
      <xdr:row>10</xdr:row>
      <xdr:rowOff>30480</xdr:rowOff>
    </xdr:from>
    <xdr:to>
      <xdr:col>76</xdr:col>
      <xdr:colOff>201930</xdr:colOff>
      <xdr:row>14</xdr:row>
      <xdr:rowOff>0</xdr:rowOff>
    </xdr:to>
    <xdr:sp macro="" textlink="">
      <xdr:nvSpPr>
        <xdr:cNvPr id="2" name="Стрелка: влево 5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8961120" y="1783080"/>
          <a:ext cx="1520190" cy="78295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24</xdr:row>
      <xdr:rowOff>0</xdr:rowOff>
    </xdr:from>
    <xdr:to>
      <xdr:col>75</xdr:col>
      <xdr:colOff>521970</xdr:colOff>
      <xdr:row>25</xdr:row>
      <xdr:rowOff>78105</xdr:rowOff>
    </xdr:to>
    <xdr:sp macro="" textlink="">
      <xdr:nvSpPr>
        <xdr:cNvPr id="3" name="Стрелка: влево 6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8671560" y="4526280"/>
          <a:ext cx="1520190" cy="25336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31</xdr:row>
      <xdr:rowOff>0</xdr:rowOff>
    </xdr:from>
    <xdr:to>
      <xdr:col>75</xdr:col>
      <xdr:colOff>521970</xdr:colOff>
      <xdr:row>35</xdr:row>
      <xdr:rowOff>38100</xdr:rowOff>
    </xdr:to>
    <xdr:sp macro="" textlink="">
      <xdr:nvSpPr>
        <xdr:cNvPr id="5" name="Стрелка: влево 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8671560" y="6339840"/>
          <a:ext cx="1520190" cy="73914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46</xdr:row>
      <xdr:rowOff>0</xdr:rowOff>
    </xdr:from>
    <xdr:to>
      <xdr:col>75</xdr:col>
      <xdr:colOff>521970</xdr:colOff>
      <xdr:row>47</xdr:row>
      <xdr:rowOff>72390</xdr:rowOff>
    </xdr:to>
    <xdr:sp macro="" textlink="">
      <xdr:nvSpPr>
        <xdr:cNvPr id="6" name="Стрелка: влево 4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8671560" y="8793480"/>
          <a:ext cx="152019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57</xdr:row>
      <xdr:rowOff>0</xdr:rowOff>
    </xdr:from>
    <xdr:to>
      <xdr:col>75</xdr:col>
      <xdr:colOff>521970</xdr:colOff>
      <xdr:row>59</xdr:row>
      <xdr:rowOff>66675</xdr:rowOff>
    </xdr:to>
    <xdr:sp macro="" textlink="">
      <xdr:nvSpPr>
        <xdr:cNvPr id="7" name="Стрелка: влево 7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8671560" y="10896600"/>
          <a:ext cx="1520190" cy="41719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Times New Roman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CE93"/>
  <sheetViews>
    <sheetView tabSelected="1" view="pageBreakPreview" topLeftCell="A31" zoomScale="112" zoomScaleNormal="100" zoomScaleSheetLayoutView="85" workbookViewId="0">
      <selection activeCell="BV37" sqref="BV37"/>
    </sheetView>
  </sheetViews>
  <sheetFormatPr defaultRowHeight="13.8" x14ac:dyDescent="0.25"/>
  <cols>
    <col min="1" max="12" width="1.44140625" customWidth="1"/>
    <col min="13" max="13" width="2.33203125" customWidth="1"/>
    <col min="14" max="34" width="1.44140625" customWidth="1"/>
    <col min="35" max="36" width="2" customWidth="1"/>
    <col min="37" max="70" width="1.44140625" customWidth="1"/>
    <col min="71" max="71" width="6.5546875" customWidth="1"/>
    <col min="72" max="72" width="5.5546875" customWidth="1"/>
    <col min="73" max="73" width="9.5546875" customWidth="1"/>
    <col min="74" max="74" width="5.6640625" customWidth="1"/>
    <col min="75" max="75" width="14.5546875" bestFit="1" customWidth="1"/>
  </cols>
  <sheetData>
    <row r="1" spans="1:72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 t="s">
        <v>60</v>
      </c>
      <c r="M1" s="9"/>
      <c r="N1" s="9"/>
      <c r="O1" s="9"/>
      <c r="P1" s="9"/>
      <c r="Q1" s="9"/>
      <c r="R1" s="9"/>
      <c r="S1" s="9"/>
      <c r="T1" s="9"/>
      <c r="U1" s="9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9" t="s">
        <v>1</v>
      </c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8"/>
      <c r="BT1" s="12"/>
    </row>
    <row r="2" spans="1:72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7" t="s">
        <v>3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8"/>
      <c r="Z2" s="8"/>
      <c r="AA2" s="8"/>
      <c r="AB2" s="8"/>
      <c r="AC2" s="8"/>
      <c r="AD2" s="8"/>
      <c r="AE2" s="8"/>
      <c r="AF2" s="8"/>
      <c r="AG2" s="8"/>
      <c r="AH2" s="8" t="s">
        <v>69</v>
      </c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12"/>
    </row>
    <row r="3" spans="1:72" x14ac:dyDescent="0.25">
      <c r="A3" s="77" t="s">
        <v>4</v>
      </c>
      <c r="B3" s="77"/>
      <c r="C3" s="77"/>
      <c r="D3" s="77"/>
      <c r="E3" s="77"/>
      <c r="F3" s="93" t="s">
        <v>5</v>
      </c>
      <c r="G3" s="93"/>
      <c r="H3" s="93"/>
      <c r="I3" s="94" t="s">
        <v>6</v>
      </c>
      <c r="J3" s="94"/>
      <c r="K3" s="94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10"/>
      <c r="AJ3" s="10"/>
      <c r="AK3" s="10"/>
      <c r="AL3" s="10"/>
      <c r="AM3" s="8"/>
      <c r="AN3" s="11" t="s">
        <v>62</v>
      </c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8"/>
      <c r="BT3" s="12"/>
    </row>
    <row r="4" spans="1:72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 t="s">
        <v>70</v>
      </c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12"/>
    </row>
    <row r="5" spans="1:7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 t="s">
        <v>71</v>
      </c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12"/>
    </row>
    <row r="6" spans="1:72" ht="13.8" customHeight="1" x14ac:dyDescent="0.25">
      <c r="A6" s="77"/>
      <c r="B6" s="77"/>
      <c r="C6" s="77"/>
      <c r="D6" s="77"/>
      <c r="E6" s="77"/>
      <c r="F6" s="93"/>
      <c r="G6" s="93"/>
      <c r="H6" s="93"/>
      <c r="I6" s="94"/>
      <c r="J6" s="94"/>
      <c r="K6" s="94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12"/>
      <c r="AF6" s="12"/>
      <c r="AG6" s="12"/>
      <c r="AH6" s="95" t="s">
        <v>61</v>
      </c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5"/>
      <c r="BI6" s="95"/>
      <c r="BJ6" s="95"/>
      <c r="BK6" s="95"/>
      <c r="BL6" s="95"/>
      <c r="BM6" s="95"/>
      <c r="BN6" s="95"/>
      <c r="BO6" s="95"/>
      <c r="BP6" s="95"/>
      <c r="BQ6" s="95"/>
      <c r="BR6" s="95"/>
      <c r="BS6" s="95"/>
      <c r="BT6" s="95"/>
    </row>
    <row r="7" spans="1:72" x14ac:dyDescent="0.25">
      <c r="A7" s="8"/>
      <c r="B7" s="8"/>
      <c r="C7" s="8"/>
      <c r="D7" s="8"/>
      <c r="E7" s="8"/>
      <c r="F7" s="8"/>
      <c r="G7" s="96"/>
      <c r="H7" s="96"/>
      <c r="I7" s="94"/>
      <c r="J7" s="94"/>
      <c r="K7" s="94"/>
      <c r="L7" s="94"/>
      <c r="M7" s="94"/>
      <c r="N7" s="94"/>
      <c r="O7" s="94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12"/>
      <c r="AE7" s="12"/>
      <c r="AF7" s="12"/>
      <c r="AG7" s="12"/>
      <c r="AH7" s="95"/>
      <c r="AI7" s="95"/>
      <c r="AJ7" s="95"/>
      <c r="AK7" s="95"/>
      <c r="AL7" s="95"/>
      <c r="AM7" s="95"/>
      <c r="AN7" s="95"/>
      <c r="AO7" s="95"/>
      <c r="AP7" s="95"/>
      <c r="AQ7" s="95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5"/>
      <c r="BF7" s="95"/>
      <c r="BG7" s="95"/>
      <c r="BH7" s="95"/>
      <c r="BI7" s="95"/>
      <c r="BJ7" s="95"/>
      <c r="BK7" s="95"/>
      <c r="BL7" s="95"/>
      <c r="BM7" s="95"/>
      <c r="BN7" s="95"/>
      <c r="BO7" s="95"/>
      <c r="BP7" s="95"/>
      <c r="BQ7" s="95"/>
      <c r="BR7" s="95"/>
      <c r="BS7" s="95"/>
      <c r="BT7" s="95"/>
    </row>
    <row r="8" spans="1:72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10" t="s">
        <v>7</v>
      </c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12"/>
      <c r="BS8" s="8"/>
      <c r="BT8" s="12"/>
    </row>
    <row r="9" spans="1:72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13" t="s">
        <v>8</v>
      </c>
      <c r="AA9" s="8"/>
      <c r="AB9" s="8"/>
      <c r="AC9" s="8"/>
      <c r="AD9" s="8"/>
      <c r="AE9" s="8"/>
      <c r="AF9" s="97" t="s">
        <v>119</v>
      </c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</row>
    <row r="10" spans="1:72" x14ac:dyDescent="0.25">
      <c r="A10" s="98" t="s">
        <v>45</v>
      </c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</row>
    <row r="11" spans="1:72" ht="7.8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</row>
    <row r="12" spans="1:72" ht="16.2" customHeight="1" x14ac:dyDescent="0.25">
      <c r="A12" s="87" t="s">
        <v>121</v>
      </c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87"/>
      <c r="BF12" s="87"/>
      <c r="BG12" s="87"/>
      <c r="BH12" s="87"/>
      <c r="BI12" s="87"/>
      <c r="BJ12" s="87"/>
      <c r="BK12" s="87"/>
      <c r="BL12" s="87"/>
      <c r="BM12" s="87"/>
      <c r="BN12" s="87"/>
      <c r="BO12" s="87"/>
      <c r="BP12" s="87"/>
      <c r="BQ12" s="87"/>
      <c r="BR12" s="87"/>
      <c r="BS12" s="87"/>
      <c r="BT12" s="87"/>
    </row>
    <row r="13" spans="1:72" ht="16.2" customHeight="1" x14ac:dyDescent="0.25">
      <c r="A13" s="99" t="s">
        <v>145</v>
      </c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99"/>
      <c r="BF13" s="99"/>
      <c r="BG13" s="99"/>
      <c r="BH13" s="99"/>
      <c r="BI13" s="99"/>
      <c r="BJ13" s="99"/>
      <c r="BK13" s="99"/>
      <c r="BL13" s="99"/>
      <c r="BM13" s="99"/>
      <c r="BN13" s="99"/>
      <c r="BO13" s="99"/>
      <c r="BP13" s="99"/>
      <c r="BQ13" s="99"/>
      <c r="BR13" s="99"/>
      <c r="BS13" s="99"/>
      <c r="BT13" s="99"/>
    </row>
    <row r="14" spans="1:72" ht="16.2" customHeight="1" x14ac:dyDescent="0.25">
      <c r="A14" s="92" t="s">
        <v>122</v>
      </c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7"/>
      <c r="AQ14" s="87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87"/>
      <c r="BF14" s="87"/>
      <c r="BG14" s="87"/>
      <c r="BH14" s="87"/>
      <c r="BI14" s="87"/>
      <c r="BJ14" s="87"/>
      <c r="BK14" s="87"/>
      <c r="BL14" s="87"/>
      <c r="BM14" s="87"/>
      <c r="BN14" s="87"/>
      <c r="BO14" s="87"/>
      <c r="BP14" s="87"/>
      <c r="BQ14" s="87"/>
      <c r="BR14" s="87"/>
      <c r="BS14" s="87"/>
      <c r="BT14" s="87"/>
    </row>
    <row r="15" spans="1:72" ht="16.2" customHeight="1" x14ac:dyDescent="0.25">
      <c r="A15" s="87" t="s">
        <v>123</v>
      </c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87"/>
      <c r="BK15" s="87"/>
      <c r="BL15" s="87"/>
      <c r="BM15" s="87"/>
      <c r="BN15" s="87"/>
      <c r="BO15" s="87"/>
      <c r="BP15" s="87"/>
      <c r="BQ15" s="87"/>
      <c r="BR15" s="87"/>
      <c r="BS15" s="87"/>
      <c r="BT15" s="87"/>
    </row>
    <row r="16" spans="1:72" ht="16.2" customHeight="1" x14ac:dyDescent="0.25">
      <c r="A16" s="99" t="s">
        <v>124</v>
      </c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99"/>
      <c r="BF16" s="99"/>
      <c r="BG16" s="99"/>
      <c r="BH16" s="99"/>
      <c r="BI16" s="99"/>
      <c r="BJ16" s="99"/>
      <c r="BK16" s="99"/>
      <c r="BL16" s="99"/>
      <c r="BM16" s="99"/>
      <c r="BN16" s="99"/>
      <c r="BO16" s="99"/>
      <c r="BP16" s="99"/>
      <c r="BQ16" s="99"/>
      <c r="BR16" s="99"/>
      <c r="BS16" s="99"/>
      <c r="BT16" s="99"/>
    </row>
    <row r="17" spans="1:83" ht="16.2" customHeight="1" x14ac:dyDescent="0.25">
      <c r="A17" s="99" t="s">
        <v>125</v>
      </c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99"/>
      <c r="BF17" s="99"/>
      <c r="BG17" s="99"/>
      <c r="BH17" s="99"/>
      <c r="BI17" s="99"/>
      <c r="BJ17" s="99"/>
      <c r="BK17" s="99"/>
      <c r="BL17" s="99"/>
      <c r="BM17" s="99"/>
      <c r="BN17" s="99"/>
      <c r="BO17" s="99"/>
      <c r="BP17" s="99"/>
      <c r="BQ17" s="99"/>
      <c r="BR17" s="99"/>
      <c r="BS17" s="99"/>
      <c r="BT17" s="99"/>
    </row>
    <row r="18" spans="1:83" ht="16.2" customHeight="1" x14ac:dyDescent="0.25">
      <c r="A18" s="99" t="s">
        <v>126</v>
      </c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99"/>
      <c r="BF18" s="99"/>
      <c r="BG18" s="99"/>
      <c r="BH18" s="99"/>
      <c r="BI18" s="99"/>
      <c r="BJ18" s="99"/>
      <c r="BK18" s="99"/>
      <c r="BL18" s="99"/>
      <c r="BM18" s="99"/>
      <c r="BN18" s="99"/>
      <c r="BO18" s="99"/>
      <c r="BP18" s="99"/>
      <c r="BQ18" s="99"/>
      <c r="BR18" s="99"/>
      <c r="BS18" s="99"/>
      <c r="BT18" s="99"/>
    </row>
    <row r="19" spans="1:83" ht="16.2" customHeight="1" x14ac:dyDescent="0.25">
      <c r="A19" s="99" t="s">
        <v>127</v>
      </c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99"/>
      <c r="BF19" s="99"/>
      <c r="BG19" s="99"/>
      <c r="BH19" s="99"/>
      <c r="BI19" s="99"/>
      <c r="BJ19" s="99"/>
      <c r="BK19" s="99"/>
      <c r="BL19" s="99"/>
      <c r="BM19" s="99"/>
      <c r="BN19" s="99"/>
      <c r="BO19" s="99"/>
      <c r="BP19" s="99"/>
      <c r="BQ19" s="99"/>
      <c r="BR19" s="99"/>
      <c r="BS19" s="99"/>
      <c r="BT19" s="99"/>
    </row>
    <row r="20" spans="1:83" ht="9" customHeight="1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</row>
    <row r="21" spans="1:83" ht="12" customHeight="1" x14ac:dyDescent="0.25">
      <c r="A21" s="106" t="s">
        <v>46</v>
      </c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6"/>
      <c r="AQ21" s="106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6"/>
      <c r="BF21" s="106"/>
      <c r="BG21" s="106"/>
      <c r="BH21" s="106"/>
      <c r="BI21" s="106"/>
      <c r="BJ21" s="106"/>
      <c r="BK21" s="106"/>
      <c r="BL21" s="106"/>
      <c r="BM21" s="106"/>
      <c r="BN21" s="106"/>
      <c r="BO21" s="106"/>
      <c r="BP21" s="106"/>
      <c r="BQ21" s="106"/>
      <c r="BR21" s="106"/>
      <c r="BS21" s="106"/>
      <c r="BT21" s="106"/>
    </row>
    <row r="22" spans="1:83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13" t="s">
        <v>9</v>
      </c>
      <c r="AB22" s="8"/>
      <c r="AC22" s="8"/>
      <c r="AD22" s="8"/>
      <c r="AE22" s="107">
        <v>45285</v>
      </c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7"/>
      <c r="AQ22" s="107"/>
      <c r="AR22" s="107"/>
      <c r="AS22" s="107"/>
      <c r="AT22" s="107"/>
      <c r="AU22" s="16"/>
      <c r="AV22" s="16"/>
      <c r="AW22" s="16"/>
      <c r="AX22" s="16"/>
      <c r="AY22" s="16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12"/>
      <c r="BW22" s="54">
        <f>AE22</f>
        <v>45285</v>
      </c>
    </row>
    <row r="23" spans="1:83" x14ac:dyDescent="0.25">
      <c r="A23" s="8" t="s">
        <v>10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 t="s">
        <v>11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12"/>
    </row>
    <row r="24" spans="1:83" ht="13.8" customHeight="1" x14ac:dyDescent="0.25">
      <c r="A24" s="8" t="s">
        <v>12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103" t="str">
        <f>VLOOKUP(BJ24,подписанты!$B$3:$C$11,2,FALSE)</f>
        <v>Руководитель группы МТО АО «Газстройпроект»</v>
      </c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2" t="s">
        <v>63</v>
      </c>
      <c r="BK24" s="102"/>
      <c r="BL24" s="102"/>
      <c r="BM24" s="102"/>
      <c r="BN24" s="102"/>
      <c r="BO24" s="102"/>
      <c r="BP24" s="102"/>
      <c r="BQ24" s="102"/>
      <c r="BR24" s="102"/>
      <c r="BS24" s="102"/>
      <c r="BT24" s="102"/>
    </row>
    <row r="25" spans="1:83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100" t="s">
        <v>13</v>
      </c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0"/>
      <c r="BF25" s="100"/>
      <c r="BG25" s="100"/>
      <c r="BH25" s="100"/>
      <c r="BI25" s="100"/>
      <c r="BJ25" s="66"/>
      <c r="BK25" s="27"/>
      <c r="BL25" s="27"/>
      <c r="BM25" s="27"/>
      <c r="BN25" s="27"/>
      <c r="BO25" s="27"/>
      <c r="BP25" s="17"/>
      <c r="BQ25" s="17"/>
      <c r="BR25" s="17"/>
      <c r="BS25" s="17"/>
      <c r="BT25" s="17"/>
    </row>
    <row r="26" spans="1:83" ht="13.8" customHeight="1" x14ac:dyDescent="0.25">
      <c r="A26" s="8" t="s">
        <v>14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03" t="str">
        <f>VLOOKUP(BJ26,подписанты!$B$3:$C$11,2,FALSE)</f>
        <v>Инженер отдела технического надзора АО «Газстройпроект»</v>
      </c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3"/>
      <c r="BF26" s="103"/>
      <c r="BG26" s="103"/>
      <c r="BH26" s="103"/>
      <c r="BI26" s="103"/>
      <c r="BJ26" s="102" t="s">
        <v>68</v>
      </c>
      <c r="BK26" s="102"/>
      <c r="BL26" s="102"/>
      <c r="BM26" s="102"/>
      <c r="BN26" s="102"/>
      <c r="BO26" s="102"/>
      <c r="BP26" s="102"/>
      <c r="BQ26" s="102"/>
      <c r="BR26" s="102"/>
      <c r="BS26" s="102"/>
      <c r="BT26" s="102"/>
    </row>
    <row r="27" spans="1:83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66" t="s">
        <v>13</v>
      </c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6"/>
      <c r="BK27" s="17"/>
      <c r="BL27" s="17"/>
      <c r="BM27" s="17"/>
      <c r="BN27" s="17"/>
      <c r="BO27" s="17"/>
      <c r="BP27" s="17"/>
      <c r="BQ27" s="17"/>
      <c r="BR27" s="17"/>
      <c r="BS27" s="17"/>
      <c r="BT27" s="17"/>
    </row>
    <row r="28" spans="1:83" ht="40.049999999999997" customHeight="1" x14ac:dyDescent="0.25">
      <c r="A28" s="8" t="s">
        <v>15</v>
      </c>
      <c r="B28" s="8"/>
      <c r="C28" s="8"/>
      <c r="D28" s="8"/>
      <c r="E28" s="8"/>
      <c r="F28" s="8"/>
      <c r="G28" s="8"/>
      <c r="H28" s="8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03" t="str">
        <f>VLOOKUP(BJ28,подписанты!$B$3:$C$11,2,FALSE)</f>
        <v>Начальник отдела организации и контроля материально-технического обеспечения Управления по реализации проектов авиационной инфраструктуры ГГС</v>
      </c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3"/>
      <c r="BF28" s="103"/>
      <c r="BG28" s="103"/>
      <c r="BH28" s="103"/>
      <c r="BI28" s="103"/>
      <c r="BJ28" s="104" t="s">
        <v>91</v>
      </c>
      <c r="BK28" s="104"/>
      <c r="BL28" s="104"/>
      <c r="BM28" s="104"/>
      <c r="BN28" s="104"/>
      <c r="BO28" s="104"/>
      <c r="BP28" s="104"/>
      <c r="BQ28" s="104"/>
      <c r="BR28" s="104"/>
      <c r="BS28" s="104"/>
      <c r="BT28" s="104"/>
    </row>
    <row r="29" spans="1:83" x14ac:dyDescent="0.25">
      <c r="A29" s="8"/>
      <c r="B29" s="8"/>
      <c r="C29" s="8"/>
      <c r="D29" s="8"/>
      <c r="E29" s="8"/>
      <c r="F29" s="8"/>
      <c r="G29" s="8"/>
      <c r="H29" s="8"/>
      <c r="I29" s="8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0" t="s">
        <v>13</v>
      </c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0"/>
      <c r="BF29" s="100"/>
      <c r="BG29" s="100"/>
      <c r="BH29" s="100"/>
      <c r="BI29" s="100"/>
      <c r="BJ29" s="66"/>
      <c r="BK29" s="10"/>
      <c r="BL29" s="10"/>
      <c r="BM29" s="10"/>
      <c r="BN29" s="10"/>
      <c r="BO29" s="10"/>
      <c r="BP29" s="10"/>
      <c r="BQ29" s="10"/>
      <c r="BR29" s="10"/>
      <c r="BS29" s="10"/>
      <c r="BT29" s="10"/>
    </row>
    <row r="30" spans="1:83" x14ac:dyDescent="0.25">
      <c r="A30" s="8" t="s">
        <v>16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18"/>
      <c r="O30" s="80" t="s">
        <v>89</v>
      </c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0"/>
      <c r="BF30" s="80"/>
      <c r="BG30" s="80"/>
      <c r="BH30" s="80"/>
      <c r="BI30" s="80"/>
      <c r="BJ30" s="80"/>
      <c r="BK30" s="80"/>
      <c r="BL30" s="80"/>
      <c r="BM30" s="80"/>
      <c r="BN30" s="80"/>
      <c r="BO30" s="80"/>
      <c r="BP30" s="80"/>
      <c r="BQ30" s="8" t="s">
        <v>17</v>
      </c>
      <c r="BR30" s="13"/>
      <c r="BS30" s="13"/>
      <c r="BT30" s="13"/>
      <c r="BY30" s="81" t="s">
        <v>80</v>
      </c>
      <c r="BZ30" s="81"/>
      <c r="CA30" s="81"/>
      <c r="CB30" s="81"/>
      <c r="CC30" s="81"/>
      <c r="CD30" s="81"/>
      <c r="CE30" s="81"/>
    </row>
    <row r="31" spans="1:83" ht="13.8" customHeight="1" x14ac:dyDescent="0.25">
      <c r="A31" s="8"/>
      <c r="B31" s="8"/>
      <c r="C31" s="8"/>
      <c r="D31" s="8"/>
      <c r="E31" s="86" t="s">
        <v>47</v>
      </c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6"/>
      <c r="BF31" s="86"/>
      <c r="BG31" s="86"/>
      <c r="BH31" s="86"/>
      <c r="BI31" s="86"/>
      <c r="BJ31" s="86"/>
      <c r="BK31" s="86"/>
      <c r="BL31" s="86"/>
      <c r="BM31" s="86"/>
      <c r="BN31" s="86"/>
      <c r="BO31" s="86"/>
      <c r="BP31" s="86"/>
      <c r="BQ31" s="86"/>
      <c r="BR31" s="86"/>
      <c r="BS31" s="86"/>
      <c r="BT31" s="86"/>
      <c r="BY31" s="81"/>
      <c r="BZ31" s="81"/>
      <c r="CA31" s="81"/>
      <c r="CB31" s="81"/>
      <c r="CC31" s="81"/>
      <c r="CD31" s="81"/>
      <c r="CE31" s="81"/>
    </row>
    <row r="32" spans="1:83" ht="16.2" customHeight="1" x14ac:dyDescent="0.25">
      <c r="A32" s="87" t="s">
        <v>128</v>
      </c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7"/>
      <c r="AQ32" s="87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87"/>
      <c r="BK32" s="87"/>
      <c r="BL32" s="87"/>
      <c r="BM32" s="87"/>
      <c r="BN32" s="87"/>
      <c r="BO32" s="87"/>
      <c r="BP32" s="87"/>
      <c r="BQ32" s="87"/>
      <c r="BR32" s="87"/>
      <c r="BS32" s="87"/>
      <c r="BT32" s="87"/>
      <c r="BY32" s="58"/>
      <c r="BZ32" s="58"/>
      <c r="CA32" s="58"/>
      <c r="CB32" s="58"/>
      <c r="CC32" s="58"/>
      <c r="CD32" s="58"/>
      <c r="CE32" s="58"/>
    </row>
    <row r="33" spans="1:83" ht="16.2" customHeight="1" x14ac:dyDescent="0.25">
      <c r="A33" s="92" t="s">
        <v>138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7"/>
      <c r="AQ33" s="87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87"/>
      <c r="BF33" s="87"/>
      <c r="BG33" s="87"/>
      <c r="BH33" s="87"/>
      <c r="BI33" s="87"/>
      <c r="BJ33" s="87"/>
      <c r="BK33" s="87"/>
      <c r="BL33" s="87"/>
      <c r="BM33" s="87"/>
      <c r="BN33" s="87"/>
      <c r="BO33" s="87"/>
      <c r="BP33" s="87"/>
      <c r="BQ33" s="87"/>
      <c r="BR33" s="87"/>
      <c r="BS33" s="87"/>
      <c r="BT33" s="87"/>
      <c r="BY33" s="58"/>
      <c r="BZ33" s="58"/>
      <c r="CA33" s="58"/>
      <c r="CB33" s="58"/>
      <c r="CC33" s="58"/>
      <c r="CD33" s="58"/>
      <c r="CE33" s="58"/>
    </row>
    <row r="34" spans="1:83" ht="16.2" customHeight="1" x14ac:dyDescent="0.25">
      <c r="A34" s="87" t="s">
        <v>139</v>
      </c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7"/>
      <c r="AQ34" s="87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87"/>
      <c r="BF34" s="87"/>
      <c r="BG34" s="87"/>
      <c r="BH34" s="87"/>
      <c r="BI34" s="87"/>
      <c r="BJ34" s="87"/>
      <c r="BK34" s="87"/>
      <c r="BL34" s="87"/>
      <c r="BM34" s="87"/>
      <c r="BN34" s="87"/>
      <c r="BO34" s="87"/>
      <c r="BP34" s="87"/>
      <c r="BQ34" s="87"/>
      <c r="BR34" s="87"/>
      <c r="BS34" s="87"/>
      <c r="BT34" s="87"/>
      <c r="BY34" s="58"/>
      <c r="BZ34" s="58"/>
      <c r="CA34" s="58"/>
      <c r="CB34" s="58"/>
      <c r="CC34" s="58"/>
      <c r="CD34" s="58"/>
      <c r="CE34" s="58"/>
    </row>
    <row r="35" spans="1:83" ht="16.2" customHeight="1" x14ac:dyDescent="0.25">
      <c r="A35" s="99" t="s">
        <v>129</v>
      </c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99"/>
      <c r="AY35" s="99"/>
      <c r="AZ35" s="99"/>
      <c r="BA35" s="99"/>
      <c r="BB35" s="99"/>
      <c r="BC35" s="99"/>
      <c r="BD35" s="99"/>
      <c r="BE35" s="99"/>
      <c r="BF35" s="99"/>
      <c r="BG35" s="99"/>
      <c r="BH35" s="99"/>
      <c r="BI35" s="99"/>
      <c r="BJ35" s="99"/>
      <c r="BK35" s="99"/>
      <c r="BL35" s="99"/>
      <c r="BM35" s="99"/>
      <c r="BN35" s="99"/>
      <c r="BO35" s="99"/>
      <c r="BP35" s="99"/>
      <c r="BQ35" s="99"/>
      <c r="BR35" s="99"/>
      <c r="BS35" s="99"/>
      <c r="BT35" s="99"/>
      <c r="BY35" s="58"/>
      <c r="BZ35" s="58"/>
      <c r="CA35" s="58"/>
      <c r="CB35" s="58"/>
      <c r="CC35" s="58"/>
      <c r="CD35" s="58"/>
      <c r="CE35" s="58"/>
    </row>
    <row r="36" spans="1:83" ht="16.2" customHeight="1" x14ac:dyDescent="0.25">
      <c r="A36" s="99" t="s">
        <v>130</v>
      </c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99"/>
      <c r="BA36" s="99"/>
      <c r="BB36" s="99"/>
      <c r="BC36" s="99"/>
      <c r="BD36" s="99"/>
      <c r="BE36" s="99"/>
      <c r="BF36" s="99"/>
      <c r="BG36" s="99"/>
      <c r="BH36" s="99"/>
      <c r="BI36" s="99"/>
      <c r="BJ36" s="99"/>
      <c r="BK36" s="99"/>
      <c r="BL36" s="99"/>
      <c r="BM36" s="99"/>
      <c r="BN36" s="99"/>
      <c r="BO36" s="99"/>
      <c r="BP36" s="99"/>
      <c r="BQ36" s="99"/>
      <c r="BR36" s="99"/>
      <c r="BS36" s="99"/>
      <c r="BT36" s="99"/>
      <c r="BY36" s="58"/>
      <c r="BZ36" s="58"/>
      <c r="CA36" s="58"/>
      <c r="CB36" s="58"/>
      <c r="CC36" s="58"/>
      <c r="CD36" s="58"/>
      <c r="CE36" s="58"/>
    </row>
    <row r="37" spans="1:83" ht="16.2" customHeight="1" x14ac:dyDescent="0.25">
      <c r="A37" s="99" t="s">
        <v>131</v>
      </c>
      <c r="B37" s="99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  <c r="AI37" s="99"/>
      <c r="AJ37" s="99"/>
      <c r="AK37" s="99"/>
      <c r="AL37" s="99"/>
      <c r="AM37" s="99"/>
      <c r="AN37" s="99"/>
      <c r="AO37" s="99"/>
      <c r="AP37" s="99"/>
      <c r="AQ37" s="99"/>
      <c r="AR37" s="99"/>
      <c r="AS37" s="99"/>
      <c r="AT37" s="99"/>
      <c r="AU37" s="99"/>
      <c r="AV37" s="99"/>
      <c r="AW37" s="99"/>
      <c r="AX37" s="99"/>
      <c r="AY37" s="99"/>
      <c r="AZ37" s="99"/>
      <c r="BA37" s="99"/>
      <c r="BB37" s="99"/>
      <c r="BC37" s="99"/>
      <c r="BD37" s="99"/>
      <c r="BE37" s="99"/>
      <c r="BF37" s="99"/>
      <c r="BG37" s="99"/>
      <c r="BH37" s="99"/>
      <c r="BI37" s="99"/>
      <c r="BJ37" s="99"/>
      <c r="BK37" s="99"/>
      <c r="BL37" s="99"/>
      <c r="BM37" s="99"/>
      <c r="BN37" s="99"/>
      <c r="BO37" s="99"/>
      <c r="BP37" s="99"/>
      <c r="BQ37" s="99"/>
      <c r="BR37" s="99"/>
      <c r="BS37" s="99"/>
      <c r="BT37" s="99"/>
      <c r="BY37" s="60"/>
      <c r="BZ37" s="60"/>
      <c r="CA37" s="60"/>
      <c r="CB37" s="60"/>
      <c r="CC37" s="60"/>
      <c r="CD37" s="60"/>
      <c r="CE37" s="60"/>
    </row>
    <row r="38" spans="1:83" ht="16.2" customHeight="1" x14ac:dyDescent="0.25">
      <c r="A38" s="99" t="s">
        <v>132</v>
      </c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99"/>
      <c r="BB38" s="99"/>
      <c r="BC38" s="99"/>
      <c r="BD38" s="99"/>
      <c r="BE38" s="99"/>
      <c r="BF38" s="99"/>
      <c r="BG38" s="99"/>
      <c r="BH38" s="99"/>
      <c r="BI38" s="99"/>
      <c r="BJ38" s="99"/>
      <c r="BK38" s="99"/>
      <c r="BL38" s="99"/>
      <c r="BM38" s="99"/>
      <c r="BN38" s="99"/>
      <c r="BO38" s="99"/>
      <c r="BP38" s="99"/>
      <c r="BQ38" s="99"/>
      <c r="BR38" s="99"/>
      <c r="BS38" s="99"/>
      <c r="BT38" s="99"/>
      <c r="BY38" s="60"/>
      <c r="BZ38" s="60"/>
      <c r="CA38" s="60"/>
      <c r="CB38" s="60"/>
      <c r="CC38" s="60"/>
      <c r="CD38" s="60"/>
      <c r="CE38" s="60"/>
    </row>
    <row r="39" spans="1:83" ht="16.2" customHeight="1" x14ac:dyDescent="0.25">
      <c r="A39" s="99" t="s">
        <v>140</v>
      </c>
      <c r="B39" s="99"/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  <c r="AI39" s="99"/>
      <c r="AJ39" s="99"/>
      <c r="AK39" s="99"/>
      <c r="AL39" s="99"/>
      <c r="AM39" s="99"/>
      <c r="AN39" s="99"/>
      <c r="AO39" s="99"/>
      <c r="AP39" s="99"/>
      <c r="AQ39" s="99"/>
      <c r="AR39" s="99"/>
      <c r="AS39" s="99"/>
      <c r="AT39" s="99"/>
      <c r="AU39" s="99"/>
      <c r="AV39" s="99"/>
      <c r="AW39" s="99"/>
      <c r="AX39" s="99"/>
      <c r="AY39" s="99"/>
      <c r="AZ39" s="99"/>
      <c r="BA39" s="99"/>
      <c r="BB39" s="99"/>
      <c r="BC39" s="99"/>
      <c r="BD39" s="99"/>
      <c r="BE39" s="99"/>
      <c r="BF39" s="99"/>
      <c r="BG39" s="99"/>
      <c r="BH39" s="99"/>
      <c r="BI39" s="99"/>
      <c r="BJ39" s="99"/>
      <c r="BK39" s="99"/>
      <c r="BL39" s="99"/>
      <c r="BM39" s="99"/>
      <c r="BN39" s="99"/>
      <c r="BO39" s="99"/>
      <c r="BP39" s="99"/>
      <c r="BQ39" s="99"/>
      <c r="BR39" s="99"/>
      <c r="BS39" s="99"/>
      <c r="BT39" s="99"/>
      <c r="BY39" s="60"/>
      <c r="BZ39" s="60"/>
      <c r="CA39" s="60"/>
      <c r="CB39" s="60"/>
      <c r="CC39" s="60"/>
      <c r="CD39" s="60"/>
      <c r="CE39" s="60"/>
    </row>
    <row r="40" spans="1:83" x14ac:dyDescent="0.25">
      <c r="A40" s="88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  <c r="AQ40" s="88"/>
      <c r="AR40" s="88"/>
      <c r="AS40" s="88"/>
      <c r="AT40" s="88"/>
      <c r="AU40" s="88"/>
      <c r="AV40" s="88"/>
      <c r="AW40" s="88"/>
      <c r="AX40" s="88"/>
      <c r="AY40" s="88"/>
      <c r="AZ40" s="88"/>
      <c r="BA40" s="88"/>
      <c r="BB40" s="88"/>
      <c r="BC40" s="88"/>
      <c r="BD40" s="88"/>
      <c r="BE40" s="88"/>
      <c r="BF40" s="88"/>
      <c r="BG40" s="88"/>
      <c r="BH40" s="88"/>
      <c r="BI40" s="88"/>
      <c r="BJ40" s="88"/>
      <c r="BK40" s="88"/>
      <c r="BL40" s="88"/>
      <c r="BM40" s="88"/>
      <c r="BN40" s="88"/>
      <c r="BO40" s="88"/>
      <c r="BP40" s="88"/>
      <c r="BQ40" s="88"/>
      <c r="BR40" s="88"/>
      <c r="BS40" s="88"/>
      <c r="BT40" s="88"/>
    </row>
    <row r="41" spans="1:83" ht="13.8" customHeight="1" x14ac:dyDescent="0.25">
      <c r="A41" s="10" t="s">
        <v>18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56"/>
      <c r="S41" s="8"/>
      <c r="T41" s="55"/>
      <c r="U41" s="89" t="s">
        <v>144</v>
      </c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 s="89"/>
      <c r="BH41" s="89"/>
      <c r="BI41" s="89"/>
      <c r="BJ41" s="89"/>
      <c r="BK41" s="89"/>
      <c r="BL41" s="89"/>
      <c r="BM41" s="89"/>
      <c r="BN41" s="89"/>
      <c r="BO41" s="89"/>
      <c r="BP41" s="89"/>
      <c r="BQ41" s="89"/>
      <c r="BR41" s="89"/>
      <c r="BS41" s="89"/>
      <c r="BT41" s="89"/>
      <c r="BY41" s="81" t="s">
        <v>81</v>
      </c>
      <c r="BZ41" s="81"/>
      <c r="CA41" s="81"/>
      <c r="CB41" s="81"/>
      <c r="CC41" s="81"/>
      <c r="CD41" s="81"/>
    </row>
    <row r="42" spans="1:83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0" t="s">
        <v>19</v>
      </c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0"/>
      <c r="AO42" s="90"/>
      <c r="AP42" s="90"/>
      <c r="AQ42" s="90"/>
      <c r="AR42" s="90"/>
      <c r="AS42" s="90"/>
      <c r="AT42" s="90"/>
      <c r="AU42" s="90"/>
      <c r="AV42" s="90"/>
      <c r="AW42" s="90"/>
      <c r="AX42" s="90"/>
      <c r="AY42" s="90"/>
      <c r="AZ42" s="90"/>
      <c r="BA42" s="90"/>
      <c r="BB42" s="90"/>
      <c r="BC42" s="90"/>
      <c r="BD42" s="90"/>
      <c r="BE42" s="90"/>
      <c r="BF42" s="90"/>
      <c r="BG42" s="90"/>
      <c r="BH42" s="90"/>
      <c r="BI42" s="90"/>
      <c r="BJ42" s="90"/>
      <c r="BK42" s="90"/>
      <c r="BL42" s="90"/>
      <c r="BM42" s="90"/>
      <c r="BN42" s="90"/>
      <c r="BO42" s="90"/>
      <c r="BP42" s="90"/>
      <c r="BQ42" s="90"/>
      <c r="BR42" s="90"/>
      <c r="BS42" s="90"/>
      <c r="BT42" s="90"/>
      <c r="BY42" s="81"/>
      <c r="BZ42" s="81"/>
      <c r="CA42" s="81"/>
      <c r="CB42" s="81"/>
      <c r="CC42" s="81"/>
      <c r="CD42" s="81"/>
    </row>
    <row r="43" spans="1:83" x14ac:dyDescent="0.25">
      <c r="A43" s="10" t="s">
        <v>20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21"/>
      <c r="T43" s="21"/>
      <c r="U43" s="91" t="s">
        <v>51</v>
      </c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  <c r="AK43" s="91"/>
      <c r="AL43" s="91"/>
      <c r="AM43" s="91"/>
      <c r="AN43" s="91"/>
      <c r="AO43" s="91"/>
      <c r="AP43" s="91"/>
      <c r="AQ43" s="91"/>
      <c r="AR43" s="91"/>
      <c r="AS43" s="91"/>
      <c r="AT43" s="91"/>
      <c r="AU43" s="91"/>
      <c r="AV43" s="91"/>
      <c r="AW43" s="91"/>
      <c r="AX43" s="91"/>
      <c r="AY43" s="91"/>
      <c r="AZ43" s="91"/>
      <c r="BA43" s="91"/>
      <c r="BB43" s="91"/>
      <c r="BC43" s="91"/>
      <c r="BD43" s="91"/>
      <c r="BE43" s="91"/>
      <c r="BF43" s="91"/>
      <c r="BG43" s="91"/>
      <c r="BH43" s="91"/>
      <c r="BI43" s="91"/>
      <c r="BJ43" s="91"/>
      <c r="BK43" s="91"/>
      <c r="BL43" s="91"/>
      <c r="BM43" s="91"/>
      <c r="BN43" s="91"/>
      <c r="BO43" s="91"/>
      <c r="BP43" s="91"/>
      <c r="BQ43" s="91"/>
      <c r="BR43" s="91"/>
      <c r="BS43" s="91"/>
      <c r="BT43" s="91"/>
      <c r="BY43" s="81"/>
      <c r="BZ43" s="81"/>
      <c r="CA43" s="81"/>
      <c r="CB43" s="81"/>
      <c r="CC43" s="81"/>
      <c r="CD43" s="81"/>
    </row>
    <row r="44" spans="1:83" x14ac:dyDescent="0.25">
      <c r="A44" s="100" t="s">
        <v>21</v>
      </c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  <c r="AL44" s="100"/>
      <c r="AM44" s="100"/>
      <c r="AN44" s="100"/>
      <c r="AO44" s="100"/>
      <c r="AP44" s="100"/>
      <c r="AQ44" s="100"/>
      <c r="AR44" s="100"/>
      <c r="AS44" s="100"/>
      <c r="AT44" s="100"/>
      <c r="AU44" s="100"/>
      <c r="AV44" s="100"/>
      <c r="AW44" s="100"/>
      <c r="AX44" s="100"/>
      <c r="AY44" s="100"/>
      <c r="AZ44" s="100"/>
      <c r="BA44" s="100"/>
      <c r="BB44" s="100"/>
      <c r="BC44" s="100"/>
      <c r="BD44" s="100"/>
      <c r="BE44" s="100"/>
      <c r="BF44" s="100"/>
      <c r="BG44" s="100"/>
      <c r="BH44" s="100"/>
      <c r="BI44" s="100"/>
      <c r="BJ44" s="100"/>
      <c r="BK44" s="100"/>
      <c r="BL44" s="100"/>
      <c r="BM44" s="100"/>
      <c r="BN44" s="100"/>
      <c r="BO44" s="100"/>
      <c r="BP44" s="100"/>
      <c r="BQ44" s="100"/>
      <c r="BR44" s="100"/>
      <c r="BS44" s="100"/>
      <c r="BT44" s="100"/>
    </row>
    <row r="45" spans="1:83" x14ac:dyDescent="0.25">
      <c r="A45" s="8"/>
      <c r="B45" s="8"/>
      <c r="C45" s="8"/>
      <c r="D45" s="8" t="s">
        <v>22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9"/>
      <c r="AG45" s="7"/>
      <c r="AH45" s="7"/>
      <c r="AI45" s="7"/>
      <c r="AJ45" s="7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</row>
    <row r="46" spans="1:83" x14ac:dyDescent="0.25">
      <c r="A46" s="8" t="s">
        <v>23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31"/>
      <c r="AJ46" s="8"/>
      <c r="AK46" s="105" t="s">
        <v>134</v>
      </c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F46" s="105"/>
      <c r="BG46" s="105"/>
      <c r="BH46" s="105"/>
      <c r="BI46" s="105"/>
      <c r="BJ46" s="105"/>
      <c r="BK46" s="105"/>
      <c r="BL46" s="105"/>
      <c r="BM46" s="105"/>
      <c r="BN46" s="105"/>
      <c r="BO46" s="105"/>
      <c r="BP46" s="105"/>
      <c r="BQ46" s="105"/>
      <c r="BR46" s="105"/>
      <c r="BS46" s="105"/>
      <c r="BT46" s="105"/>
      <c r="BY46" s="44" t="s">
        <v>82</v>
      </c>
    </row>
    <row r="47" spans="1:83" x14ac:dyDescent="0.25">
      <c r="A47" s="85" t="s">
        <v>146</v>
      </c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Q47" s="85"/>
      <c r="AR47" s="85"/>
      <c r="AS47" s="85"/>
      <c r="AT47" s="85"/>
      <c r="AU47" s="85"/>
      <c r="AV47" s="85"/>
      <c r="AW47" s="85"/>
      <c r="AX47" s="85"/>
      <c r="AY47" s="85"/>
      <c r="AZ47" s="85"/>
      <c r="BA47" s="85"/>
      <c r="BB47" s="85"/>
      <c r="BC47" s="85"/>
      <c r="BD47" s="85"/>
      <c r="BE47" s="85"/>
      <c r="BF47" s="85"/>
      <c r="BG47" s="85"/>
      <c r="BH47" s="85"/>
      <c r="BI47" s="85"/>
      <c r="BJ47" s="85"/>
      <c r="BK47" s="85"/>
      <c r="BL47" s="85"/>
      <c r="BM47" s="85"/>
      <c r="BN47" s="85"/>
      <c r="BO47" s="85"/>
      <c r="BP47" s="85"/>
      <c r="BQ47" s="85"/>
      <c r="BR47" s="85"/>
      <c r="BS47" s="85"/>
      <c r="BT47" s="85"/>
      <c r="BY47" s="81" t="s">
        <v>83</v>
      </c>
      <c r="BZ47" s="81"/>
      <c r="CA47" s="81"/>
      <c r="CB47" s="81"/>
      <c r="CC47" s="81"/>
      <c r="CD47" s="81"/>
      <c r="CE47" s="81"/>
    </row>
    <row r="48" spans="1:83" x14ac:dyDescent="0.25">
      <c r="A48" s="85" t="s">
        <v>147</v>
      </c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85"/>
      <c r="AO48" s="85"/>
      <c r="AP48" s="85"/>
      <c r="AQ48" s="85"/>
      <c r="AR48" s="85"/>
      <c r="AS48" s="85"/>
      <c r="AT48" s="85"/>
      <c r="AU48" s="85"/>
      <c r="AV48" s="85"/>
      <c r="AW48" s="85"/>
      <c r="AX48" s="85"/>
      <c r="AY48" s="85"/>
      <c r="AZ48" s="85"/>
      <c r="BA48" s="85"/>
      <c r="BB48" s="85"/>
      <c r="BC48" s="85"/>
      <c r="BD48" s="85"/>
      <c r="BE48" s="85"/>
      <c r="BF48" s="85"/>
      <c r="BG48" s="85"/>
      <c r="BH48" s="85"/>
      <c r="BI48" s="85"/>
      <c r="BJ48" s="85"/>
      <c r="BK48" s="85"/>
      <c r="BL48" s="85"/>
      <c r="BM48" s="85"/>
      <c r="BN48" s="85"/>
      <c r="BO48" s="85"/>
      <c r="BP48" s="85"/>
      <c r="BQ48" s="85"/>
      <c r="BR48" s="85"/>
      <c r="BS48" s="85"/>
      <c r="BT48" s="85"/>
      <c r="BY48" s="81"/>
      <c r="BZ48" s="81"/>
      <c r="CA48" s="81"/>
      <c r="CB48" s="81"/>
      <c r="CC48" s="81"/>
      <c r="CD48" s="81"/>
      <c r="CE48" s="81"/>
    </row>
    <row r="49" spans="1:83" x14ac:dyDescent="0.25">
      <c r="A49" s="85" t="s">
        <v>135</v>
      </c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5"/>
      <c r="AQ49" s="85"/>
      <c r="AR49" s="85"/>
      <c r="AS49" s="85"/>
      <c r="AT49" s="85"/>
      <c r="AU49" s="85"/>
      <c r="AV49" s="85"/>
      <c r="AW49" s="85"/>
      <c r="AX49" s="85"/>
      <c r="AY49" s="85"/>
      <c r="AZ49" s="85"/>
      <c r="BA49" s="85"/>
      <c r="BB49" s="85"/>
      <c r="BC49" s="85"/>
      <c r="BD49" s="85"/>
      <c r="BE49" s="85"/>
      <c r="BF49" s="85"/>
      <c r="BG49" s="85"/>
      <c r="BH49" s="85"/>
      <c r="BI49" s="85"/>
      <c r="BJ49" s="85"/>
      <c r="BK49" s="85"/>
      <c r="BL49" s="85"/>
      <c r="BM49" s="85"/>
      <c r="BN49" s="85"/>
      <c r="BO49" s="85"/>
      <c r="BP49" s="85"/>
      <c r="BQ49" s="85"/>
      <c r="BR49" s="85"/>
      <c r="BS49" s="85"/>
      <c r="BT49" s="85"/>
      <c r="BY49" s="81"/>
      <c r="BZ49" s="81"/>
      <c r="CA49" s="81"/>
      <c r="CB49" s="81"/>
      <c r="CC49" s="81"/>
      <c r="CD49" s="81"/>
      <c r="CE49" s="81"/>
    </row>
    <row r="50" spans="1:83" x14ac:dyDescent="0.25">
      <c r="A50" s="85" t="s">
        <v>136</v>
      </c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  <c r="AM50" s="85"/>
      <c r="AN50" s="85"/>
      <c r="AO50" s="85"/>
      <c r="AP50" s="85"/>
      <c r="AQ50" s="85"/>
      <c r="AR50" s="85"/>
      <c r="AS50" s="85"/>
      <c r="AT50" s="85"/>
      <c r="AU50" s="85"/>
      <c r="AV50" s="85"/>
      <c r="AW50" s="85"/>
      <c r="AX50" s="85"/>
      <c r="AY50" s="85"/>
      <c r="AZ50" s="85"/>
      <c r="BA50" s="85"/>
      <c r="BB50" s="85"/>
      <c r="BC50" s="85"/>
      <c r="BD50" s="85"/>
      <c r="BE50" s="85"/>
      <c r="BF50" s="85"/>
      <c r="BG50" s="85"/>
      <c r="BH50" s="85"/>
      <c r="BI50" s="85"/>
      <c r="BJ50" s="85"/>
      <c r="BK50" s="85"/>
      <c r="BL50" s="85"/>
      <c r="BM50" s="85"/>
      <c r="BN50" s="85"/>
      <c r="BO50" s="85"/>
      <c r="BP50" s="85"/>
      <c r="BQ50" s="85"/>
      <c r="BR50" s="85"/>
      <c r="BS50" s="85"/>
      <c r="BT50" s="85"/>
      <c r="BY50" s="81"/>
      <c r="BZ50" s="81"/>
      <c r="CA50" s="81"/>
      <c r="CB50" s="81"/>
      <c r="CC50" s="81"/>
      <c r="CD50" s="81"/>
      <c r="CE50" s="81"/>
    </row>
    <row r="51" spans="1:83" x14ac:dyDescent="0.25">
      <c r="A51" s="85" t="s">
        <v>142</v>
      </c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  <c r="AM51" s="85"/>
      <c r="AN51" s="85"/>
      <c r="AO51" s="85"/>
      <c r="AP51" s="85"/>
      <c r="AQ51" s="85"/>
      <c r="AR51" s="85"/>
      <c r="AS51" s="85"/>
      <c r="AT51" s="85"/>
      <c r="AU51" s="85"/>
      <c r="AV51" s="85"/>
      <c r="AW51" s="85"/>
      <c r="AX51" s="85"/>
      <c r="AY51" s="85"/>
      <c r="AZ51" s="85"/>
      <c r="BA51" s="85"/>
      <c r="BB51" s="85"/>
      <c r="BC51" s="85"/>
      <c r="BD51" s="85"/>
      <c r="BE51" s="85"/>
      <c r="BF51" s="85"/>
      <c r="BG51" s="85"/>
      <c r="BH51" s="85"/>
      <c r="BI51" s="85"/>
      <c r="BJ51" s="85"/>
      <c r="BK51" s="85"/>
      <c r="BL51" s="85"/>
      <c r="BM51" s="85"/>
      <c r="BN51" s="85"/>
      <c r="BO51" s="85"/>
      <c r="BP51" s="85"/>
      <c r="BQ51" s="85"/>
      <c r="BR51" s="85"/>
      <c r="BS51" s="85"/>
      <c r="BT51" s="85"/>
      <c r="BY51" s="81"/>
      <c r="BZ51" s="81"/>
      <c r="CA51" s="81"/>
      <c r="CB51" s="81"/>
      <c r="CC51" s="81"/>
      <c r="CD51" s="81"/>
      <c r="CE51" s="81"/>
    </row>
    <row r="52" spans="1:83" x14ac:dyDescent="0.25">
      <c r="A52" s="66" t="s">
        <v>24</v>
      </c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6"/>
      <c r="BF52" s="66"/>
      <c r="BG52" s="66"/>
      <c r="BH52" s="66"/>
      <c r="BI52" s="66"/>
      <c r="BJ52" s="66"/>
      <c r="BK52" s="66"/>
      <c r="BL52" s="66"/>
      <c r="BM52" s="66"/>
      <c r="BN52" s="66"/>
      <c r="BO52" s="66"/>
      <c r="BP52" s="66"/>
      <c r="BQ52" s="66"/>
      <c r="BR52" s="66"/>
      <c r="BS52" s="66"/>
      <c r="BT52" s="66"/>
      <c r="BY52" s="81"/>
      <c r="BZ52" s="81"/>
      <c r="CA52" s="81"/>
      <c r="CB52" s="81"/>
      <c r="CC52" s="81"/>
      <c r="CD52" s="81"/>
      <c r="CE52" s="81"/>
    </row>
    <row r="53" spans="1:83" x14ac:dyDescent="0.25">
      <c r="A53" s="82" t="s">
        <v>57</v>
      </c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/>
      <c r="AM53" s="82"/>
      <c r="AN53" s="82"/>
      <c r="AO53" s="82"/>
      <c r="AP53" s="82"/>
      <c r="AQ53" s="82"/>
      <c r="AR53" s="82"/>
      <c r="AS53" s="82"/>
      <c r="AT53" s="82"/>
      <c r="AU53" s="82"/>
      <c r="AV53" s="82"/>
      <c r="AW53" s="82"/>
      <c r="AX53" s="82"/>
      <c r="AY53" s="82"/>
      <c r="AZ53" s="82"/>
      <c r="BA53" s="82"/>
      <c r="BB53" s="82"/>
      <c r="BC53" s="82"/>
      <c r="BD53" s="82"/>
      <c r="BE53" s="82"/>
      <c r="BF53" s="82"/>
      <c r="BG53" s="82"/>
      <c r="BH53" s="82"/>
      <c r="BI53" s="82"/>
      <c r="BJ53" s="82"/>
      <c r="BK53" s="82"/>
      <c r="BL53" s="82"/>
      <c r="BM53" s="82"/>
      <c r="BN53" s="82"/>
      <c r="BO53" s="82"/>
      <c r="BP53" s="82"/>
      <c r="BQ53" s="82"/>
      <c r="BR53" s="82"/>
      <c r="BS53" s="82"/>
      <c r="BT53" s="82"/>
      <c r="BY53" s="81"/>
      <c r="BZ53" s="81"/>
      <c r="CA53" s="81"/>
      <c r="CB53" s="81"/>
      <c r="CC53" s="81"/>
      <c r="CD53" s="81"/>
      <c r="CE53" s="81"/>
    </row>
    <row r="54" spans="1:83" x14ac:dyDescent="0.25">
      <c r="A54" s="18" t="s">
        <v>58</v>
      </c>
      <c r="B54" s="19"/>
      <c r="C54" s="19"/>
      <c r="D54" s="83" t="str">
        <f>A32</f>
        <v>Труба PP-R SDR11: Ø20 - 21,4 м, Ø25 - 4,43 м, Ø32 - 28,4 м;</v>
      </c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  <c r="AO54" s="83"/>
      <c r="AP54" s="83"/>
      <c r="AQ54" s="83"/>
      <c r="AR54" s="83"/>
      <c r="AS54" s="83"/>
      <c r="AT54" s="83"/>
      <c r="AU54" s="83"/>
      <c r="AV54" s="83"/>
      <c r="AW54" s="83"/>
      <c r="AX54" s="83"/>
      <c r="AY54" s="83"/>
      <c r="AZ54" s="83"/>
      <c r="BA54" s="83"/>
      <c r="BB54" s="83"/>
      <c r="BC54" s="83"/>
      <c r="BD54" s="83"/>
      <c r="BE54" s="83"/>
      <c r="BF54" s="83"/>
      <c r="BG54" s="83"/>
      <c r="BH54" s="83"/>
      <c r="BI54" s="83"/>
      <c r="BJ54" s="83"/>
      <c r="BK54" s="83"/>
      <c r="BL54" s="83"/>
      <c r="BM54" s="83"/>
      <c r="BN54" s="83"/>
      <c r="BO54" s="83"/>
      <c r="BP54" s="83"/>
      <c r="BQ54" s="83"/>
      <c r="BR54" s="83"/>
      <c r="BS54" s="83"/>
      <c r="BT54" s="83"/>
      <c r="BY54" s="81"/>
      <c r="BZ54" s="81"/>
      <c r="CA54" s="81"/>
      <c r="CB54" s="81"/>
      <c r="CC54" s="81"/>
      <c r="CD54" s="81"/>
      <c r="CE54" s="81"/>
    </row>
    <row r="55" spans="1:83" s="57" customFormat="1" x14ac:dyDescent="0.25">
      <c r="A55" s="109"/>
      <c r="B55" s="109"/>
      <c r="C55" s="109"/>
      <c r="D55" s="83" t="str">
        <f t="shared" ref="D55:D61" si="0">A33</f>
        <v>Капиллярная трубка (шланг однослойный ПВХ) - 7,6 м;</v>
      </c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83"/>
      <c r="AN55" s="83"/>
      <c r="AO55" s="83"/>
      <c r="AP55" s="83"/>
      <c r="AQ55" s="83"/>
      <c r="AR55" s="83"/>
      <c r="AS55" s="83"/>
      <c r="AT55" s="83"/>
      <c r="AU55" s="83"/>
      <c r="AV55" s="83"/>
      <c r="AW55" s="83"/>
      <c r="AX55" s="83"/>
      <c r="AY55" s="83"/>
      <c r="AZ55" s="83"/>
      <c r="BA55" s="83"/>
      <c r="BB55" s="83"/>
      <c r="BC55" s="83"/>
      <c r="BD55" s="83"/>
      <c r="BE55" s="83"/>
      <c r="BF55" s="83"/>
      <c r="BG55" s="83"/>
      <c r="BH55" s="83"/>
      <c r="BI55" s="83"/>
      <c r="BJ55" s="83"/>
      <c r="BK55" s="83"/>
      <c r="BL55" s="83"/>
      <c r="BM55" s="83"/>
      <c r="BN55" s="83"/>
      <c r="BO55" s="83"/>
      <c r="BP55" s="83"/>
      <c r="BQ55" s="83"/>
      <c r="BR55" s="83"/>
      <c r="BS55" s="83"/>
      <c r="BT55" s="83"/>
      <c r="BY55" s="81"/>
      <c r="BZ55" s="81"/>
      <c r="CA55" s="81"/>
      <c r="CB55" s="81"/>
      <c r="CC55" s="81"/>
      <c r="CD55" s="81"/>
      <c r="CE55" s="81"/>
    </row>
    <row r="56" spans="1:83" s="57" customFormat="1" x14ac:dyDescent="0.25">
      <c r="A56" s="109"/>
      <c r="B56" s="109"/>
      <c r="C56" s="109"/>
      <c r="D56" s="83" t="str">
        <f t="shared" si="0"/>
        <v>Труба ПВХ гофрированная - 7,6 м;</v>
      </c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3"/>
      <c r="AP56" s="83"/>
      <c r="AQ56" s="83"/>
      <c r="AR56" s="83"/>
      <c r="AS56" s="83"/>
      <c r="AT56" s="83"/>
      <c r="AU56" s="83"/>
      <c r="AV56" s="83"/>
      <c r="AW56" s="83"/>
      <c r="AX56" s="83"/>
      <c r="AY56" s="83"/>
      <c r="AZ56" s="83"/>
      <c r="BA56" s="83"/>
      <c r="BB56" s="83"/>
      <c r="BC56" s="83"/>
      <c r="BD56" s="83"/>
      <c r="BE56" s="83"/>
      <c r="BF56" s="83"/>
      <c r="BG56" s="83"/>
      <c r="BH56" s="83"/>
      <c r="BI56" s="83"/>
      <c r="BJ56" s="83"/>
      <c r="BK56" s="83"/>
      <c r="BL56" s="83"/>
      <c r="BM56" s="83"/>
      <c r="BN56" s="83"/>
      <c r="BO56" s="83"/>
      <c r="BP56" s="83"/>
      <c r="BQ56" s="83"/>
      <c r="BR56" s="83"/>
      <c r="BS56" s="83"/>
      <c r="BT56" s="83"/>
      <c r="BY56" s="81"/>
      <c r="BZ56" s="81"/>
      <c r="CA56" s="81"/>
      <c r="CB56" s="81"/>
      <c r="CC56" s="81"/>
      <c r="CD56" s="81"/>
      <c r="CE56" s="81"/>
    </row>
    <row r="57" spans="1:83" s="57" customFormat="1" x14ac:dyDescent="0.25">
      <c r="A57" s="109"/>
      <c r="B57" s="109"/>
      <c r="C57" s="109"/>
      <c r="D57" s="83" t="str">
        <f t="shared" si="0"/>
        <v>Отвод 90°: Ø20 - 14 шт., Ø25 - 1 шт., Ø32 - 4 шт.;</v>
      </c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83"/>
      <c r="BG57" s="83"/>
      <c r="BH57" s="83"/>
      <c r="BI57" s="83"/>
      <c r="BJ57" s="83"/>
      <c r="BK57" s="83"/>
      <c r="BL57" s="83"/>
      <c r="BM57" s="83"/>
      <c r="BN57" s="83"/>
      <c r="BO57" s="83"/>
      <c r="BP57" s="83"/>
      <c r="BQ57" s="83"/>
      <c r="BR57" s="83"/>
      <c r="BS57" s="83"/>
      <c r="BT57" s="83"/>
      <c r="BY57" s="81"/>
      <c r="BZ57" s="81"/>
      <c r="CA57" s="81"/>
      <c r="CB57" s="81"/>
      <c r="CC57" s="81"/>
      <c r="CD57" s="81"/>
      <c r="CE57" s="81"/>
    </row>
    <row r="58" spans="1:83" s="57" customFormat="1" x14ac:dyDescent="0.25">
      <c r="A58" s="109"/>
      <c r="B58" s="109"/>
      <c r="C58" s="109"/>
      <c r="D58" s="83" t="str">
        <f t="shared" si="0"/>
        <v>Отвод 45°: Ø20 - 2 шт., Ø32 - 3 шт.;</v>
      </c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  <c r="BM58" s="83"/>
      <c r="BN58" s="83"/>
      <c r="BO58" s="83"/>
      <c r="BP58" s="83"/>
      <c r="BQ58" s="83"/>
      <c r="BR58" s="83"/>
      <c r="BS58" s="83"/>
      <c r="BT58" s="83"/>
      <c r="BY58" s="81"/>
      <c r="BZ58" s="81"/>
      <c r="CA58" s="81"/>
      <c r="CB58" s="81"/>
      <c r="CC58" s="81"/>
      <c r="CD58" s="81"/>
      <c r="CE58" s="81"/>
    </row>
    <row r="59" spans="1:83" s="57" customFormat="1" x14ac:dyDescent="0.25">
      <c r="A59" s="109"/>
      <c r="B59" s="109"/>
      <c r="C59" s="109"/>
      <c r="D59" s="83" t="str">
        <f t="shared" si="0"/>
        <v>Тройник PPR: Ø20/Ø20/Ø20 - 4 шт., Ø25/Ø20/Ø25 - 4 шт., Ø32/Ø20/Ø32 - 6 шт., Ø32/Ø32/Ø32 - 2 шт.;</v>
      </c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83"/>
      <c r="BG59" s="83"/>
      <c r="BH59" s="83"/>
      <c r="BI59" s="83"/>
      <c r="BJ59" s="83"/>
      <c r="BK59" s="83"/>
      <c r="BL59" s="83"/>
      <c r="BM59" s="83"/>
      <c r="BN59" s="83"/>
      <c r="BO59" s="83"/>
      <c r="BP59" s="83"/>
      <c r="BQ59" s="83"/>
      <c r="BR59" s="83"/>
      <c r="BS59" s="83"/>
      <c r="BT59" s="83"/>
      <c r="BY59" s="81"/>
      <c r="BZ59" s="81"/>
      <c r="CA59" s="81"/>
      <c r="CB59" s="81"/>
      <c r="CC59" s="81"/>
      <c r="CD59" s="81"/>
      <c r="CE59" s="81"/>
    </row>
    <row r="60" spans="1:83" s="57" customFormat="1" x14ac:dyDescent="0.25">
      <c r="A60" s="109"/>
      <c r="B60" s="109"/>
      <c r="C60" s="109"/>
      <c r="D60" s="83" t="str">
        <f t="shared" si="0"/>
        <v>Переход PPR : Ø25/Ø20 - 2 шт., Ø32/Ø20 - 1 шт., Ø32/Ø25 -3 шт.;</v>
      </c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83"/>
      <c r="BG60" s="83"/>
      <c r="BH60" s="83"/>
      <c r="BI60" s="83"/>
      <c r="BJ60" s="83"/>
      <c r="BK60" s="83"/>
      <c r="BL60" s="83"/>
      <c r="BM60" s="83"/>
      <c r="BN60" s="83"/>
      <c r="BO60" s="83"/>
      <c r="BP60" s="83"/>
      <c r="BQ60" s="83"/>
      <c r="BR60" s="83"/>
      <c r="BS60" s="83"/>
      <c r="BT60" s="83"/>
      <c r="BY60" s="81"/>
      <c r="BZ60" s="81"/>
      <c r="CA60" s="81"/>
      <c r="CB60" s="81"/>
      <c r="CC60" s="81"/>
      <c r="CD60" s="81"/>
      <c r="CE60" s="81"/>
    </row>
    <row r="61" spans="1:83" s="57" customFormat="1" x14ac:dyDescent="0.25">
      <c r="A61" s="109"/>
      <c r="B61" s="109"/>
      <c r="C61" s="109"/>
      <c r="D61" s="83" t="str">
        <f t="shared" si="0"/>
        <v>Заглушка PPR - 11 шт.</v>
      </c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83"/>
      <c r="BI61" s="83"/>
      <c r="BJ61" s="83"/>
      <c r="BK61" s="83"/>
      <c r="BL61" s="83"/>
      <c r="BM61" s="83"/>
      <c r="BN61" s="83"/>
      <c r="BO61" s="83"/>
      <c r="BP61" s="83"/>
      <c r="BQ61" s="83"/>
      <c r="BR61" s="83"/>
      <c r="BS61" s="83"/>
      <c r="BT61" s="83"/>
      <c r="BY61" s="81"/>
      <c r="BZ61" s="81"/>
      <c r="CA61" s="81"/>
      <c r="CB61" s="81"/>
      <c r="CC61" s="81"/>
      <c r="CD61" s="81"/>
      <c r="CE61" s="81"/>
    </row>
    <row r="62" spans="1:83" x14ac:dyDescent="0.25">
      <c r="A62" s="8"/>
      <c r="B62" s="8"/>
      <c r="C62" s="8"/>
      <c r="D62" s="84" t="s">
        <v>25</v>
      </c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Y62" s="81"/>
      <c r="BZ62" s="81"/>
      <c r="CA62" s="81"/>
      <c r="CB62" s="81"/>
      <c r="CC62" s="81"/>
      <c r="CD62" s="81"/>
      <c r="CE62" s="81"/>
    </row>
    <row r="63" spans="1:83" x14ac:dyDescent="0.25">
      <c r="A63" s="8" t="s">
        <v>26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33"/>
      <c r="Y63" s="114" t="s">
        <v>141</v>
      </c>
      <c r="Z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  <c r="AM63" s="113"/>
      <c r="AN63" s="113"/>
      <c r="AO63" s="113"/>
      <c r="AP63" s="113"/>
      <c r="AQ63" s="113"/>
      <c r="AR63" s="113"/>
      <c r="AS63" s="113"/>
      <c r="AT63" s="113"/>
      <c r="AU63" s="113"/>
      <c r="AV63" s="113"/>
      <c r="AW63" s="113"/>
      <c r="AX63" s="113"/>
      <c r="AY63" s="113"/>
      <c r="AZ63" s="113"/>
      <c r="BA63" s="113"/>
      <c r="BB63" s="113"/>
      <c r="BC63" s="113"/>
      <c r="BD63" s="113"/>
      <c r="BE63" s="113"/>
      <c r="BF63" s="113"/>
      <c r="BG63" s="113"/>
      <c r="BH63" s="113"/>
      <c r="BI63" s="113"/>
      <c r="BJ63" s="113"/>
      <c r="BK63" s="113"/>
      <c r="BL63" s="113"/>
      <c r="BM63" s="113"/>
      <c r="BN63" s="113"/>
      <c r="BO63" s="113"/>
      <c r="BP63" s="113"/>
      <c r="BQ63" s="113"/>
      <c r="BR63" s="113"/>
      <c r="BS63" s="113"/>
      <c r="BT63" s="113"/>
      <c r="BY63" s="81"/>
      <c r="BZ63" s="81"/>
      <c r="CA63" s="81"/>
      <c r="CB63" s="81"/>
      <c r="CC63" s="81"/>
      <c r="CD63" s="81"/>
      <c r="CE63" s="81"/>
    </row>
    <row r="64" spans="1:83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20"/>
      <c r="Y64" s="66" t="s">
        <v>27</v>
      </c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6"/>
      <c r="BE64" s="66"/>
      <c r="BF64" s="66"/>
      <c r="BG64" s="66"/>
      <c r="BH64" s="66"/>
      <c r="BI64" s="66"/>
      <c r="BJ64" s="66"/>
      <c r="BK64" s="66"/>
      <c r="BL64" s="66"/>
      <c r="BM64" s="66"/>
      <c r="BN64" s="66"/>
      <c r="BO64" s="66"/>
      <c r="BP64" s="66"/>
      <c r="BQ64" s="66"/>
      <c r="BR64" s="66"/>
      <c r="BS64" s="66"/>
      <c r="BT64" s="66"/>
      <c r="BY64" s="81"/>
      <c r="BZ64" s="81"/>
      <c r="CA64" s="81"/>
      <c r="CB64" s="81"/>
      <c r="CC64" s="81"/>
      <c r="CD64" s="81"/>
      <c r="CE64" s="81"/>
    </row>
    <row r="65" spans="1:83" x14ac:dyDescent="0.25">
      <c r="A65" s="8" t="s">
        <v>28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7"/>
      <c r="AG65" s="7"/>
      <c r="AH65" s="7"/>
      <c r="AI65" s="7"/>
      <c r="AJ65" s="67" t="s">
        <v>29</v>
      </c>
      <c r="AK65" s="67"/>
      <c r="AL65" s="67"/>
      <c r="AM65" s="67"/>
      <c r="AN65" s="67"/>
      <c r="AO65" s="67"/>
      <c r="AP65" s="67"/>
      <c r="AQ65" s="67"/>
      <c r="AR65" s="67"/>
      <c r="AS65" s="67"/>
      <c r="AT65" s="68" t="s">
        <v>72</v>
      </c>
      <c r="AU65" s="68"/>
      <c r="AV65" s="68"/>
      <c r="AW65" s="68"/>
      <c r="AX65" s="68"/>
      <c r="AY65" s="68"/>
      <c r="AZ65" s="68"/>
      <c r="BA65" s="68"/>
      <c r="BB65" s="68"/>
      <c r="BC65" s="68"/>
      <c r="BD65" s="68"/>
      <c r="BE65" s="68"/>
      <c r="BF65" s="68"/>
      <c r="BG65" s="68"/>
      <c r="BH65" s="68"/>
      <c r="BI65" s="68"/>
      <c r="BJ65" s="68"/>
      <c r="BK65" s="68"/>
      <c r="BL65" s="68"/>
      <c r="BM65" s="68"/>
      <c r="BN65" s="68"/>
      <c r="BO65" s="68"/>
      <c r="BP65" s="68"/>
      <c r="BQ65" s="68"/>
      <c r="BR65" s="68"/>
      <c r="BS65" s="68"/>
      <c r="BT65" s="68"/>
      <c r="BY65" s="81"/>
      <c r="BZ65" s="81"/>
      <c r="CA65" s="81"/>
      <c r="CB65" s="81"/>
      <c r="CC65" s="81"/>
      <c r="CD65" s="81"/>
      <c r="CE65" s="81"/>
    </row>
    <row r="66" spans="1:83" ht="13.8" customHeight="1" x14ac:dyDescent="0.25">
      <c r="A66" s="10" t="s">
        <v>30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55"/>
      <c r="O66" s="55"/>
      <c r="P66" s="55"/>
      <c r="Q66" s="69" t="str">
        <f>U41</f>
        <v>ПП2020РД-1.2-61.17-ОВ3.СО изм.2, л. 2-3</v>
      </c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69"/>
      <c r="BM66" s="69"/>
      <c r="BN66" s="69"/>
      <c r="BO66" s="69"/>
      <c r="BP66" s="69"/>
      <c r="BQ66" s="69"/>
      <c r="BR66" s="69"/>
      <c r="BS66" s="69"/>
      <c r="BT66" s="69"/>
      <c r="BU66" s="57"/>
      <c r="BY66" s="81"/>
      <c r="BZ66" s="81"/>
      <c r="CA66" s="81"/>
      <c r="CB66" s="81"/>
      <c r="CC66" s="81"/>
      <c r="CD66" s="81"/>
      <c r="CE66" s="81"/>
    </row>
    <row r="67" spans="1:83" x14ac:dyDescent="0.25">
      <c r="A67" s="8"/>
      <c r="B67" s="8"/>
      <c r="C67" s="8"/>
      <c r="D67" s="10" t="s">
        <v>31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1"/>
      <c r="X67" s="8"/>
      <c r="Y67" s="32"/>
      <c r="Z67" s="32"/>
      <c r="AA67" s="70" t="str">
        <f>AK46</f>
        <v>Технический паспорт изделия № ПС-42982 от 29.11.2023 г.;</v>
      </c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70"/>
      <c r="BD67" s="70"/>
      <c r="BE67" s="70"/>
      <c r="BF67" s="70"/>
      <c r="BG67" s="70"/>
      <c r="BH67" s="70"/>
      <c r="BI67" s="70"/>
      <c r="BJ67" s="70"/>
      <c r="BK67" s="70"/>
      <c r="BL67" s="70"/>
      <c r="BM67" s="70"/>
      <c r="BN67" s="70"/>
      <c r="BO67" s="70"/>
      <c r="BP67" s="70"/>
      <c r="BQ67" s="70"/>
      <c r="BR67" s="70"/>
      <c r="BS67" s="70"/>
      <c r="BT67" s="70"/>
      <c r="BY67" s="81"/>
      <c r="BZ67" s="81"/>
      <c r="CA67" s="81"/>
      <c r="CB67" s="81"/>
      <c r="CC67" s="81"/>
      <c r="CD67" s="81"/>
      <c r="CE67" s="81"/>
    </row>
    <row r="68" spans="1:83" x14ac:dyDescent="0.25">
      <c r="A68" s="71" t="str">
        <f>A47</f>
        <v>Сертификат соответствия № РОСС RU.HA39.H00401/22 с 08.09.2022 г. по 07.09.2025 г.;Паспорт качества б/н от 19.12.2023</v>
      </c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71"/>
      <c r="AK68" s="71"/>
      <c r="AL68" s="71"/>
      <c r="AM68" s="71"/>
      <c r="AN68" s="71"/>
      <c r="AO68" s="71"/>
      <c r="AP68" s="71"/>
      <c r="AQ68" s="71"/>
      <c r="AR68" s="71"/>
      <c r="AS68" s="71"/>
      <c r="AT68" s="71"/>
      <c r="AU68" s="71"/>
      <c r="AV68" s="71"/>
      <c r="AW68" s="71"/>
      <c r="AX68" s="71"/>
      <c r="AY68" s="71"/>
      <c r="AZ68" s="71"/>
      <c r="BA68" s="71"/>
      <c r="BB68" s="71"/>
      <c r="BC68" s="71"/>
      <c r="BD68" s="71"/>
      <c r="BE68" s="71"/>
      <c r="BF68" s="71"/>
      <c r="BG68" s="71"/>
      <c r="BH68" s="71"/>
      <c r="BI68" s="71"/>
      <c r="BJ68" s="71"/>
      <c r="BK68" s="71"/>
      <c r="BL68" s="71"/>
      <c r="BM68" s="71"/>
      <c r="BN68" s="71"/>
      <c r="BO68" s="71"/>
      <c r="BP68" s="71"/>
      <c r="BQ68" s="71"/>
      <c r="BR68" s="71"/>
      <c r="BS68" s="71"/>
      <c r="BT68" s="71"/>
    </row>
    <row r="69" spans="1:83" x14ac:dyDescent="0.25">
      <c r="A69" s="71" t="str">
        <f>A48</f>
        <v>Сертификат соответствия № РОСС RU.АЖ49.Н01493 с 08.06.2021 г. по 07.06.2024 г.;Паспорт качества № 91916 от 29.09.202</v>
      </c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  <c r="AK69" s="71"/>
      <c r="AL69" s="71"/>
      <c r="AM69" s="71"/>
      <c r="AN69" s="71"/>
      <c r="AO69" s="71"/>
      <c r="AP69" s="71"/>
      <c r="AQ69" s="71"/>
      <c r="AR69" s="71"/>
      <c r="AS69" s="71"/>
      <c r="AT69" s="71"/>
      <c r="AU69" s="71"/>
      <c r="AV69" s="71"/>
      <c r="AW69" s="71"/>
      <c r="AX69" s="71"/>
      <c r="AY69" s="71"/>
      <c r="AZ69" s="71"/>
      <c r="BA69" s="71"/>
      <c r="BB69" s="71"/>
      <c r="BC69" s="71"/>
      <c r="BD69" s="71"/>
      <c r="BE69" s="71"/>
      <c r="BF69" s="71"/>
      <c r="BG69" s="71"/>
      <c r="BH69" s="71"/>
      <c r="BI69" s="71"/>
      <c r="BJ69" s="71"/>
      <c r="BK69" s="71"/>
      <c r="BL69" s="71"/>
      <c r="BM69" s="71"/>
      <c r="BN69" s="71"/>
      <c r="BO69" s="71"/>
      <c r="BP69" s="71"/>
      <c r="BQ69" s="71"/>
      <c r="BR69" s="71"/>
      <c r="BS69" s="71"/>
      <c r="BT69" s="71"/>
    </row>
    <row r="70" spans="1:83" x14ac:dyDescent="0.25">
      <c r="A70" s="71" t="str">
        <f>A49</f>
        <v>Сертификат соответствия № ЕАЭС RU C-RU.ПБ68.В.00559/21 с 04.10.2021 г. по 15.03.2026 г.;</v>
      </c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71"/>
      <c r="AJ70" s="71"/>
      <c r="AK70" s="71"/>
      <c r="AL70" s="71"/>
      <c r="AM70" s="71"/>
      <c r="AN70" s="71"/>
      <c r="AO70" s="71"/>
      <c r="AP70" s="71"/>
      <c r="AQ70" s="71"/>
      <c r="AR70" s="71"/>
      <c r="AS70" s="71"/>
      <c r="AT70" s="71"/>
      <c r="AU70" s="71"/>
      <c r="AV70" s="71"/>
      <c r="AW70" s="71"/>
      <c r="AX70" s="71"/>
      <c r="AY70" s="71"/>
      <c r="AZ70" s="71"/>
      <c r="BA70" s="71"/>
      <c r="BB70" s="71"/>
      <c r="BC70" s="71"/>
      <c r="BD70" s="71"/>
      <c r="BE70" s="71"/>
      <c r="BF70" s="71"/>
      <c r="BG70" s="71"/>
      <c r="BH70" s="71"/>
      <c r="BI70" s="71"/>
      <c r="BJ70" s="71"/>
      <c r="BK70" s="71"/>
      <c r="BL70" s="71"/>
      <c r="BM70" s="71"/>
      <c r="BN70" s="71"/>
      <c r="BO70" s="71"/>
      <c r="BP70" s="71"/>
      <c r="BQ70" s="71"/>
      <c r="BR70" s="71"/>
      <c r="BS70" s="71"/>
      <c r="BT70" s="71"/>
    </row>
    <row r="71" spans="1:83" x14ac:dyDescent="0.25">
      <c r="A71" s="71" t="str">
        <f>A50</f>
        <v>Паспорт,техническое описание и инструкция по эксплуатации б/н от 26.10.2023 г.;</v>
      </c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1"/>
      <c r="AL71" s="71"/>
      <c r="AM71" s="71"/>
      <c r="AN71" s="71"/>
      <c r="AO71" s="71"/>
      <c r="AP71" s="71"/>
      <c r="AQ71" s="71"/>
      <c r="AR71" s="71"/>
      <c r="AS71" s="71"/>
      <c r="AT71" s="71"/>
      <c r="AU71" s="71"/>
      <c r="AV71" s="71"/>
      <c r="AW71" s="71"/>
      <c r="AX71" s="71"/>
      <c r="AY71" s="71"/>
      <c r="AZ71" s="71"/>
      <c r="BA71" s="71"/>
      <c r="BB71" s="71"/>
      <c r="BC71" s="71"/>
      <c r="BD71" s="71"/>
      <c r="BE71" s="71"/>
      <c r="BF71" s="71"/>
      <c r="BG71" s="71"/>
      <c r="BH71" s="71"/>
      <c r="BI71" s="71"/>
      <c r="BJ71" s="71"/>
      <c r="BK71" s="71"/>
      <c r="BL71" s="71"/>
      <c r="BM71" s="71"/>
      <c r="BN71" s="71"/>
      <c r="BO71" s="71"/>
      <c r="BP71" s="71"/>
      <c r="BQ71" s="71"/>
      <c r="BR71" s="71"/>
      <c r="BS71" s="71"/>
      <c r="BT71" s="71"/>
    </row>
    <row r="72" spans="1:83" x14ac:dyDescent="0.25">
      <c r="A72" s="71" t="str">
        <f>A51</f>
        <v>Декларация о соответствии № РОСС RU Д-RU.РА01.В.13131/23 с 13.04.2023 г. по 12.04.2026 г.</v>
      </c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1"/>
      <c r="AL72" s="71"/>
      <c r="AM72" s="71"/>
      <c r="AN72" s="71"/>
      <c r="AO72" s="71"/>
      <c r="AP72" s="71"/>
      <c r="AQ72" s="71"/>
      <c r="AR72" s="71"/>
      <c r="AS72" s="71"/>
      <c r="AT72" s="71"/>
      <c r="AU72" s="71"/>
      <c r="AV72" s="71"/>
      <c r="AW72" s="71"/>
      <c r="AX72" s="71"/>
      <c r="AY72" s="71"/>
      <c r="AZ72" s="71"/>
      <c r="BA72" s="71"/>
      <c r="BB72" s="71"/>
      <c r="BC72" s="71"/>
      <c r="BD72" s="71"/>
      <c r="BE72" s="71"/>
      <c r="BF72" s="71"/>
      <c r="BG72" s="71"/>
      <c r="BH72" s="71"/>
      <c r="BI72" s="71"/>
      <c r="BJ72" s="71"/>
      <c r="BK72" s="71"/>
      <c r="BL72" s="71"/>
      <c r="BM72" s="71"/>
      <c r="BN72" s="71"/>
      <c r="BO72" s="71"/>
      <c r="BP72" s="71"/>
      <c r="BQ72" s="71"/>
      <c r="BR72" s="71"/>
      <c r="BS72" s="71"/>
      <c r="BT72" s="71"/>
    </row>
    <row r="73" spans="1:83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72" t="s">
        <v>133</v>
      </c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72"/>
      <c r="AS73" s="72"/>
      <c r="AT73" s="72"/>
      <c r="AU73" s="72"/>
      <c r="AV73" s="72"/>
      <c r="AW73" s="72"/>
      <c r="AX73" s="72"/>
      <c r="AY73" s="72"/>
      <c r="AZ73" s="72"/>
      <c r="BA73" s="72"/>
      <c r="BB73" s="72"/>
      <c r="BC73" s="72"/>
      <c r="BD73" s="72"/>
      <c r="BE73" s="72"/>
      <c r="BF73" s="72"/>
      <c r="BG73" s="72"/>
      <c r="BH73" s="72"/>
      <c r="BI73" s="72"/>
      <c r="BJ73" s="72"/>
      <c r="BK73" s="72"/>
      <c r="BL73" s="72"/>
      <c r="BM73" s="72"/>
      <c r="BN73" s="72"/>
      <c r="BO73" s="72"/>
      <c r="BP73" s="72"/>
      <c r="BQ73" s="72"/>
      <c r="BR73" s="72"/>
      <c r="BS73" s="72"/>
      <c r="BT73" s="72"/>
      <c r="BY73" t="s">
        <v>84</v>
      </c>
    </row>
    <row r="74" spans="1:83" x14ac:dyDescent="0.25">
      <c r="A74" s="8" t="s">
        <v>33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23"/>
      <c r="BY74" t="s">
        <v>85</v>
      </c>
    </row>
    <row r="75" spans="1:83" x14ac:dyDescent="0.25">
      <c r="A75" s="34"/>
      <c r="B75" s="8"/>
      <c r="C75" s="8"/>
      <c r="D75" s="8" t="s">
        <v>34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7"/>
      <c r="X75" s="7"/>
      <c r="Y75" s="7"/>
      <c r="Z75" s="7"/>
      <c r="AA75" s="34"/>
      <c r="AB75" s="7"/>
      <c r="AC75" s="34"/>
      <c r="AD75" s="73" t="s">
        <v>35</v>
      </c>
      <c r="AE75" s="73"/>
      <c r="AF75" s="73"/>
      <c r="AG75" s="73"/>
      <c r="AH75" s="73"/>
      <c r="AI75" s="73"/>
      <c r="AJ75" s="73"/>
      <c r="AK75" s="73"/>
      <c r="AL75" s="73"/>
      <c r="AM75" s="73"/>
      <c r="AN75" s="73"/>
      <c r="AO75" s="73"/>
      <c r="AP75" s="73"/>
      <c r="AQ75" s="73"/>
      <c r="AR75" s="73"/>
      <c r="AS75" s="73"/>
      <c r="AT75" s="73"/>
      <c r="AU75" s="73"/>
      <c r="AV75" s="73"/>
      <c r="AW75" s="73"/>
      <c r="AX75" s="73"/>
      <c r="AY75" s="73"/>
      <c r="AZ75" s="73"/>
      <c r="BA75" s="73"/>
      <c r="BB75" s="73"/>
      <c r="BC75" s="73"/>
      <c r="BD75" s="73"/>
      <c r="BE75" s="73"/>
      <c r="BF75" s="73"/>
      <c r="BG75" s="73"/>
      <c r="BH75" s="73"/>
      <c r="BI75" s="73"/>
      <c r="BJ75" s="73"/>
      <c r="BK75" s="73"/>
      <c r="BL75" s="73"/>
      <c r="BM75" s="73"/>
      <c r="BN75" s="73"/>
      <c r="BO75" s="73"/>
      <c r="BP75" s="73"/>
      <c r="BQ75" s="73"/>
      <c r="BR75" s="73"/>
      <c r="BS75" s="73"/>
      <c r="BT75" s="73"/>
    </row>
    <row r="76" spans="1:83" ht="13.8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74" t="s">
        <v>36</v>
      </c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74"/>
      <c r="AK76" s="74"/>
      <c r="AL76" s="74"/>
      <c r="AM76" s="74"/>
      <c r="AN76" s="74"/>
      <c r="AO76" s="74"/>
      <c r="AP76" s="74"/>
      <c r="AQ76" s="74"/>
      <c r="AR76" s="74"/>
      <c r="AS76" s="74"/>
      <c r="AT76" s="74"/>
      <c r="AU76" s="74"/>
      <c r="AV76" s="74"/>
      <c r="AW76" s="74"/>
      <c r="AX76" s="74"/>
      <c r="AY76" s="74"/>
      <c r="AZ76" s="74"/>
      <c r="BA76" s="74"/>
      <c r="BB76" s="74"/>
      <c r="BC76" s="74"/>
      <c r="BD76" s="74"/>
      <c r="BE76" s="74"/>
      <c r="BF76" s="74"/>
      <c r="BG76" s="74"/>
      <c r="BH76" s="74"/>
      <c r="BI76" s="74"/>
      <c r="BJ76" s="74"/>
      <c r="BK76" s="74"/>
      <c r="BL76" s="74"/>
      <c r="BM76" s="74"/>
      <c r="BN76" s="74"/>
      <c r="BO76" s="74"/>
      <c r="BP76" s="74"/>
      <c r="BQ76" s="74"/>
      <c r="BR76" s="74"/>
      <c r="BS76" s="74"/>
      <c r="BT76" s="74"/>
    </row>
    <row r="77" spans="1:83" ht="13.8" customHeight="1" x14ac:dyDescent="0.25">
      <c r="A77" s="10" t="s">
        <v>37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9"/>
      <c r="V77" s="28"/>
      <c r="W77" s="35"/>
      <c r="X77" s="29"/>
      <c r="Y77" s="75" t="str">
        <f>U41</f>
        <v>ПП2020РД-1.2-61.17-ОВ3.СО изм.2, л. 2-3</v>
      </c>
      <c r="Z77" s="75"/>
      <c r="AA77" s="75"/>
      <c r="AB77" s="75"/>
      <c r="AC77" s="75"/>
      <c r="AD77" s="75"/>
      <c r="AE77" s="75"/>
      <c r="AF77" s="75"/>
      <c r="AG77" s="75"/>
      <c r="AH77" s="75"/>
      <c r="AI77" s="75"/>
      <c r="AJ77" s="75"/>
      <c r="AK77" s="75"/>
      <c r="AL77" s="75"/>
      <c r="AM77" s="75"/>
      <c r="AN77" s="75"/>
      <c r="AO77" s="75"/>
      <c r="AP77" s="75"/>
      <c r="AQ77" s="75"/>
      <c r="AR77" s="75"/>
      <c r="AS77" s="75"/>
      <c r="AT77" s="75"/>
      <c r="AU77" s="75"/>
      <c r="AV77" s="75"/>
      <c r="AW77" s="75"/>
      <c r="AX77" s="75"/>
      <c r="AY77" s="75"/>
      <c r="AZ77" s="75"/>
      <c r="BA77" s="75"/>
      <c r="BB77" s="75"/>
      <c r="BC77" s="75"/>
      <c r="BD77" s="75"/>
      <c r="BE77" s="75"/>
      <c r="BF77" s="75"/>
      <c r="BG77" s="75"/>
      <c r="BH77" s="75"/>
      <c r="BI77" s="75"/>
      <c r="BJ77" s="75"/>
      <c r="BK77" s="75"/>
      <c r="BL77" s="75"/>
      <c r="BM77" s="75"/>
      <c r="BN77" s="75"/>
      <c r="BO77" s="75"/>
      <c r="BP77" s="75"/>
      <c r="BQ77" s="75"/>
      <c r="BR77" s="75"/>
      <c r="BS77" s="75"/>
      <c r="BT77" s="75"/>
    </row>
    <row r="78" spans="1:83" x14ac:dyDescent="0.25">
      <c r="A78" s="8" t="s">
        <v>38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34"/>
      <c r="M78" s="24"/>
      <c r="N78" s="110" t="s">
        <v>137</v>
      </c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 s="110"/>
      <c r="AJ78" s="110"/>
      <c r="AK78" s="110"/>
      <c r="AL78" s="110"/>
      <c r="AM78" s="110"/>
      <c r="AN78" s="110"/>
      <c r="AO78" s="110"/>
      <c r="AP78" s="110"/>
      <c r="AQ78" s="110"/>
      <c r="AR78" s="110"/>
      <c r="AS78" s="110"/>
      <c r="AT78" s="110"/>
      <c r="AU78" s="110"/>
      <c r="AV78" s="110"/>
      <c r="AW78" s="110"/>
      <c r="AX78" s="110"/>
      <c r="AY78" s="110"/>
      <c r="AZ78" s="110"/>
      <c r="BA78" s="110"/>
      <c r="BB78" s="110"/>
      <c r="BC78" s="110"/>
      <c r="BD78" s="110"/>
      <c r="BE78" s="110"/>
      <c r="BF78" s="110"/>
      <c r="BG78" s="110"/>
      <c r="BH78" s="110"/>
      <c r="BI78" s="110"/>
      <c r="BJ78" s="110"/>
      <c r="BK78" s="110"/>
      <c r="BL78" s="110"/>
      <c r="BM78" s="110"/>
      <c r="BN78" s="110"/>
      <c r="BO78" s="110"/>
      <c r="BP78" s="110"/>
      <c r="BQ78" s="110"/>
      <c r="BR78" s="110"/>
      <c r="BS78" s="110"/>
      <c r="BT78" s="110"/>
    </row>
    <row r="79" spans="1:83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61"/>
      <c r="M79" s="24"/>
      <c r="N79" s="108" t="s">
        <v>143</v>
      </c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108"/>
      <c r="AB79" s="108"/>
      <c r="AC79" s="108"/>
      <c r="AD79" s="108"/>
      <c r="AE79" s="108"/>
      <c r="AF79" s="108"/>
      <c r="AG79" s="108"/>
      <c r="AH79" s="108"/>
      <c r="AI79" s="108"/>
      <c r="AJ79" s="108"/>
      <c r="AK79" s="108"/>
      <c r="AL79" s="108"/>
      <c r="AM79" s="108"/>
      <c r="AN79" s="108"/>
      <c r="AO79" s="108"/>
      <c r="AP79" s="108"/>
      <c r="AQ79" s="108"/>
      <c r="AR79" s="108"/>
      <c r="AS79" s="108"/>
      <c r="AT79" s="108"/>
      <c r="AU79" s="108"/>
      <c r="AV79" s="108"/>
      <c r="AW79" s="108"/>
      <c r="AX79" s="108"/>
      <c r="AY79" s="108"/>
      <c r="AZ79" s="108"/>
      <c r="BA79" s="108"/>
      <c r="BB79" s="108"/>
      <c r="BC79" s="108"/>
      <c r="BD79" s="108"/>
      <c r="BE79" s="108"/>
      <c r="BF79" s="108"/>
      <c r="BG79" s="108"/>
      <c r="BH79" s="108"/>
      <c r="BI79" s="108"/>
      <c r="BJ79" s="108"/>
      <c r="BK79" s="108"/>
      <c r="BL79" s="108"/>
      <c r="BM79" s="108"/>
      <c r="BN79" s="108"/>
      <c r="BO79" s="108"/>
      <c r="BP79" s="108"/>
      <c r="BQ79" s="108"/>
      <c r="BR79" s="108"/>
      <c r="BS79" s="108"/>
      <c r="BT79" s="108"/>
    </row>
    <row r="80" spans="1:83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</row>
    <row r="81" spans="1:77" x14ac:dyDescent="0.25">
      <c r="A81" s="8" t="s">
        <v>39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12"/>
    </row>
    <row r="82" spans="1:77" x14ac:dyDescent="0.25">
      <c r="A82" s="8" t="s">
        <v>12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63" t="str">
        <f>BJ24</f>
        <v>Кострова Н.Л.</v>
      </c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8"/>
      <c r="AP82" s="8"/>
      <c r="AQ82" s="64"/>
      <c r="AR82" s="64"/>
      <c r="AS82" s="64"/>
      <c r="AT82" s="64"/>
      <c r="AU82" s="64"/>
      <c r="AV82" s="64"/>
      <c r="AW82" s="64"/>
      <c r="AX82" s="64"/>
      <c r="AY82" s="64"/>
      <c r="AZ82" s="64"/>
      <c r="BA82" s="64"/>
      <c r="BB82" s="64"/>
      <c r="BC82" s="64"/>
      <c r="BD82" s="64"/>
      <c r="BE82" s="64"/>
      <c r="BF82" s="8"/>
      <c r="BG82" s="8"/>
      <c r="BH82" s="65">
        <f>AE22</f>
        <v>45285</v>
      </c>
      <c r="BI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12"/>
    </row>
    <row r="83" spans="1:77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66" t="s">
        <v>59</v>
      </c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30"/>
      <c r="AP83" s="30"/>
      <c r="AQ83" s="66" t="s">
        <v>40</v>
      </c>
      <c r="AR83" s="66"/>
      <c r="AS83" s="66"/>
      <c r="AT83" s="66"/>
      <c r="AU83" s="66"/>
      <c r="AV83" s="66"/>
      <c r="AW83" s="66"/>
      <c r="AX83" s="66"/>
      <c r="AY83" s="66"/>
      <c r="AZ83" s="66"/>
      <c r="BA83" s="66"/>
      <c r="BB83" s="66"/>
      <c r="BC83" s="66"/>
      <c r="BD83" s="66"/>
      <c r="BE83" s="66"/>
      <c r="BF83" s="30"/>
      <c r="BG83" s="30"/>
      <c r="BH83" s="66" t="s">
        <v>41</v>
      </c>
      <c r="BI83" s="66"/>
      <c r="BJ83" s="66"/>
      <c r="BK83" s="66"/>
      <c r="BL83" s="66"/>
      <c r="BM83" s="66"/>
      <c r="BN83" s="66"/>
      <c r="BO83" s="66"/>
      <c r="BP83" s="66"/>
      <c r="BQ83" s="66"/>
      <c r="BR83" s="66"/>
      <c r="BS83" s="66"/>
      <c r="BT83" s="26"/>
    </row>
    <row r="84" spans="1:77" x14ac:dyDescent="0.25">
      <c r="A84" s="8" t="s">
        <v>42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12"/>
    </row>
    <row r="85" spans="1:77" x14ac:dyDescent="0.25">
      <c r="A85" s="8" t="s">
        <v>43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63" t="str">
        <f>BJ26</f>
        <v>Халыгов Э. А.</v>
      </c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8"/>
      <c r="AP85" s="8"/>
      <c r="AQ85" s="64"/>
      <c r="AR85" s="64"/>
      <c r="AS85" s="64"/>
      <c r="AT85" s="64"/>
      <c r="AU85" s="64"/>
      <c r="AV85" s="64"/>
      <c r="AW85" s="64"/>
      <c r="AX85" s="64"/>
      <c r="AY85" s="64"/>
      <c r="AZ85" s="64"/>
      <c r="BA85" s="64"/>
      <c r="BB85" s="64"/>
      <c r="BC85" s="64"/>
      <c r="BD85" s="64"/>
      <c r="BE85" s="64"/>
      <c r="BF85" s="8"/>
      <c r="BG85" s="8"/>
      <c r="BH85" s="65">
        <f>BH82</f>
        <v>45285</v>
      </c>
      <c r="BI85" s="65"/>
      <c r="BJ85" s="65"/>
      <c r="BK85" s="65"/>
      <c r="BL85" s="65"/>
      <c r="BM85" s="65"/>
      <c r="BN85" s="65"/>
      <c r="BO85" s="65"/>
      <c r="BP85" s="65"/>
      <c r="BQ85" s="65"/>
      <c r="BR85" s="65"/>
      <c r="BS85" s="65"/>
      <c r="BT85" s="12"/>
      <c r="BY85" t="s">
        <v>86</v>
      </c>
    </row>
    <row r="86" spans="1:77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66" t="s">
        <v>59</v>
      </c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30"/>
      <c r="AP86" s="30"/>
      <c r="AQ86" s="66" t="s">
        <v>40</v>
      </c>
      <c r="AR86" s="66"/>
      <c r="AS86" s="66"/>
      <c r="AT86" s="66"/>
      <c r="AU86" s="66"/>
      <c r="AV86" s="66"/>
      <c r="AW86" s="66"/>
      <c r="AX86" s="66"/>
      <c r="AY86" s="66"/>
      <c r="AZ86" s="66"/>
      <c r="BA86" s="66"/>
      <c r="BB86" s="66"/>
      <c r="BC86" s="66"/>
      <c r="BD86" s="66"/>
      <c r="BE86" s="66"/>
      <c r="BF86" s="30"/>
      <c r="BG86" s="30"/>
      <c r="BH86" s="66" t="s">
        <v>41</v>
      </c>
      <c r="BI86" s="66"/>
      <c r="BJ86" s="66"/>
      <c r="BK86" s="66"/>
      <c r="BL86" s="66"/>
      <c r="BM86" s="66"/>
      <c r="BN86" s="66"/>
      <c r="BO86" s="66"/>
      <c r="BP86" s="66"/>
      <c r="BQ86" s="66"/>
      <c r="BR86" s="66"/>
      <c r="BS86" s="66"/>
      <c r="BT86" s="12"/>
    </row>
    <row r="87" spans="1:77" ht="16.2" customHeight="1" x14ac:dyDescent="0.25">
      <c r="A87" s="8" t="s">
        <v>39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12"/>
      <c r="BY87" t="s">
        <v>87</v>
      </c>
    </row>
    <row r="88" spans="1:77" x14ac:dyDescent="0.25">
      <c r="A88" s="8" t="s">
        <v>44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0" t="str">
        <f>BJ28</f>
        <v>Тюкин Е.В.</v>
      </c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0"/>
      <c r="AL88" s="80"/>
      <c r="AM88" s="80"/>
      <c r="AN88" s="80"/>
      <c r="AO88" s="8"/>
      <c r="AP88" s="8"/>
      <c r="AQ88" s="64"/>
      <c r="AR88" s="64"/>
      <c r="AS88" s="64"/>
      <c r="AT88" s="64"/>
      <c r="AU88" s="64"/>
      <c r="AV88" s="64"/>
      <c r="AW88" s="64"/>
      <c r="AX88" s="64"/>
      <c r="AY88" s="64"/>
      <c r="AZ88" s="64"/>
      <c r="BA88" s="64"/>
      <c r="BB88" s="64"/>
      <c r="BC88" s="64"/>
      <c r="BD88" s="64"/>
      <c r="BE88" s="64"/>
      <c r="BF88" s="8"/>
      <c r="BG88" s="8"/>
      <c r="BH88" s="65">
        <f>BH82</f>
        <v>45285</v>
      </c>
      <c r="BI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12"/>
      <c r="BY88" t="s">
        <v>88</v>
      </c>
    </row>
    <row r="89" spans="1:77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66" t="s">
        <v>59</v>
      </c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30"/>
      <c r="AP89" s="30"/>
      <c r="AQ89" s="66" t="s">
        <v>40</v>
      </c>
      <c r="AR89" s="66"/>
      <c r="AS89" s="66"/>
      <c r="AT89" s="66"/>
      <c r="AU89" s="66"/>
      <c r="AV89" s="66"/>
      <c r="AW89" s="66"/>
      <c r="AX89" s="66"/>
      <c r="AY89" s="66"/>
      <c r="AZ89" s="66"/>
      <c r="BA89" s="66"/>
      <c r="BB89" s="66"/>
      <c r="BC89" s="66"/>
      <c r="BD89" s="66"/>
      <c r="BE89" s="66"/>
      <c r="BF89" s="30"/>
      <c r="BG89" s="30"/>
      <c r="BH89" s="66" t="s">
        <v>41</v>
      </c>
      <c r="BI89" s="66"/>
      <c r="BJ89" s="66"/>
      <c r="BK89" s="66"/>
      <c r="BL89" s="66"/>
      <c r="BM89" s="66"/>
      <c r="BN89" s="66"/>
      <c r="BO89" s="66"/>
      <c r="BP89" s="66"/>
      <c r="BQ89" s="66"/>
      <c r="BR89" s="66"/>
      <c r="BS89" s="66"/>
      <c r="BT89" s="12"/>
    </row>
    <row r="90" spans="1:77" x14ac:dyDescent="0.25">
      <c r="A90" s="13"/>
      <c r="B90" s="13"/>
      <c r="C90" s="13"/>
      <c r="D90" s="7"/>
      <c r="E90" s="7"/>
      <c r="F90" s="7"/>
      <c r="G90" s="7"/>
      <c r="H90" s="7"/>
      <c r="I90" s="7"/>
      <c r="J90" s="7"/>
      <c r="K90" s="7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12"/>
    </row>
    <row r="91" spans="1:77" ht="13.8" customHeight="1" x14ac:dyDescent="0.25">
      <c r="A91" s="76" t="s">
        <v>107</v>
      </c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13"/>
      <c r="AN91" s="13"/>
      <c r="AO91" s="8"/>
      <c r="AP91" s="8"/>
      <c r="AQ91" s="77"/>
      <c r="AR91" s="77"/>
      <c r="AS91" s="77"/>
      <c r="AT91" s="77"/>
      <c r="AU91" s="77"/>
      <c r="AV91" s="77"/>
      <c r="AW91" s="77"/>
      <c r="AX91" s="77"/>
      <c r="AY91" s="77"/>
      <c r="AZ91" s="77"/>
      <c r="BA91" s="77"/>
      <c r="BB91" s="77"/>
      <c r="BC91" s="77"/>
      <c r="BD91" s="77"/>
      <c r="BE91" s="77"/>
      <c r="BF91" s="8"/>
      <c r="BG91" s="8"/>
      <c r="BH91" s="78"/>
      <c r="BI91" s="78"/>
      <c r="BJ91" s="78"/>
      <c r="BK91" s="78"/>
      <c r="BL91" s="78"/>
      <c r="BM91" s="78"/>
      <c r="BN91" s="78"/>
      <c r="BO91" s="78"/>
      <c r="BP91" s="78"/>
      <c r="BQ91" s="78"/>
      <c r="BR91" s="78"/>
      <c r="BS91" s="78"/>
      <c r="BT91" s="12"/>
    </row>
    <row r="92" spans="1:77" x14ac:dyDescent="0.25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10"/>
      <c r="AN92" s="10"/>
      <c r="AO92" s="8"/>
      <c r="AP92" s="8"/>
      <c r="AQ92" s="79"/>
      <c r="AR92" s="79"/>
      <c r="AS92" s="79"/>
      <c r="AT92" s="79"/>
      <c r="AU92" s="79"/>
      <c r="AV92" s="79"/>
      <c r="AW92" s="79"/>
      <c r="AX92" s="79"/>
      <c r="AY92" s="79"/>
      <c r="AZ92" s="79"/>
      <c r="BA92" s="79"/>
      <c r="BB92" s="79"/>
      <c r="BC92" s="79"/>
      <c r="BD92" s="79"/>
      <c r="BE92" s="79"/>
      <c r="BF92" s="8"/>
      <c r="BG92" s="8"/>
      <c r="BH92" s="79"/>
      <c r="BI92" s="79"/>
      <c r="BJ92" s="79"/>
      <c r="BK92" s="79"/>
      <c r="BL92" s="79"/>
      <c r="BM92" s="79"/>
      <c r="BN92" s="79"/>
      <c r="BO92" s="79"/>
      <c r="BP92" s="79"/>
      <c r="BQ92" s="79"/>
      <c r="BR92" s="79"/>
      <c r="BS92" s="79"/>
      <c r="BT92" s="12"/>
    </row>
    <row r="93" spans="1:77" ht="16.8" customHeight="1" x14ac:dyDescent="0.25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12"/>
    </row>
  </sheetData>
  <mergeCells count="107">
    <mergeCell ref="AK46:BT46"/>
    <mergeCell ref="A47:BT47"/>
    <mergeCell ref="A17:BT17"/>
    <mergeCell ref="A18:BT18"/>
    <mergeCell ref="A21:BT21"/>
    <mergeCell ref="AE22:AT22"/>
    <mergeCell ref="S24:BI24"/>
    <mergeCell ref="BJ24:BT24"/>
    <mergeCell ref="T25:BJ25"/>
    <mergeCell ref="S26:BI26"/>
    <mergeCell ref="A16:BT16"/>
    <mergeCell ref="A19:BT19"/>
    <mergeCell ref="A37:BT37"/>
    <mergeCell ref="A38:BT38"/>
    <mergeCell ref="A39:BT39"/>
    <mergeCell ref="A35:BT35"/>
    <mergeCell ref="A36:BT36"/>
    <mergeCell ref="A44:BT44"/>
    <mergeCell ref="AK45:BT45"/>
    <mergeCell ref="BJ26:BT26"/>
    <mergeCell ref="T27:BJ27"/>
    <mergeCell ref="S28:BI28"/>
    <mergeCell ref="BJ28:BT28"/>
    <mergeCell ref="T29:BJ29"/>
    <mergeCell ref="A14:BT14"/>
    <mergeCell ref="A15:BT15"/>
    <mergeCell ref="A12:BT12"/>
    <mergeCell ref="A3:E3"/>
    <mergeCell ref="F3:H3"/>
    <mergeCell ref="I3:K3"/>
    <mergeCell ref="A6:E6"/>
    <mergeCell ref="F6:H6"/>
    <mergeCell ref="I6:K6"/>
    <mergeCell ref="AH6:BT7"/>
    <mergeCell ref="G7:H7"/>
    <mergeCell ref="I7:O7"/>
    <mergeCell ref="AF9:AW9"/>
    <mergeCell ref="A10:BT10"/>
    <mergeCell ref="A13:BT13"/>
    <mergeCell ref="BY30:CE31"/>
    <mergeCell ref="E31:BT31"/>
    <mergeCell ref="O30:BP30"/>
    <mergeCell ref="A34:BT34"/>
    <mergeCell ref="A40:BT40"/>
    <mergeCell ref="U41:BT41"/>
    <mergeCell ref="BY41:CD43"/>
    <mergeCell ref="P42:BT42"/>
    <mergeCell ref="U43:BT43"/>
    <mergeCell ref="A33:BT33"/>
    <mergeCell ref="A32:BT32"/>
    <mergeCell ref="BY47:CE67"/>
    <mergeCell ref="A52:BT52"/>
    <mergeCell ref="A53:BT53"/>
    <mergeCell ref="D54:BT54"/>
    <mergeCell ref="D62:BT62"/>
    <mergeCell ref="Y63:BT63"/>
    <mergeCell ref="D55:BT55"/>
    <mergeCell ref="D56:BT56"/>
    <mergeCell ref="D57:BT57"/>
    <mergeCell ref="D58:BT58"/>
    <mergeCell ref="A48:BT48"/>
    <mergeCell ref="A49:BT49"/>
    <mergeCell ref="A50:BT50"/>
    <mergeCell ref="A51:BT51"/>
    <mergeCell ref="D59:BT59"/>
    <mergeCell ref="D60:BT60"/>
    <mergeCell ref="D61:BT61"/>
    <mergeCell ref="A55:C61"/>
    <mergeCell ref="A91:AL93"/>
    <mergeCell ref="AQ91:BE91"/>
    <mergeCell ref="BH91:BS91"/>
    <mergeCell ref="AQ92:BE92"/>
    <mergeCell ref="BH92:BS92"/>
    <mergeCell ref="X83:AN83"/>
    <mergeCell ref="AQ83:BE83"/>
    <mergeCell ref="BH83:BS83"/>
    <mergeCell ref="X85:AN85"/>
    <mergeCell ref="AQ85:BE85"/>
    <mergeCell ref="BH85:BS85"/>
    <mergeCell ref="X86:AN86"/>
    <mergeCell ref="AQ86:BE86"/>
    <mergeCell ref="BH86:BS86"/>
    <mergeCell ref="X88:AN88"/>
    <mergeCell ref="AQ88:BE88"/>
    <mergeCell ref="BH88:BS88"/>
    <mergeCell ref="X89:AN89"/>
    <mergeCell ref="AQ89:BE89"/>
    <mergeCell ref="BH89:BS89"/>
    <mergeCell ref="X82:AN82"/>
    <mergeCell ref="AQ82:BE82"/>
    <mergeCell ref="BH82:BS82"/>
    <mergeCell ref="Y64:BT64"/>
    <mergeCell ref="AJ65:AS65"/>
    <mergeCell ref="AT65:BT65"/>
    <mergeCell ref="Q66:BT66"/>
    <mergeCell ref="AA67:BT67"/>
    <mergeCell ref="A68:BT68"/>
    <mergeCell ref="V73:BT73"/>
    <mergeCell ref="AD75:BT75"/>
    <mergeCell ref="J76:BT76"/>
    <mergeCell ref="Y77:BT77"/>
    <mergeCell ref="N79:BT79"/>
    <mergeCell ref="A70:BT70"/>
    <mergeCell ref="A71:BT71"/>
    <mergeCell ref="A72:BT72"/>
    <mergeCell ref="N78:BT78"/>
    <mergeCell ref="A69:BT69"/>
  </mergeCells>
  <phoneticPr fontId="21" type="noConversion"/>
  <dataValidations count="4">
    <dataValidation type="list" showInputMessage="1" showErrorMessage="1" sqref="G7:H7" xr:uid="{00000000-0002-0000-0300-000000000000}">
      <formula1>"1,2"</formula1>
    </dataValidation>
    <dataValidation type="list" allowBlank="1" showInputMessage="1" showErrorMessage="1" sqref="F6:H6 F3:H3" xr:uid="{00000000-0002-0000-0300-000001000000}">
      <formula1>"I.I,I.II,II,III,IV,V,V.I,V.II"</formula1>
    </dataValidation>
    <dataValidation type="list" allowBlank="1" showInputMessage="1" showErrorMessage="1" sqref="N30" xr:uid="{00000000-0002-0000-0300-000002000000}">
      <formula1>"выборочный,сплошной"</formula1>
    </dataValidation>
    <dataValidation type="list" errorStyle="information" allowBlank="1" showInputMessage="1" sqref="O30:BP30" xr:uid="{00000000-0002-0000-0300-000003000000}">
      <formula1>"выборочный,сплошной"</formula1>
    </dataValidation>
  </dataValidations>
  <pageMargins left="0.70866141732283472" right="0.19685039370078741" top="0.39370078740157483" bottom="0.39370078740157483" header="0.19685039370078741" footer="0.19685039370078741"/>
  <pageSetup paperSize="9" scale="84" fitToHeight="0" orientation="portrait" blackAndWhite="1" r:id="rId1"/>
  <rowBreaks count="2" manualBreakCount="2">
    <brk id="60" max="71" man="1"/>
    <brk id="93" max="7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errorStyle="warning" allowBlank="1" showInputMessage="1" showErrorMessage="1" xr:uid="{00000000-0002-0000-0300-000004000000}">
          <x14:formula1>
            <xm:f>'Лист общих данных'!$B$6:$B$12</xm:f>
          </x14:formula1>
          <xm:sqref>S43:U43</xm:sqref>
        </x14:dataValidation>
        <x14:dataValidation type="list" errorStyle="information" allowBlank="1" showInputMessage="1" xr:uid="{00000000-0002-0000-0300-000005000000}">
          <x14:formula1>
            <xm:f>'Лист общих данных'!$C$6:$C$12</xm:f>
          </x14:formula1>
          <xm:sqref>T41:U41</xm:sqref>
        </x14:dataValidation>
        <x14:dataValidation type="list" allowBlank="1" showInputMessage="1" showErrorMessage="1" xr:uid="{00000000-0002-0000-0300-000006000000}">
          <x14:formula1>
            <xm:f>подписанты!$B$3:$B$4</xm:f>
          </x14:formula1>
          <xm:sqref>BJ24:BT24</xm:sqref>
        </x14:dataValidation>
        <x14:dataValidation type="list" allowBlank="1" showInputMessage="1" showErrorMessage="1" xr:uid="{00000000-0002-0000-0300-000007000000}">
          <x14:formula1>
            <xm:f>подписанты!$B$5:$B$7</xm:f>
          </x14:formula1>
          <xm:sqref>BJ26:BT26</xm:sqref>
        </x14:dataValidation>
        <x14:dataValidation type="list" allowBlank="1" showInputMessage="1" showErrorMessage="1" xr:uid="{00000000-0002-0000-0300-000008000000}">
          <x14:formula1>
            <xm:f>подписанты!$B$8:$B$9</xm:f>
          </x14:formula1>
          <xm:sqref>BJ28:BT28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pageSetUpPr fitToPage="1"/>
  </sheetPr>
  <dimension ref="A1:CE74"/>
  <sheetViews>
    <sheetView view="pageBreakPreview" topLeftCell="A4" zoomScale="85" zoomScaleNormal="100" zoomScaleSheetLayoutView="85" workbookViewId="0">
      <selection activeCell="BX3" sqref="BX3"/>
    </sheetView>
  </sheetViews>
  <sheetFormatPr defaultRowHeight="13.8" x14ac:dyDescent="0.25"/>
  <cols>
    <col min="1" max="12" width="1.44140625" customWidth="1"/>
    <col min="13" max="13" width="2.33203125" customWidth="1"/>
    <col min="14" max="71" width="1.44140625" customWidth="1"/>
    <col min="72" max="72" width="7.77734375" customWidth="1"/>
    <col min="73" max="73" width="9.5546875" customWidth="1"/>
    <col min="74" max="74" width="5.6640625" customWidth="1"/>
    <col min="75" max="75" width="14.5546875" bestFit="1" customWidth="1"/>
  </cols>
  <sheetData>
    <row r="1" spans="1:72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 t="s">
        <v>60</v>
      </c>
      <c r="M1" s="9"/>
      <c r="N1" s="9"/>
      <c r="O1" s="9"/>
      <c r="P1" s="9"/>
      <c r="Q1" s="9"/>
      <c r="R1" s="9"/>
      <c r="S1" s="9"/>
      <c r="T1" s="9"/>
      <c r="U1" s="9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9" t="s">
        <v>1</v>
      </c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8"/>
      <c r="BT1" s="12"/>
    </row>
    <row r="2" spans="1:72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7" t="s">
        <v>3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8"/>
      <c r="Z2" s="8"/>
      <c r="AA2" s="8"/>
      <c r="AB2" s="8"/>
      <c r="AC2" s="8"/>
      <c r="AD2" s="8"/>
      <c r="AE2" s="8"/>
      <c r="AF2" s="8"/>
      <c r="AG2" s="8"/>
      <c r="AH2" s="8" t="s">
        <v>69</v>
      </c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12"/>
    </row>
    <row r="3" spans="1:72" x14ac:dyDescent="0.25">
      <c r="A3" s="77" t="s">
        <v>4</v>
      </c>
      <c r="B3" s="77"/>
      <c r="C3" s="77"/>
      <c r="D3" s="77"/>
      <c r="E3" s="77"/>
      <c r="F3" s="93" t="s">
        <v>5</v>
      </c>
      <c r="G3" s="93"/>
      <c r="H3" s="93"/>
      <c r="I3" s="94" t="s">
        <v>6</v>
      </c>
      <c r="J3" s="94"/>
      <c r="K3" s="94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10"/>
      <c r="AJ3" s="10"/>
      <c r="AK3" s="10"/>
      <c r="AL3" s="10"/>
      <c r="AM3" s="8"/>
      <c r="AN3" s="11" t="s">
        <v>62</v>
      </c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8"/>
      <c r="BT3" s="12"/>
    </row>
    <row r="4" spans="1:72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 t="s">
        <v>70</v>
      </c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12"/>
    </row>
    <row r="5" spans="1:7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 t="s">
        <v>71</v>
      </c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12"/>
    </row>
    <row r="6" spans="1:72" ht="13.8" customHeight="1" x14ac:dyDescent="0.25">
      <c r="A6" s="77"/>
      <c r="B6" s="77"/>
      <c r="C6" s="77"/>
      <c r="D6" s="77"/>
      <c r="E6" s="77"/>
      <c r="F6" s="93"/>
      <c r="G6" s="93"/>
      <c r="H6" s="93"/>
      <c r="I6" s="94"/>
      <c r="J6" s="94"/>
      <c r="K6" s="94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12"/>
      <c r="AF6" s="12"/>
      <c r="AG6" s="12"/>
      <c r="AH6" s="95" t="s">
        <v>61</v>
      </c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5"/>
      <c r="BI6" s="95"/>
      <c r="BJ6" s="95"/>
      <c r="BK6" s="95"/>
      <c r="BL6" s="95"/>
      <c r="BM6" s="95"/>
      <c r="BN6" s="95"/>
      <c r="BO6" s="95"/>
      <c r="BP6" s="95"/>
      <c r="BQ6" s="95"/>
      <c r="BR6" s="95"/>
      <c r="BS6" s="95"/>
      <c r="BT6" s="95"/>
    </row>
    <row r="7" spans="1:72" x14ac:dyDescent="0.25">
      <c r="A7" s="8"/>
      <c r="B7" s="8"/>
      <c r="C7" s="8"/>
      <c r="D7" s="8"/>
      <c r="E7" s="8"/>
      <c r="F7" s="8"/>
      <c r="G7" s="96"/>
      <c r="H7" s="96"/>
      <c r="I7" s="94"/>
      <c r="J7" s="94"/>
      <c r="K7" s="94"/>
      <c r="L7" s="94"/>
      <c r="M7" s="94"/>
      <c r="N7" s="94"/>
      <c r="O7" s="94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12"/>
      <c r="AE7" s="12"/>
      <c r="AF7" s="12"/>
      <c r="AG7" s="12"/>
      <c r="AH7" s="95"/>
      <c r="AI7" s="95"/>
      <c r="AJ7" s="95"/>
      <c r="AK7" s="95"/>
      <c r="AL7" s="95"/>
      <c r="AM7" s="95"/>
      <c r="AN7" s="95"/>
      <c r="AO7" s="95"/>
      <c r="AP7" s="95"/>
      <c r="AQ7" s="95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5"/>
      <c r="BF7" s="95"/>
      <c r="BG7" s="95"/>
      <c r="BH7" s="95"/>
      <c r="BI7" s="95"/>
      <c r="BJ7" s="95"/>
      <c r="BK7" s="95"/>
      <c r="BL7" s="95"/>
      <c r="BM7" s="95"/>
      <c r="BN7" s="95"/>
      <c r="BO7" s="95"/>
      <c r="BP7" s="95"/>
      <c r="BQ7" s="95"/>
      <c r="BR7" s="95"/>
      <c r="BS7" s="95"/>
      <c r="BT7" s="95"/>
    </row>
    <row r="8" spans="1:72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10" t="s">
        <v>7</v>
      </c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12"/>
      <c r="BS8" s="8"/>
      <c r="BT8" s="12"/>
    </row>
    <row r="9" spans="1:72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13" t="s">
        <v>8</v>
      </c>
      <c r="AA9" s="8"/>
      <c r="AB9" s="8"/>
      <c r="AC9" s="8"/>
      <c r="AD9" s="8"/>
      <c r="AE9" s="8"/>
      <c r="AF9" s="97" t="s">
        <v>120</v>
      </c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</row>
    <row r="10" spans="1:72" x14ac:dyDescent="0.25">
      <c r="A10" s="98" t="s">
        <v>45</v>
      </c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</row>
    <row r="11" spans="1:72" ht="7.8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</row>
    <row r="12" spans="1:72" ht="16.2" customHeight="1" x14ac:dyDescent="0.25">
      <c r="A12" s="87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87"/>
      <c r="BF12" s="87"/>
      <c r="BG12" s="87"/>
      <c r="BH12" s="87"/>
      <c r="BI12" s="87"/>
      <c r="BJ12" s="87"/>
      <c r="BK12" s="87"/>
      <c r="BL12" s="87"/>
      <c r="BM12" s="87"/>
      <c r="BN12" s="87"/>
      <c r="BO12" s="87"/>
      <c r="BP12" s="87"/>
      <c r="BQ12" s="87"/>
      <c r="BR12" s="87"/>
      <c r="BS12" s="87"/>
      <c r="BT12" s="87"/>
    </row>
    <row r="13" spans="1:72" ht="16.2" customHeight="1" x14ac:dyDescent="0.25">
      <c r="A13" s="87" t="s">
        <v>118</v>
      </c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87"/>
      <c r="BF13" s="87"/>
      <c r="BG13" s="87"/>
      <c r="BH13" s="87"/>
      <c r="BI13" s="87"/>
      <c r="BJ13" s="87"/>
      <c r="BK13" s="87"/>
      <c r="BL13" s="87"/>
      <c r="BM13" s="87"/>
      <c r="BN13" s="87"/>
      <c r="BO13" s="87"/>
      <c r="BP13" s="87"/>
      <c r="BQ13" s="87"/>
      <c r="BR13" s="87"/>
      <c r="BS13" s="87"/>
      <c r="BT13" s="87"/>
    </row>
    <row r="14" spans="1:72" ht="16.2" customHeight="1" x14ac:dyDescent="0.25">
      <c r="A14" s="87" t="s">
        <v>117</v>
      </c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7"/>
      <c r="AQ14" s="87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87"/>
      <c r="BF14" s="87"/>
      <c r="BG14" s="87"/>
      <c r="BH14" s="87"/>
      <c r="BI14" s="87"/>
      <c r="BJ14" s="87"/>
      <c r="BK14" s="87"/>
      <c r="BL14" s="87"/>
      <c r="BM14" s="87"/>
      <c r="BN14" s="87"/>
      <c r="BO14" s="87"/>
      <c r="BP14" s="87"/>
      <c r="BQ14" s="87"/>
      <c r="BR14" s="87"/>
      <c r="BS14" s="87"/>
      <c r="BT14" s="87"/>
    </row>
    <row r="15" spans="1:72" ht="16.2" customHeight="1" x14ac:dyDescent="0.2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</row>
    <row r="16" spans="1:72" ht="12" customHeight="1" x14ac:dyDescent="0.25">
      <c r="A16" s="106" t="s">
        <v>46</v>
      </c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6"/>
      <c r="BF16" s="106"/>
      <c r="BG16" s="106"/>
      <c r="BH16" s="106"/>
      <c r="BI16" s="106"/>
      <c r="BJ16" s="106"/>
      <c r="BK16" s="106"/>
      <c r="BL16" s="106"/>
      <c r="BM16" s="106"/>
      <c r="BN16" s="106"/>
      <c r="BO16" s="106"/>
      <c r="BP16" s="106"/>
      <c r="BQ16" s="106"/>
      <c r="BR16" s="106"/>
      <c r="BS16" s="106"/>
      <c r="BT16" s="106"/>
    </row>
    <row r="17" spans="1:83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13" t="s">
        <v>9</v>
      </c>
      <c r="AB17" s="8"/>
      <c r="AC17" s="8"/>
      <c r="AD17" s="8"/>
      <c r="AE17" s="107">
        <v>45337</v>
      </c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7"/>
      <c r="AQ17" s="107"/>
      <c r="AR17" s="107"/>
      <c r="AS17" s="107"/>
      <c r="AT17" s="107"/>
      <c r="AU17" s="16"/>
      <c r="AV17" s="16"/>
      <c r="AW17" s="16"/>
      <c r="AX17" s="16"/>
      <c r="AY17" s="16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12"/>
      <c r="BW17" s="54">
        <f>AE17</f>
        <v>45337</v>
      </c>
    </row>
    <row r="18" spans="1:83" x14ac:dyDescent="0.25">
      <c r="A18" s="8" t="s">
        <v>10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 t="s">
        <v>11</v>
      </c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12"/>
    </row>
    <row r="19" spans="1:83" ht="13.8" customHeight="1" x14ac:dyDescent="0.25">
      <c r="A19" s="8" t="s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111" t="str">
        <f>VLOOKUP(BJ19,подписанты!$B$3:$C$11,2,FALSE)</f>
        <v>Ведущий инженер МТО АО «Газстройпроект»</v>
      </c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1"/>
      <c r="BF19" s="111"/>
      <c r="BG19" s="111"/>
      <c r="BH19" s="111"/>
      <c r="BI19" s="111"/>
      <c r="BJ19" s="102" t="s">
        <v>77</v>
      </c>
      <c r="BK19" s="102"/>
      <c r="BL19" s="102"/>
      <c r="BM19" s="102"/>
      <c r="BN19" s="102"/>
      <c r="BO19" s="102"/>
      <c r="BP19" s="102"/>
      <c r="BQ19" s="102"/>
      <c r="BR19" s="102"/>
      <c r="BS19" s="102"/>
      <c r="BT19" s="102"/>
    </row>
    <row r="20" spans="1:83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66" t="s">
        <v>13</v>
      </c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6"/>
      <c r="BK20" s="27"/>
      <c r="BL20" s="27"/>
      <c r="BM20" s="27"/>
      <c r="BN20" s="27"/>
      <c r="BO20" s="27"/>
      <c r="BP20" s="17"/>
      <c r="BQ20" s="17"/>
      <c r="BR20" s="17"/>
      <c r="BS20" s="17"/>
      <c r="BT20" s="17"/>
    </row>
    <row r="21" spans="1:83" ht="13.8" customHeight="1" x14ac:dyDescent="0.25">
      <c r="A21" s="8" t="s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103" t="str">
        <f>VLOOKUP(BJ21,подписанты!$B$3:$C$11,2,FALSE)</f>
        <v>Инженер отдела технического надзора АО «Газстройпроект»</v>
      </c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2" t="s">
        <v>68</v>
      </c>
      <c r="BK21" s="102"/>
      <c r="BL21" s="102"/>
      <c r="BM21" s="102"/>
      <c r="BN21" s="102"/>
      <c r="BO21" s="102"/>
      <c r="BP21" s="102"/>
      <c r="BQ21" s="102"/>
      <c r="BR21" s="102"/>
      <c r="BS21" s="102"/>
      <c r="BT21" s="102"/>
    </row>
    <row r="22" spans="1:83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66" t="s">
        <v>13</v>
      </c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17"/>
      <c r="BL22" s="17"/>
      <c r="BM22" s="17"/>
      <c r="BN22" s="17"/>
      <c r="BO22" s="17"/>
      <c r="BP22" s="17"/>
      <c r="BQ22" s="17"/>
      <c r="BR22" s="17"/>
      <c r="BS22" s="17"/>
      <c r="BT22" s="17"/>
    </row>
    <row r="23" spans="1:83" ht="40.049999999999997" customHeight="1" x14ac:dyDescent="0.25">
      <c r="A23" s="8" t="s">
        <v>15</v>
      </c>
      <c r="B23" s="8"/>
      <c r="C23" s="8"/>
      <c r="D23" s="8"/>
      <c r="E23" s="8"/>
      <c r="F23" s="8"/>
      <c r="G23" s="8"/>
      <c r="H23" s="8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11" t="str">
        <f>VLOOKUP(BJ23,подписанты!$B$3:$C$11,2,FALSE)</f>
        <v>Начальник отдела организации и контроля материально-технического обеспечения Управления по реализации проектов авиационной инфраструктуры ГГС</v>
      </c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1"/>
      <c r="BF23" s="111"/>
      <c r="BG23" s="111"/>
      <c r="BH23" s="111"/>
      <c r="BI23" s="111"/>
      <c r="BJ23" s="104" t="s">
        <v>91</v>
      </c>
      <c r="BK23" s="104"/>
      <c r="BL23" s="104"/>
      <c r="BM23" s="104"/>
      <c r="BN23" s="104"/>
      <c r="BO23" s="104"/>
      <c r="BP23" s="104"/>
      <c r="BQ23" s="104"/>
      <c r="BR23" s="104"/>
      <c r="BS23" s="104"/>
      <c r="BT23" s="104"/>
    </row>
    <row r="24" spans="1:83" x14ac:dyDescent="0.25">
      <c r="A24" s="8"/>
      <c r="B24" s="8"/>
      <c r="C24" s="8"/>
      <c r="D24" s="8"/>
      <c r="E24" s="8"/>
      <c r="F24" s="8"/>
      <c r="G24" s="8"/>
      <c r="H24" s="8"/>
      <c r="I24" s="8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6" t="s">
        <v>13</v>
      </c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6"/>
      <c r="BK24" s="10"/>
      <c r="BL24" s="10"/>
      <c r="BM24" s="10"/>
      <c r="BN24" s="10"/>
      <c r="BO24" s="10"/>
      <c r="BP24" s="10"/>
      <c r="BQ24" s="10"/>
      <c r="BR24" s="10"/>
      <c r="BS24" s="10"/>
      <c r="BT24" s="10"/>
    </row>
    <row r="25" spans="1:83" x14ac:dyDescent="0.25">
      <c r="A25" s="8" t="s">
        <v>16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18"/>
      <c r="O25" s="80" t="s">
        <v>89</v>
      </c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0"/>
      <c r="BF25" s="80"/>
      <c r="BG25" s="80"/>
      <c r="BH25" s="80"/>
      <c r="BI25" s="80"/>
      <c r="BJ25" s="80"/>
      <c r="BK25" s="80"/>
      <c r="BL25" s="80"/>
      <c r="BM25" s="80"/>
      <c r="BN25" s="80"/>
      <c r="BO25" s="80"/>
      <c r="BP25" s="80"/>
      <c r="BQ25" s="8" t="s">
        <v>17</v>
      </c>
      <c r="BR25" s="13"/>
      <c r="BS25" s="13"/>
      <c r="BT25" s="13"/>
      <c r="BY25" s="81" t="s">
        <v>80</v>
      </c>
      <c r="BZ25" s="81"/>
      <c r="CA25" s="81"/>
      <c r="CB25" s="81"/>
      <c r="CC25" s="81"/>
      <c r="CD25" s="81"/>
      <c r="CE25" s="81"/>
    </row>
    <row r="26" spans="1:83" ht="13.8" customHeight="1" x14ac:dyDescent="0.25">
      <c r="A26" s="8"/>
      <c r="B26" s="8"/>
      <c r="C26" s="8"/>
      <c r="D26" s="8"/>
      <c r="E26" s="86" t="s">
        <v>47</v>
      </c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86"/>
      <c r="BO26" s="86"/>
      <c r="BP26" s="86"/>
      <c r="BQ26" s="86"/>
      <c r="BR26" s="86"/>
      <c r="BS26" s="86"/>
      <c r="BT26" s="86"/>
      <c r="BY26" s="81"/>
      <c r="BZ26" s="81"/>
      <c r="CA26" s="81"/>
      <c r="CB26" s="81"/>
      <c r="CC26" s="81"/>
      <c r="CD26" s="81"/>
      <c r="CE26" s="81"/>
    </row>
    <row r="27" spans="1:83" ht="16.2" customHeight="1" x14ac:dyDescent="0.25">
      <c r="A27" s="87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7"/>
      <c r="AQ27" s="87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87"/>
      <c r="BF27" s="87"/>
      <c r="BG27" s="87"/>
      <c r="BH27" s="87"/>
      <c r="BI27" s="87"/>
      <c r="BJ27" s="87"/>
      <c r="BK27" s="87"/>
      <c r="BL27" s="87"/>
      <c r="BM27" s="87"/>
      <c r="BN27" s="87"/>
      <c r="BO27" s="87"/>
      <c r="BP27" s="87"/>
      <c r="BQ27" s="87"/>
      <c r="BR27" s="87"/>
      <c r="BS27" s="87"/>
      <c r="BT27" s="87"/>
      <c r="BY27" s="58"/>
      <c r="BZ27" s="58"/>
      <c r="CA27" s="58"/>
      <c r="CB27" s="58"/>
      <c r="CC27" s="58"/>
      <c r="CD27" s="58"/>
      <c r="CE27" s="58"/>
    </row>
    <row r="28" spans="1:83" ht="16.2" customHeight="1" x14ac:dyDescent="0.25">
      <c r="A28" s="87" t="s">
        <v>118</v>
      </c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87"/>
      <c r="BK28" s="87"/>
      <c r="BL28" s="87"/>
      <c r="BM28" s="87"/>
      <c r="BN28" s="87"/>
      <c r="BO28" s="87"/>
      <c r="BP28" s="87"/>
      <c r="BQ28" s="87"/>
      <c r="BR28" s="87"/>
      <c r="BS28" s="87"/>
      <c r="BT28" s="87"/>
      <c r="BY28" s="58"/>
      <c r="BZ28" s="58"/>
      <c r="CA28" s="58"/>
      <c r="CB28" s="58"/>
      <c r="CC28" s="58"/>
      <c r="CD28" s="58"/>
      <c r="CE28" s="58"/>
    </row>
    <row r="29" spans="1:83" x14ac:dyDescent="0.25">
      <c r="A29" s="87" t="s">
        <v>117</v>
      </c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87"/>
      <c r="BK29" s="87"/>
      <c r="BL29" s="87"/>
      <c r="BM29" s="87"/>
      <c r="BN29" s="87"/>
      <c r="BO29" s="87"/>
      <c r="BP29" s="87"/>
      <c r="BQ29" s="87"/>
      <c r="BR29" s="87"/>
      <c r="BS29" s="87"/>
      <c r="BT29" s="87"/>
    </row>
    <row r="30" spans="1:83" x14ac:dyDescent="0.25">
      <c r="A30" s="88"/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  <c r="AQ30" s="88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88"/>
      <c r="BF30" s="88"/>
      <c r="BG30" s="88"/>
      <c r="BH30" s="88"/>
      <c r="BI30" s="88"/>
      <c r="BJ30" s="88"/>
      <c r="BK30" s="88"/>
      <c r="BL30" s="88"/>
      <c r="BM30" s="88"/>
      <c r="BN30" s="88"/>
      <c r="BO30" s="88"/>
      <c r="BP30" s="88"/>
      <c r="BQ30" s="88"/>
      <c r="BR30" s="88"/>
      <c r="BS30" s="88"/>
      <c r="BT30" s="88"/>
    </row>
    <row r="31" spans="1:83" x14ac:dyDescent="0.25">
      <c r="A31" s="10" t="s">
        <v>18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56"/>
      <c r="S31" s="8"/>
      <c r="T31" s="55"/>
      <c r="U31" s="89" t="s">
        <v>111</v>
      </c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89"/>
      <c r="BN31" s="89"/>
      <c r="BO31" s="89"/>
      <c r="BP31" s="89"/>
      <c r="BQ31" s="89"/>
      <c r="BR31" s="89"/>
      <c r="BS31" s="89"/>
      <c r="BT31" s="89"/>
    </row>
    <row r="32" spans="1:83" ht="13.8" customHeight="1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0" t="s">
        <v>19</v>
      </c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0"/>
      <c r="AQ32" s="90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0"/>
      <c r="BF32" s="90"/>
      <c r="BG32" s="90"/>
      <c r="BH32" s="90"/>
      <c r="BI32" s="90"/>
      <c r="BJ32" s="90"/>
      <c r="BK32" s="90"/>
      <c r="BL32" s="90"/>
      <c r="BM32" s="90"/>
      <c r="BN32" s="90"/>
      <c r="BO32" s="90"/>
      <c r="BP32" s="90"/>
      <c r="BQ32" s="90"/>
      <c r="BR32" s="90"/>
      <c r="BS32" s="90"/>
      <c r="BT32" s="90"/>
      <c r="BY32" s="44" t="s">
        <v>82</v>
      </c>
    </row>
    <row r="33" spans="1:83" x14ac:dyDescent="0.25">
      <c r="A33" s="10" t="s">
        <v>20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21"/>
      <c r="T33" s="21"/>
      <c r="U33" s="91" t="s">
        <v>51</v>
      </c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1"/>
      <c r="BF33" s="91"/>
      <c r="BG33" s="91"/>
      <c r="BH33" s="91"/>
      <c r="BI33" s="91"/>
      <c r="BJ33" s="91"/>
      <c r="BK33" s="91"/>
      <c r="BL33" s="91"/>
      <c r="BM33" s="91"/>
      <c r="BN33" s="91"/>
      <c r="BO33" s="91"/>
      <c r="BP33" s="91"/>
      <c r="BQ33" s="91"/>
      <c r="BR33" s="91"/>
      <c r="BS33" s="91"/>
      <c r="BT33" s="91"/>
      <c r="BY33" s="81" t="s">
        <v>83</v>
      </c>
      <c r="BZ33" s="81"/>
      <c r="CA33" s="81"/>
      <c r="CB33" s="81"/>
      <c r="CC33" s="81"/>
      <c r="CD33" s="81"/>
      <c r="CE33" s="81"/>
    </row>
    <row r="34" spans="1:83" x14ac:dyDescent="0.25">
      <c r="A34" s="100" t="s">
        <v>21</v>
      </c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0"/>
      <c r="BF34" s="100"/>
      <c r="BG34" s="100"/>
      <c r="BH34" s="100"/>
      <c r="BI34" s="100"/>
      <c r="BJ34" s="100"/>
      <c r="BK34" s="100"/>
      <c r="BL34" s="100"/>
      <c r="BM34" s="100"/>
      <c r="BN34" s="100"/>
      <c r="BO34" s="100"/>
      <c r="BP34" s="100"/>
      <c r="BQ34" s="100"/>
      <c r="BR34" s="100"/>
      <c r="BS34" s="100"/>
      <c r="BT34" s="100"/>
      <c r="BY34" s="81"/>
      <c r="BZ34" s="81"/>
      <c r="CA34" s="81"/>
      <c r="CB34" s="81"/>
      <c r="CC34" s="81"/>
      <c r="CD34" s="81"/>
      <c r="CE34" s="81"/>
    </row>
    <row r="35" spans="1:83" x14ac:dyDescent="0.25">
      <c r="A35" s="8"/>
      <c r="B35" s="8"/>
      <c r="C35" s="8"/>
      <c r="D35" s="8" t="s">
        <v>22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9"/>
      <c r="AG35" s="7"/>
      <c r="AH35" s="7"/>
      <c r="AI35" s="7"/>
      <c r="AJ35" s="7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1"/>
      <c r="BF35" s="101"/>
      <c r="BG35" s="101"/>
      <c r="BH35" s="101"/>
      <c r="BI35" s="101"/>
      <c r="BJ35" s="101"/>
      <c r="BK35" s="101"/>
      <c r="BL35" s="101"/>
      <c r="BM35" s="101"/>
      <c r="BN35" s="101"/>
      <c r="BO35" s="101"/>
      <c r="BP35" s="101"/>
      <c r="BQ35" s="101"/>
      <c r="BR35" s="101"/>
      <c r="BS35" s="101"/>
      <c r="BT35" s="101"/>
      <c r="BY35" s="81"/>
      <c r="BZ35" s="81"/>
      <c r="CA35" s="81"/>
      <c r="CB35" s="81"/>
      <c r="CC35" s="81"/>
      <c r="CD35" s="81"/>
      <c r="CE35" s="81"/>
    </row>
    <row r="36" spans="1:83" ht="13.8" customHeight="1" x14ac:dyDescent="0.25">
      <c r="A36" s="8" t="s">
        <v>23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31"/>
      <c r="AJ36" s="8"/>
      <c r="AK36" s="105" t="s">
        <v>113</v>
      </c>
      <c r="AL36" s="105"/>
      <c r="AM36" s="105"/>
      <c r="AN36" s="105"/>
      <c r="AO36" s="105"/>
      <c r="AP36" s="105"/>
      <c r="AQ36" s="105"/>
      <c r="AR36" s="105"/>
      <c r="AS36" s="105"/>
      <c r="AT36" s="105"/>
      <c r="AU36" s="105"/>
      <c r="AV36" s="105"/>
      <c r="AW36" s="105"/>
      <c r="AX36" s="105"/>
      <c r="AY36" s="105"/>
      <c r="AZ36" s="105"/>
      <c r="BA36" s="105"/>
      <c r="BB36" s="105"/>
      <c r="BC36" s="105"/>
      <c r="BD36" s="105"/>
      <c r="BE36" s="105"/>
      <c r="BF36" s="105"/>
      <c r="BG36" s="105"/>
      <c r="BH36" s="105"/>
      <c r="BI36" s="105"/>
      <c r="BJ36" s="105"/>
      <c r="BK36" s="105"/>
      <c r="BL36" s="105"/>
      <c r="BM36" s="105"/>
      <c r="BN36" s="105"/>
      <c r="BO36" s="105"/>
      <c r="BP36" s="105"/>
      <c r="BQ36" s="105"/>
      <c r="BR36" s="105"/>
      <c r="BS36" s="105"/>
      <c r="BT36" s="105"/>
      <c r="BY36" s="81"/>
      <c r="BZ36" s="81"/>
      <c r="CA36" s="81"/>
      <c r="CB36" s="81"/>
      <c r="CC36" s="81"/>
      <c r="CD36" s="81"/>
      <c r="CE36" s="81"/>
    </row>
    <row r="37" spans="1:83" x14ac:dyDescent="0.25">
      <c r="A37" s="85" t="s">
        <v>114</v>
      </c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5"/>
      <c r="BL37" s="85"/>
      <c r="BM37" s="85"/>
      <c r="BN37" s="85"/>
      <c r="BO37" s="85"/>
      <c r="BP37" s="85"/>
      <c r="BQ37" s="85"/>
      <c r="BR37" s="85"/>
      <c r="BS37" s="85"/>
      <c r="BT37" s="85"/>
      <c r="BY37" s="81"/>
      <c r="BZ37" s="81"/>
      <c r="CA37" s="81"/>
      <c r="CB37" s="81"/>
      <c r="CC37" s="81"/>
      <c r="CD37" s="81"/>
      <c r="CE37" s="81"/>
    </row>
    <row r="38" spans="1:83" x14ac:dyDescent="0.25">
      <c r="A38" s="85" t="s">
        <v>115</v>
      </c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5"/>
      <c r="BM38" s="85"/>
      <c r="BN38" s="85"/>
      <c r="BO38" s="85"/>
      <c r="BP38" s="85"/>
      <c r="BQ38" s="85"/>
      <c r="BR38" s="85"/>
      <c r="BS38" s="85"/>
      <c r="BT38" s="85"/>
      <c r="BY38" s="81"/>
      <c r="BZ38" s="81"/>
      <c r="CA38" s="81"/>
      <c r="CB38" s="81"/>
      <c r="CC38" s="81"/>
      <c r="CD38" s="81"/>
      <c r="CE38" s="81"/>
    </row>
    <row r="39" spans="1:83" x14ac:dyDescent="0.25">
      <c r="A39" s="85" t="s">
        <v>116</v>
      </c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5"/>
      <c r="BM39" s="85"/>
      <c r="BN39" s="85"/>
      <c r="BO39" s="85"/>
      <c r="BP39" s="85"/>
      <c r="BQ39" s="85"/>
      <c r="BR39" s="85"/>
      <c r="BS39" s="85"/>
      <c r="BT39" s="85"/>
      <c r="BY39" s="81"/>
      <c r="BZ39" s="81"/>
      <c r="CA39" s="81"/>
      <c r="CB39" s="81"/>
      <c r="CC39" s="81"/>
      <c r="CD39" s="81"/>
      <c r="CE39" s="81"/>
    </row>
    <row r="40" spans="1:83" ht="13.8" customHeight="1" x14ac:dyDescent="0.25">
      <c r="A40" s="66" t="s">
        <v>24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66"/>
      <c r="BR40" s="66"/>
      <c r="BS40" s="66"/>
      <c r="BT40" s="66"/>
      <c r="BU40" s="57"/>
      <c r="BY40" s="81"/>
      <c r="BZ40" s="81"/>
      <c r="CA40" s="81"/>
      <c r="CB40" s="81"/>
      <c r="CC40" s="81"/>
      <c r="CD40" s="81"/>
      <c r="CE40" s="81"/>
    </row>
    <row r="41" spans="1:83" x14ac:dyDescent="0.25">
      <c r="A41" s="82" t="s">
        <v>57</v>
      </c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2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2"/>
      <c r="BM41" s="82"/>
      <c r="BN41" s="82"/>
      <c r="BO41" s="82"/>
      <c r="BP41" s="82"/>
      <c r="BQ41" s="82"/>
      <c r="BR41" s="82"/>
      <c r="BS41" s="82"/>
      <c r="BT41" s="82"/>
      <c r="BY41" s="81"/>
      <c r="BZ41" s="81"/>
      <c r="CA41" s="81"/>
      <c r="CB41" s="81"/>
      <c r="CC41" s="81"/>
      <c r="CD41" s="81"/>
      <c r="CE41" s="81"/>
    </row>
    <row r="42" spans="1:83" x14ac:dyDescent="0.25">
      <c r="A42" s="18" t="s">
        <v>58</v>
      </c>
      <c r="B42" s="19"/>
      <c r="C42" s="19"/>
      <c r="D42" s="112">
        <f>A27</f>
        <v>0</v>
      </c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2"/>
      <c r="BC42" s="112"/>
      <c r="BD42" s="112"/>
      <c r="BE42" s="112"/>
      <c r="BF42" s="112"/>
      <c r="BG42" s="112"/>
      <c r="BH42" s="112"/>
      <c r="BI42" s="112"/>
      <c r="BJ42" s="112"/>
      <c r="BK42" s="112"/>
      <c r="BL42" s="112"/>
      <c r="BM42" s="112"/>
      <c r="BN42" s="112"/>
      <c r="BO42" s="112"/>
      <c r="BP42" s="112"/>
      <c r="BQ42" s="112"/>
      <c r="BR42" s="112"/>
      <c r="BS42" s="112"/>
      <c r="BT42" s="112"/>
    </row>
    <row r="43" spans="1:83" x14ac:dyDescent="0.25">
      <c r="A43" s="18"/>
      <c r="B43" s="19"/>
      <c r="C43" s="19"/>
      <c r="D43" s="112" t="str">
        <f>A28</f>
        <v>Комперссионное соединение Ø110/Ø50</v>
      </c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/>
      <c r="AV43" s="112"/>
      <c r="AW43" s="112"/>
      <c r="AX43" s="112"/>
      <c r="AY43" s="112"/>
      <c r="AZ43" s="112"/>
      <c r="BA43" s="112"/>
      <c r="BB43" s="112"/>
      <c r="BC43" s="112"/>
      <c r="BD43" s="112"/>
      <c r="BE43" s="112"/>
      <c r="BF43" s="112"/>
      <c r="BG43" s="112"/>
      <c r="BH43" s="112"/>
      <c r="BI43" s="112"/>
      <c r="BJ43" s="112"/>
      <c r="BK43" s="112"/>
      <c r="BL43" s="112"/>
      <c r="BM43" s="112"/>
      <c r="BN43" s="112"/>
      <c r="BO43" s="112"/>
      <c r="BP43" s="112"/>
      <c r="BQ43" s="112"/>
      <c r="BR43" s="112"/>
      <c r="BS43" s="112"/>
      <c r="BT43" s="112"/>
    </row>
    <row r="44" spans="1:83" x14ac:dyDescent="0.25">
      <c r="A44" s="18"/>
      <c r="B44" s="19"/>
      <c r="C44" s="19"/>
      <c r="D44" s="112" t="str">
        <f>A29</f>
        <v>Резиновая манжета Ø50/Ø32</v>
      </c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/>
      <c r="AV44" s="112"/>
      <c r="AW44" s="112"/>
      <c r="AX44" s="112"/>
      <c r="AY44" s="112"/>
      <c r="AZ44" s="112"/>
      <c r="BA44" s="112"/>
      <c r="BB44" s="112"/>
      <c r="BC44" s="112"/>
      <c r="BD44" s="112"/>
      <c r="BE44" s="112"/>
      <c r="BF44" s="112"/>
      <c r="BG44" s="112"/>
      <c r="BH44" s="112"/>
      <c r="BI44" s="112"/>
      <c r="BJ44" s="112"/>
      <c r="BK44" s="112"/>
      <c r="BL44" s="112"/>
      <c r="BM44" s="112"/>
      <c r="BN44" s="112"/>
      <c r="BO44" s="112"/>
      <c r="BP44" s="112"/>
      <c r="BQ44" s="112"/>
      <c r="BR44" s="112"/>
      <c r="BS44" s="112"/>
      <c r="BT44" s="112"/>
    </row>
    <row r="45" spans="1:83" x14ac:dyDescent="0.25">
      <c r="A45" s="18"/>
      <c r="B45" s="19"/>
      <c r="C45" s="19"/>
      <c r="D45" s="112" t="e">
        <f>#REF!</f>
        <v>#REF!</v>
      </c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/>
      <c r="AV45" s="112"/>
      <c r="AW45" s="112"/>
      <c r="AX45" s="112"/>
      <c r="AY45" s="112"/>
      <c r="AZ45" s="112"/>
      <c r="BA45" s="112"/>
      <c r="BB45" s="112"/>
      <c r="BC45" s="112"/>
      <c r="BD45" s="112"/>
      <c r="BE45" s="112"/>
      <c r="BF45" s="112"/>
      <c r="BG45" s="112"/>
      <c r="BH45" s="112"/>
      <c r="BI45" s="112"/>
      <c r="BJ45" s="112"/>
      <c r="BK45" s="112"/>
      <c r="BL45" s="112"/>
      <c r="BM45" s="112"/>
      <c r="BN45" s="112"/>
      <c r="BO45" s="112"/>
      <c r="BP45" s="112"/>
      <c r="BQ45" s="112"/>
      <c r="BR45" s="112"/>
      <c r="BS45" s="112"/>
      <c r="BT45" s="112"/>
    </row>
    <row r="46" spans="1:83" x14ac:dyDescent="0.25">
      <c r="A46" s="8"/>
      <c r="B46" s="8"/>
      <c r="C46" s="8"/>
      <c r="D46" s="84" t="s">
        <v>25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  <c r="BR46" s="84"/>
      <c r="BS46" s="84"/>
      <c r="BT46" s="84"/>
    </row>
    <row r="47" spans="1:83" x14ac:dyDescent="0.25">
      <c r="A47" s="8" t="s">
        <v>26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33"/>
      <c r="Y47" s="113" t="s">
        <v>110</v>
      </c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  <c r="AX47" s="113"/>
      <c r="AY47" s="113"/>
      <c r="AZ47" s="113"/>
      <c r="BA47" s="113"/>
      <c r="BB47" s="113"/>
      <c r="BC47" s="113"/>
      <c r="BD47" s="113"/>
      <c r="BE47" s="113"/>
      <c r="BF47" s="113"/>
      <c r="BG47" s="113"/>
      <c r="BH47" s="113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113"/>
      <c r="BT47" s="113"/>
      <c r="BY47" t="s">
        <v>84</v>
      </c>
    </row>
    <row r="48" spans="1:83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20"/>
      <c r="Y48" s="66" t="s">
        <v>27</v>
      </c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  <c r="BH48" s="66"/>
      <c r="BI48" s="66"/>
      <c r="BJ48" s="66"/>
      <c r="BK48" s="66"/>
      <c r="BL48" s="66"/>
      <c r="BM48" s="66"/>
      <c r="BN48" s="66"/>
      <c r="BO48" s="66"/>
      <c r="BP48" s="66"/>
      <c r="BQ48" s="66"/>
      <c r="BR48" s="66"/>
      <c r="BS48" s="66"/>
      <c r="BT48" s="66"/>
      <c r="BY48" t="s">
        <v>85</v>
      </c>
    </row>
    <row r="49" spans="1:77" x14ac:dyDescent="0.25">
      <c r="A49" s="8" t="s">
        <v>28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7"/>
      <c r="AG49" s="7"/>
      <c r="AH49" s="7"/>
      <c r="AI49" s="7"/>
      <c r="AJ49" s="67" t="s">
        <v>29</v>
      </c>
      <c r="AK49" s="67"/>
      <c r="AL49" s="67"/>
      <c r="AM49" s="67"/>
      <c r="AN49" s="67"/>
      <c r="AO49" s="67"/>
      <c r="AP49" s="67"/>
      <c r="AQ49" s="67"/>
      <c r="AR49" s="67"/>
      <c r="AS49" s="67"/>
      <c r="AT49" s="68" t="s">
        <v>72</v>
      </c>
      <c r="AU49" s="68"/>
      <c r="AV49" s="68"/>
      <c r="AW49" s="68"/>
      <c r="AX49" s="68"/>
      <c r="AY49" s="68"/>
      <c r="AZ49" s="68"/>
      <c r="BA49" s="68"/>
      <c r="BB49" s="68"/>
      <c r="BC49" s="68"/>
      <c r="BD49" s="68"/>
      <c r="BE49" s="68"/>
      <c r="BF49" s="68"/>
      <c r="BG49" s="68"/>
      <c r="BH49" s="68"/>
      <c r="BI49" s="68"/>
      <c r="BJ49" s="68"/>
      <c r="BK49" s="68"/>
      <c r="BL49" s="68"/>
      <c r="BM49" s="68"/>
      <c r="BN49" s="68"/>
      <c r="BO49" s="68"/>
      <c r="BP49" s="68"/>
      <c r="BQ49" s="68"/>
      <c r="BR49" s="68"/>
      <c r="BS49" s="68"/>
      <c r="BT49" s="68"/>
    </row>
    <row r="50" spans="1:77" ht="13.8" customHeight="1" x14ac:dyDescent="0.25">
      <c r="A50" s="10" t="s">
        <v>30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55"/>
      <c r="O50" s="55"/>
      <c r="P50" s="55"/>
      <c r="Q50" s="69" t="str">
        <f>U31</f>
        <v xml:space="preserve">ПП2020РД-1.2-61.17-ОВ3.СО изм.  лист </v>
      </c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  <c r="BF50" s="69"/>
      <c r="BG50" s="69"/>
      <c r="BH50" s="69"/>
      <c r="BI50" s="69"/>
      <c r="BJ50" s="69"/>
      <c r="BK50" s="69"/>
      <c r="BL50" s="69"/>
      <c r="BM50" s="69"/>
      <c r="BN50" s="69"/>
      <c r="BO50" s="69"/>
      <c r="BP50" s="69"/>
      <c r="BQ50" s="69"/>
      <c r="BR50" s="69"/>
      <c r="BS50" s="69"/>
      <c r="BT50" s="69"/>
    </row>
    <row r="51" spans="1:77" ht="13.8" customHeight="1" x14ac:dyDescent="0.25">
      <c r="A51" s="8"/>
      <c r="B51" s="8"/>
      <c r="C51" s="8"/>
      <c r="D51" s="10" t="s">
        <v>31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1"/>
      <c r="X51" s="8"/>
      <c r="Y51" s="32"/>
      <c r="Z51" s="32"/>
      <c r="AA51" s="70" t="str">
        <f>AK36</f>
        <v>Технический паспорт и руководство по эксплуатации б/н</v>
      </c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0"/>
      <c r="AX51" s="70"/>
      <c r="AY51" s="70"/>
      <c r="AZ51" s="70"/>
      <c r="BA51" s="70"/>
      <c r="BB51" s="70"/>
      <c r="BC51" s="70"/>
      <c r="BD51" s="70"/>
      <c r="BE51" s="70"/>
      <c r="BF51" s="70"/>
      <c r="BG51" s="70"/>
      <c r="BH51" s="70"/>
      <c r="BI51" s="70"/>
      <c r="BJ51" s="70"/>
      <c r="BK51" s="70"/>
      <c r="BL51" s="70"/>
      <c r="BM51" s="70"/>
      <c r="BN51" s="70"/>
      <c r="BO51" s="70"/>
      <c r="BP51" s="70"/>
      <c r="BQ51" s="70"/>
      <c r="BR51" s="70"/>
      <c r="BS51" s="70"/>
      <c r="BT51" s="70"/>
    </row>
    <row r="52" spans="1:77" ht="13.8" customHeight="1" x14ac:dyDescent="0.25">
      <c r="A52" s="71" t="str">
        <f>A37</f>
        <v>от 07.11.2023, Информационное письмо исх. №1523/Л от 26.01.2022, Паспорт изделия б/н от 26.10.2023,</v>
      </c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71"/>
      <c r="AZ52" s="71"/>
      <c r="BA52" s="71"/>
      <c r="BB52" s="71"/>
      <c r="BC52" s="71"/>
      <c r="BD52" s="71"/>
      <c r="BE52" s="71"/>
      <c r="BF52" s="71"/>
      <c r="BG52" s="71"/>
      <c r="BH52" s="71"/>
      <c r="BI52" s="71"/>
      <c r="BJ52" s="71"/>
      <c r="BK52" s="71"/>
      <c r="BL52" s="71"/>
      <c r="BM52" s="71"/>
      <c r="BN52" s="71"/>
      <c r="BO52" s="71"/>
      <c r="BP52" s="71"/>
      <c r="BQ52" s="71"/>
      <c r="BR52" s="71"/>
      <c r="BS52" s="71"/>
      <c r="BT52" s="71"/>
    </row>
    <row r="53" spans="1:77" x14ac:dyDescent="0.25">
      <c r="A53" s="71" t="str">
        <f>A38</f>
        <v>Информационное письмо исх.№ОТК/109 от 10.09.2018, Паспорт б/н от 21.11.2023,</v>
      </c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1"/>
      <c r="AS53" s="71"/>
      <c r="AT53" s="71"/>
      <c r="AU53" s="71"/>
      <c r="AV53" s="71"/>
      <c r="AW53" s="71"/>
      <c r="AX53" s="71"/>
      <c r="AY53" s="71"/>
      <c r="AZ53" s="71"/>
      <c r="BA53" s="71"/>
      <c r="BB53" s="71"/>
      <c r="BC53" s="71"/>
      <c r="BD53" s="71"/>
      <c r="BE53" s="71"/>
      <c r="BF53" s="71"/>
      <c r="BG53" s="71"/>
      <c r="BH53" s="71"/>
      <c r="BI53" s="71"/>
      <c r="BJ53" s="71"/>
      <c r="BK53" s="71"/>
      <c r="BL53" s="71"/>
      <c r="BM53" s="71"/>
      <c r="BN53" s="71"/>
      <c r="BO53" s="71"/>
      <c r="BP53" s="71"/>
      <c r="BQ53" s="71"/>
      <c r="BR53" s="71"/>
      <c r="BS53" s="71"/>
      <c r="BT53" s="71"/>
    </row>
    <row r="54" spans="1:77" x14ac:dyDescent="0.25">
      <c r="A54" s="71" t="str">
        <f>A39</f>
        <v>Сертификат соответствия № РОСС RU.HE06.H12786 с 19.09.2023 по 18.09.2026</v>
      </c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1"/>
      <c r="BB54" s="71"/>
      <c r="BC54" s="71"/>
      <c r="BD54" s="71"/>
      <c r="BE54" s="71"/>
      <c r="BF54" s="71"/>
      <c r="BG54" s="71"/>
      <c r="BH54" s="71"/>
      <c r="BI54" s="71"/>
      <c r="BJ54" s="71"/>
      <c r="BK54" s="71"/>
      <c r="BL54" s="71"/>
      <c r="BM54" s="71"/>
      <c r="BN54" s="71"/>
      <c r="BO54" s="71"/>
      <c r="BP54" s="71"/>
      <c r="BQ54" s="71"/>
      <c r="BR54" s="71"/>
      <c r="BS54" s="71"/>
      <c r="BT54" s="71"/>
    </row>
    <row r="55" spans="1:77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72" t="s">
        <v>32</v>
      </c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2"/>
      <c r="BC55" s="72"/>
      <c r="BD55" s="72"/>
      <c r="BE55" s="72"/>
      <c r="BF55" s="72"/>
      <c r="BG55" s="72"/>
      <c r="BH55" s="72"/>
      <c r="BI55" s="72"/>
      <c r="BJ55" s="72"/>
      <c r="BK55" s="72"/>
      <c r="BL55" s="72"/>
      <c r="BM55" s="72"/>
      <c r="BN55" s="72"/>
      <c r="BO55" s="72"/>
      <c r="BP55" s="72"/>
      <c r="BQ55" s="72"/>
      <c r="BR55" s="72"/>
      <c r="BS55" s="72"/>
      <c r="BT55" s="72"/>
    </row>
    <row r="56" spans="1:77" ht="13.8" customHeight="1" x14ac:dyDescent="0.25">
      <c r="A56" s="8" t="s">
        <v>33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23"/>
    </row>
    <row r="57" spans="1:77" x14ac:dyDescent="0.25">
      <c r="A57" s="34"/>
      <c r="B57" s="8"/>
      <c r="C57" s="8"/>
      <c r="D57" s="8" t="s">
        <v>34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7"/>
      <c r="X57" s="7"/>
      <c r="Y57" s="7"/>
      <c r="Z57" s="7"/>
      <c r="AA57" s="34"/>
      <c r="AB57" s="7"/>
      <c r="AC57" s="34"/>
      <c r="AD57" s="73" t="s">
        <v>35</v>
      </c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3"/>
      <c r="AU57" s="73"/>
      <c r="AV57" s="73"/>
      <c r="AW57" s="73"/>
      <c r="AX57" s="73"/>
      <c r="AY57" s="73"/>
      <c r="AZ57" s="73"/>
      <c r="BA57" s="73"/>
      <c r="BB57" s="73"/>
      <c r="BC57" s="73"/>
      <c r="BD57" s="73"/>
      <c r="BE57" s="73"/>
      <c r="BF57" s="73"/>
      <c r="BG57" s="73"/>
      <c r="BH57" s="73"/>
      <c r="BI57" s="73"/>
      <c r="BJ57" s="73"/>
      <c r="BK57" s="73"/>
      <c r="BL57" s="73"/>
      <c r="BM57" s="73"/>
      <c r="BN57" s="73"/>
      <c r="BO57" s="73"/>
      <c r="BP57" s="73"/>
      <c r="BQ57" s="73"/>
      <c r="BR57" s="73"/>
      <c r="BS57" s="73"/>
      <c r="BT57" s="73"/>
    </row>
    <row r="58" spans="1:77" x14ac:dyDescent="0.25">
      <c r="A58" s="8"/>
      <c r="B58" s="8"/>
      <c r="C58" s="8"/>
      <c r="D58" s="8"/>
      <c r="E58" s="8"/>
      <c r="F58" s="8"/>
      <c r="G58" s="8"/>
      <c r="H58" s="8"/>
      <c r="I58" s="8"/>
      <c r="J58" s="74" t="s">
        <v>36</v>
      </c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4"/>
      <c r="BK58" s="74"/>
      <c r="BL58" s="74"/>
      <c r="BM58" s="74"/>
      <c r="BN58" s="74"/>
      <c r="BO58" s="74"/>
      <c r="BP58" s="74"/>
      <c r="BQ58" s="74"/>
      <c r="BR58" s="74"/>
      <c r="BS58" s="74"/>
      <c r="BT58" s="74"/>
      <c r="BY58" t="s">
        <v>86</v>
      </c>
    </row>
    <row r="59" spans="1:77" x14ac:dyDescent="0.25">
      <c r="A59" s="10" t="s">
        <v>37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9"/>
      <c r="V59" s="28"/>
      <c r="W59" s="35"/>
      <c r="X59" s="29"/>
      <c r="Y59" s="75" t="str">
        <f>U31</f>
        <v xml:space="preserve">ПП2020РД-1.2-61.17-ОВ3.СО изм.  лист </v>
      </c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75"/>
      <c r="AZ59" s="75"/>
      <c r="BA59" s="75"/>
      <c r="BB59" s="75"/>
      <c r="BC59" s="75"/>
      <c r="BD59" s="75"/>
      <c r="BE59" s="75"/>
      <c r="BF59" s="75"/>
      <c r="BG59" s="75"/>
      <c r="BH59" s="75"/>
      <c r="BI59" s="75"/>
      <c r="BJ59" s="75"/>
      <c r="BK59" s="75"/>
      <c r="BL59" s="75"/>
      <c r="BM59" s="75"/>
      <c r="BN59" s="75"/>
      <c r="BO59" s="75"/>
      <c r="BP59" s="75"/>
      <c r="BQ59" s="75"/>
      <c r="BR59" s="75"/>
      <c r="BS59" s="75"/>
      <c r="BT59" s="75"/>
    </row>
    <row r="60" spans="1:77" ht="16.2" customHeight="1" x14ac:dyDescent="0.25">
      <c r="A60" s="8" t="s">
        <v>38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34"/>
      <c r="M60" s="24"/>
      <c r="N60" s="110" t="s">
        <v>112</v>
      </c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  <c r="AL60" s="110"/>
      <c r="AM60" s="110"/>
      <c r="AN60" s="110"/>
      <c r="AO60" s="110"/>
      <c r="AP60" s="110"/>
      <c r="AQ60" s="110"/>
      <c r="AR60" s="110"/>
      <c r="AS60" s="110"/>
      <c r="AT60" s="110"/>
      <c r="AU60" s="110"/>
      <c r="AV60" s="110"/>
      <c r="AW60" s="110"/>
      <c r="AX60" s="110"/>
      <c r="AY60" s="110"/>
      <c r="AZ60" s="110"/>
      <c r="BA60" s="110"/>
      <c r="BB60" s="110"/>
      <c r="BC60" s="110"/>
      <c r="BD60" s="110"/>
      <c r="BE60" s="110"/>
      <c r="BF60" s="110"/>
      <c r="BG60" s="110"/>
      <c r="BH60" s="110"/>
      <c r="BI60" s="110"/>
      <c r="BJ60" s="110"/>
      <c r="BK60" s="110"/>
      <c r="BL60" s="110"/>
      <c r="BM60" s="110"/>
      <c r="BN60" s="110"/>
      <c r="BO60" s="110"/>
      <c r="BP60" s="110"/>
      <c r="BQ60" s="110"/>
      <c r="BR60" s="110"/>
      <c r="BS60" s="110"/>
      <c r="BT60" s="110"/>
      <c r="BY60" t="s">
        <v>87</v>
      </c>
    </row>
    <row r="61" spans="1:77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Y61" t="s">
        <v>88</v>
      </c>
    </row>
    <row r="62" spans="1:77" x14ac:dyDescent="0.25">
      <c r="A62" s="8" t="s">
        <v>39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12"/>
    </row>
    <row r="63" spans="1:77" x14ac:dyDescent="0.25">
      <c r="A63" s="8" t="s">
        <v>12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63" t="str">
        <f>BJ19</f>
        <v>Журавлев Ю.С.</v>
      </c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8"/>
      <c r="AP63" s="8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4"/>
      <c r="BE63" s="64"/>
      <c r="BF63" s="8"/>
      <c r="BG63" s="8"/>
      <c r="BH63" s="65">
        <f>AE17</f>
        <v>45337</v>
      </c>
      <c r="BI63" s="65"/>
      <c r="BJ63" s="65"/>
      <c r="BK63" s="65"/>
      <c r="BL63" s="65"/>
      <c r="BM63" s="65"/>
      <c r="BN63" s="65"/>
      <c r="BO63" s="65"/>
      <c r="BP63" s="65"/>
      <c r="BQ63" s="65"/>
      <c r="BR63" s="65"/>
      <c r="BS63" s="65"/>
      <c r="BT63" s="12"/>
    </row>
    <row r="64" spans="1:77" ht="13.8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66" t="s">
        <v>59</v>
      </c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30"/>
      <c r="AP64" s="30"/>
      <c r="AQ64" s="66" t="s">
        <v>40</v>
      </c>
      <c r="AR64" s="66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6"/>
      <c r="BE64" s="66"/>
      <c r="BF64" s="30"/>
      <c r="BG64" s="30"/>
      <c r="BH64" s="66" t="s">
        <v>41</v>
      </c>
      <c r="BI64" s="66"/>
      <c r="BJ64" s="66"/>
      <c r="BK64" s="66"/>
      <c r="BL64" s="66"/>
      <c r="BM64" s="66"/>
      <c r="BN64" s="66"/>
      <c r="BO64" s="66"/>
      <c r="BP64" s="66"/>
      <c r="BQ64" s="66"/>
      <c r="BR64" s="66"/>
      <c r="BS64" s="66"/>
      <c r="BT64" s="26"/>
    </row>
    <row r="65" spans="1:72" x14ac:dyDescent="0.25">
      <c r="A65" s="8" t="s">
        <v>42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12"/>
    </row>
    <row r="66" spans="1:72" ht="16.8" customHeight="1" x14ac:dyDescent="0.25">
      <c r="A66" s="8" t="s">
        <v>43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63" t="str">
        <f>BJ21</f>
        <v>Халыгов Э. А.</v>
      </c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8"/>
      <c r="AP66" s="8"/>
      <c r="AQ66" s="64"/>
      <c r="AR66" s="64"/>
      <c r="AS66" s="64"/>
      <c r="AT66" s="64"/>
      <c r="AU66" s="64"/>
      <c r="AV66" s="64"/>
      <c r="AW66" s="64"/>
      <c r="AX66" s="64"/>
      <c r="AY66" s="64"/>
      <c r="AZ66" s="64"/>
      <c r="BA66" s="64"/>
      <c r="BB66" s="64"/>
      <c r="BC66" s="64"/>
      <c r="BD66" s="64"/>
      <c r="BE66" s="64"/>
      <c r="BF66" s="8"/>
      <c r="BG66" s="8"/>
      <c r="BH66" s="65">
        <f>BH63</f>
        <v>45337</v>
      </c>
      <c r="BI66" s="65"/>
      <c r="BJ66" s="65"/>
      <c r="BK66" s="65"/>
      <c r="BL66" s="65"/>
      <c r="BM66" s="65"/>
      <c r="BN66" s="65"/>
      <c r="BO66" s="65"/>
      <c r="BP66" s="65"/>
      <c r="BQ66" s="65"/>
      <c r="BR66" s="65"/>
      <c r="BS66" s="65"/>
      <c r="BT66" s="12"/>
    </row>
    <row r="67" spans="1:72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66" t="s">
        <v>59</v>
      </c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30"/>
      <c r="AP67" s="30"/>
      <c r="AQ67" s="66" t="s">
        <v>40</v>
      </c>
      <c r="AR67" s="66"/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66"/>
      <c r="BF67" s="30"/>
      <c r="BG67" s="30"/>
      <c r="BH67" s="66" t="s">
        <v>41</v>
      </c>
      <c r="BI67" s="66"/>
      <c r="BJ67" s="66"/>
      <c r="BK67" s="66"/>
      <c r="BL67" s="66"/>
      <c r="BM67" s="66"/>
      <c r="BN67" s="66"/>
      <c r="BO67" s="66"/>
      <c r="BP67" s="66"/>
      <c r="BQ67" s="66"/>
      <c r="BR67" s="66"/>
      <c r="BS67" s="66"/>
      <c r="BT67" s="12"/>
    </row>
    <row r="68" spans="1:72" x14ac:dyDescent="0.25">
      <c r="A68" s="8" t="s">
        <v>39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12"/>
    </row>
    <row r="69" spans="1:72" x14ac:dyDescent="0.25">
      <c r="A69" s="8" t="s">
        <v>44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0" t="str">
        <f>BJ23</f>
        <v>Тюкин Е.В.</v>
      </c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80"/>
      <c r="AM69" s="80"/>
      <c r="AN69" s="80"/>
      <c r="AO69" s="8"/>
      <c r="AP69" s="8"/>
      <c r="AQ69" s="64"/>
      <c r="AR69" s="64"/>
      <c r="AS69" s="64"/>
      <c r="AT69" s="64"/>
      <c r="AU69" s="64"/>
      <c r="AV69" s="64"/>
      <c r="AW69" s="64"/>
      <c r="AX69" s="64"/>
      <c r="AY69" s="64"/>
      <c r="AZ69" s="64"/>
      <c r="BA69" s="64"/>
      <c r="BB69" s="64"/>
      <c r="BC69" s="64"/>
      <c r="BD69" s="64"/>
      <c r="BE69" s="64"/>
      <c r="BF69" s="8"/>
      <c r="BG69" s="8"/>
      <c r="BH69" s="65">
        <f>BH63</f>
        <v>45337</v>
      </c>
      <c r="BI69" s="65"/>
      <c r="BJ69" s="65"/>
      <c r="BK69" s="65"/>
      <c r="BL69" s="65"/>
      <c r="BM69" s="65"/>
      <c r="BN69" s="65"/>
      <c r="BO69" s="65"/>
      <c r="BP69" s="65"/>
      <c r="BQ69" s="65"/>
      <c r="BR69" s="65"/>
      <c r="BS69" s="65"/>
      <c r="BT69" s="12"/>
    </row>
    <row r="70" spans="1:72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66" t="s">
        <v>59</v>
      </c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30"/>
      <c r="AP70" s="30"/>
      <c r="AQ70" s="66" t="s">
        <v>40</v>
      </c>
      <c r="AR70" s="66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66"/>
      <c r="BF70" s="30"/>
      <c r="BG70" s="30"/>
      <c r="BH70" s="66" t="s">
        <v>41</v>
      </c>
      <c r="BI70" s="66"/>
      <c r="BJ70" s="66"/>
      <c r="BK70" s="66"/>
      <c r="BL70" s="66"/>
      <c r="BM70" s="66"/>
      <c r="BN70" s="66"/>
      <c r="BO70" s="66"/>
      <c r="BP70" s="66"/>
      <c r="BQ70" s="66"/>
      <c r="BR70" s="66"/>
      <c r="BS70" s="66"/>
      <c r="BT70" s="12"/>
    </row>
    <row r="71" spans="1:72" x14ac:dyDescent="0.25">
      <c r="A71" s="13"/>
      <c r="B71" s="13"/>
      <c r="C71" s="13"/>
      <c r="D71" s="7"/>
      <c r="E71" s="7"/>
      <c r="F71" s="7"/>
      <c r="G71" s="7"/>
      <c r="H71" s="7"/>
      <c r="I71" s="7"/>
      <c r="J71" s="7"/>
      <c r="K71" s="7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12"/>
    </row>
    <row r="72" spans="1:72" x14ac:dyDescent="0.25">
      <c r="A72" s="76" t="s">
        <v>107</v>
      </c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13"/>
      <c r="AN72" s="13"/>
      <c r="AO72" s="8"/>
      <c r="AP72" s="8"/>
      <c r="AQ72" s="77"/>
      <c r="AR72" s="77"/>
      <c r="AS72" s="77"/>
      <c r="AT72" s="77"/>
      <c r="AU72" s="77"/>
      <c r="AV72" s="77"/>
      <c r="AW72" s="77"/>
      <c r="AX72" s="77"/>
      <c r="AY72" s="77"/>
      <c r="AZ72" s="77"/>
      <c r="BA72" s="77"/>
      <c r="BB72" s="77"/>
      <c r="BC72" s="77"/>
      <c r="BD72" s="77"/>
      <c r="BE72" s="77"/>
      <c r="BF72" s="8"/>
      <c r="BG72" s="8"/>
      <c r="BH72" s="78"/>
      <c r="BI72" s="78"/>
      <c r="BJ72" s="78"/>
      <c r="BK72" s="78"/>
      <c r="BL72" s="78"/>
      <c r="BM72" s="78"/>
      <c r="BN72" s="78"/>
      <c r="BO72" s="78"/>
      <c r="BP72" s="78"/>
      <c r="BQ72" s="78"/>
      <c r="BR72" s="78"/>
      <c r="BS72" s="78"/>
      <c r="BT72" s="12"/>
    </row>
    <row r="73" spans="1:72" x14ac:dyDescent="0.25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10"/>
      <c r="AN73" s="10"/>
      <c r="AO73" s="8"/>
      <c r="AP73" s="8"/>
      <c r="AQ73" s="79"/>
      <c r="AR73" s="79"/>
      <c r="AS73" s="79"/>
      <c r="AT73" s="79"/>
      <c r="AU73" s="79"/>
      <c r="AV73" s="79"/>
      <c r="AW73" s="79"/>
      <c r="AX73" s="79"/>
      <c r="AY73" s="79"/>
      <c r="AZ73" s="79"/>
      <c r="BA73" s="79"/>
      <c r="BB73" s="79"/>
      <c r="BC73" s="79"/>
      <c r="BD73" s="79"/>
      <c r="BE73" s="79"/>
      <c r="BF73" s="8"/>
      <c r="BG73" s="8"/>
      <c r="BH73" s="79"/>
      <c r="BI73" s="79"/>
      <c r="BJ73" s="79"/>
      <c r="BK73" s="79"/>
      <c r="BL73" s="79"/>
      <c r="BM73" s="79"/>
      <c r="BN73" s="79"/>
      <c r="BO73" s="79"/>
      <c r="BP73" s="79"/>
      <c r="BQ73" s="79"/>
      <c r="BR73" s="79"/>
      <c r="BS73" s="79"/>
      <c r="BT73" s="12"/>
    </row>
    <row r="74" spans="1:72" x14ac:dyDescent="0.25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12"/>
    </row>
  </sheetData>
  <mergeCells count="86">
    <mergeCell ref="X70:AN70"/>
    <mergeCell ref="AQ70:BE70"/>
    <mergeCell ref="BH70:BS70"/>
    <mergeCell ref="A72:AL74"/>
    <mergeCell ref="AQ72:BE72"/>
    <mergeCell ref="BH72:BS72"/>
    <mergeCell ref="AQ73:BE73"/>
    <mergeCell ref="BH73:BS73"/>
    <mergeCell ref="X67:AN67"/>
    <mergeCell ref="AQ67:BE67"/>
    <mergeCell ref="BH67:BS67"/>
    <mergeCell ref="X69:AN69"/>
    <mergeCell ref="AQ69:BE69"/>
    <mergeCell ref="BH69:BS69"/>
    <mergeCell ref="N60:BT60"/>
    <mergeCell ref="X64:AN64"/>
    <mergeCell ref="AQ64:BE64"/>
    <mergeCell ref="BH64:BS64"/>
    <mergeCell ref="X66:AN66"/>
    <mergeCell ref="AQ66:BE66"/>
    <mergeCell ref="BH66:BS66"/>
    <mergeCell ref="AJ49:AS49"/>
    <mergeCell ref="AT49:BT49"/>
    <mergeCell ref="D44:BT44"/>
    <mergeCell ref="D45:BT45"/>
    <mergeCell ref="X63:AN63"/>
    <mergeCell ref="AQ63:BE63"/>
    <mergeCell ref="BH63:BS63"/>
    <mergeCell ref="Q50:BT50"/>
    <mergeCell ref="AA51:BT51"/>
    <mergeCell ref="A52:BT52"/>
    <mergeCell ref="A53:BT53"/>
    <mergeCell ref="A54:BT54"/>
    <mergeCell ref="V55:BT55"/>
    <mergeCell ref="AD57:BT57"/>
    <mergeCell ref="J58:BT58"/>
    <mergeCell ref="Y59:BT59"/>
    <mergeCell ref="A41:BT41"/>
    <mergeCell ref="D43:BT43"/>
    <mergeCell ref="D46:BT46"/>
    <mergeCell ref="Y47:BT47"/>
    <mergeCell ref="Y48:BT48"/>
    <mergeCell ref="BY25:CE26"/>
    <mergeCell ref="E26:BT26"/>
    <mergeCell ref="A27:BT27"/>
    <mergeCell ref="D42:BT42"/>
    <mergeCell ref="A30:BT30"/>
    <mergeCell ref="U31:BT31"/>
    <mergeCell ref="P32:BT32"/>
    <mergeCell ref="U33:BT33"/>
    <mergeCell ref="A34:BT34"/>
    <mergeCell ref="AK35:BT35"/>
    <mergeCell ref="AK36:BT36"/>
    <mergeCell ref="A37:BT37"/>
    <mergeCell ref="BY33:CE41"/>
    <mergeCell ref="A38:BT38"/>
    <mergeCell ref="A39:BT39"/>
    <mergeCell ref="A40:BT40"/>
    <mergeCell ref="A28:BT28"/>
    <mergeCell ref="A29:BT29"/>
    <mergeCell ref="T20:BJ20"/>
    <mergeCell ref="S21:BI21"/>
    <mergeCell ref="BJ21:BT21"/>
    <mergeCell ref="T22:BJ22"/>
    <mergeCell ref="S23:BI23"/>
    <mergeCell ref="BJ23:BT23"/>
    <mergeCell ref="T24:BJ24"/>
    <mergeCell ref="O25:BP25"/>
    <mergeCell ref="S19:BI19"/>
    <mergeCell ref="BJ19:BT19"/>
    <mergeCell ref="AH6:BT7"/>
    <mergeCell ref="G7:H7"/>
    <mergeCell ref="I7:O7"/>
    <mergeCell ref="AF9:AW9"/>
    <mergeCell ref="A10:BT10"/>
    <mergeCell ref="A12:BT12"/>
    <mergeCell ref="A13:BT13"/>
    <mergeCell ref="A14:BT14"/>
    <mergeCell ref="A16:BT16"/>
    <mergeCell ref="AE17:AT17"/>
    <mergeCell ref="A3:E3"/>
    <mergeCell ref="F3:H3"/>
    <mergeCell ref="I3:K3"/>
    <mergeCell ref="A6:E6"/>
    <mergeCell ref="F6:H6"/>
    <mergeCell ref="I6:K6"/>
  </mergeCells>
  <dataValidations count="4">
    <dataValidation type="list" showInputMessage="1" showErrorMessage="1" sqref="G7:H7" xr:uid="{00000000-0002-0000-0600-000000000000}">
      <formula1>"1,2"</formula1>
    </dataValidation>
    <dataValidation type="list" allowBlank="1" showInputMessage="1" showErrorMessage="1" sqref="F6:H6 F3:H3" xr:uid="{00000000-0002-0000-0600-000001000000}">
      <formula1>"I.I,I.II,II,III,IV,V,V.I,V.II"</formula1>
    </dataValidation>
    <dataValidation type="list" allowBlank="1" showInputMessage="1" showErrorMessage="1" sqref="N25" xr:uid="{00000000-0002-0000-0600-000002000000}">
      <formula1>"выборочный,сплошной"</formula1>
    </dataValidation>
    <dataValidation type="list" errorStyle="information" allowBlank="1" showInputMessage="1" sqref="O25:BP25" xr:uid="{00000000-0002-0000-0600-000003000000}">
      <formula1>"выборочный,сплошной"</formula1>
    </dataValidation>
  </dataValidations>
  <pageMargins left="0.70866141732283472" right="0.19685039370078741" top="0.39370078740157483" bottom="0.39370078740157483" header="0.19685039370078741" footer="0.19685039370078741"/>
  <pageSetup paperSize="9" scale="87" fitToHeight="0" orientation="portrait" blackAndWhite="1" r:id="rId1"/>
  <rowBreaks count="2" manualBreakCount="2">
    <brk id="56" max="71" man="1"/>
    <brk id="74" max="7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errorStyle="warning" allowBlank="1" showInputMessage="1" showErrorMessage="1" xr:uid="{00000000-0002-0000-0600-000004000000}">
          <x14:formula1>
            <xm:f>'Лист общих данных'!$B$6:$B$12</xm:f>
          </x14:formula1>
          <xm:sqref>S33:U33</xm:sqref>
        </x14:dataValidation>
        <x14:dataValidation type="list" errorStyle="information" allowBlank="1" showInputMessage="1" xr:uid="{00000000-0002-0000-0600-000005000000}">
          <x14:formula1>
            <xm:f>'Лист общих данных'!$C$6:$C$12</xm:f>
          </x14:formula1>
          <xm:sqref>T31:U31</xm:sqref>
        </x14:dataValidation>
        <x14:dataValidation type="list" allowBlank="1" showInputMessage="1" showErrorMessage="1" xr:uid="{00000000-0002-0000-0600-000006000000}">
          <x14:formula1>
            <xm:f>подписанты!$B$3:$B$4</xm:f>
          </x14:formula1>
          <xm:sqref>BJ19:BT19</xm:sqref>
        </x14:dataValidation>
        <x14:dataValidation type="list" allowBlank="1" showInputMessage="1" showErrorMessage="1" xr:uid="{00000000-0002-0000-0600-000007000000}">
          <x14:formula1>
            <xm:f>подписанты!$B$5:$B$7</xm:f>
          </x14:formula1>
          <xm:sqref>BJ21:BT21</xm:sqref>
        </x14:dataValidation>
        <x14:dataValidation type="list" allowBlank="1" showInputMessage="1" showErrorMessage="1" xr:uid="{00000000-0002-0000-0600-000008000000}">
          <x14:formula1>
            <xm:f>подписанты!$B$8:$B$9</xm:f>
          </x14:formula1>
          <xm:sqref>BJ23:BT23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F12"/>
  <sheetViews>
    <sheetView topLeftCell="B1" workbookViewId="0">
      <selection activeCell="C11" sqref="C11"/>
    </sheetView>
  </sheetViews>
  <sheetFormatPr defaultRowHeight="13.8" x14ac:dyDescent="0.25"/>
  <cols>
    <col min="1" max="1" width="27.109375" style="36" customWidth="1"/>
    <col min="2" max="2" width="21.6640625" style="36" customWidth="1"/>
    <col min="3" max="3" width="49.77734375" style="36" customWidth="1"/>
    <col min="4" max="5" width="10.109375" style="36" customWidth="1"/>
    <col min="6" max="6" width="44.77734375" style="36" customWidth="1"/>
    <col min="7" max="16384" width="8.88671875" style="36"/>
  </cols>
  <sheetData>
    <row r="2" spans="1:6" ht="29.4" customHeight="1" x14ac:dyDescent="0.25">
      <c r="A2" s="42" t="s">
        <v>10</v>
      </c>
      <c r="B2" s="43" t="s">
        <v>76</v>
      </c>
      <c r="C2" s="43" t="s">
        <v>75</v>
      </c>
      <c r="D2" s="41" t="s">
        <v>73</v>
      </c>
      <c r="E2" s="41" t="s">
        <v>74</v>
      </c>
    </row>
    <row r="3" spans="1:6" x14ac:dyDescent="0.25">
      <c r="A3" s="37" t="s">
        <v>12</v>
      </c>
      <c r="B3" s="36" t="s">
        <v>63</v>
      </c>
      <c r="C3" s="45" t="s">
        <v>64</v>
      </c>
      <c r="D3" s="39">
        <v>44927</v>
      </c>
      <c r="E3" s="39">
        <v>45337</v>
      </c>
    </row>
    <row r="4" spans="1:6" x14ac:dyDescent="0.25">
      <c r="A4" s="37" t="s">
        <v>12</v>
      </c>
      <c r="B4" s="36" t="s">
        <v>77</v>
      </c>
      <c r="C4" s="45" t="s">
        <v>78</v>
      </c>
      <c r="D4" s="39">
        <v>45337</v>
      </c>
      <c r="E4" s="39">
        <v>45657</v>
      </c>
    </row>
    <row r="5" spans="1:6" x14ac:dyDescent="0.25">
      <c r="A5" s="37" t="s">
        <v>14</v>
      </c>
      <c r="B5" s="36" t="s">
        <v>68</v>
      </c>
      <c r="C5" s="38" t="s">
        <v>67</v>
      </c>
      <c r="D5" s="39">
        <v>45166</v>
      </c>
      <c r="E5" s="39">
        <v>45657</v>
      </c>
    </row>
    <row r="6" spans="1:6" x14ac:dyDescent="0.25">
      <c r="A6" s="37" t="s">
        <v>14</v>
      </c>
      <c r="B6" s="36" t="s">
        <v>79</v>
      </c>
      <c r="C6" s="59" t="s">
        <v>108</v>
      </c>
      <c r="D6" s="39">
        <v>44927</v>
      </c>
      <c r="E6" s="39">
        <v>45166</v>
      </c>
    </row>
    <row r="7" spans="1:6" ht="27.6" x14ac:dyDescent="0.25">
      <c r="A7" s="37" t="s">
        <v>14</v>
      </c>
      <c r="B7" s="48" t="s">
        <v>92</v>
      </c>
      <c r="C7" s="38" t="s">
        <v>67</v>
      </c>
      <c r="D7" s="39">
        <v>45278</v>
      </c>
      <c r="E7" s="39">
        <v>45342</v>
      </c>
      <c r="F7" s="47" t="s">
        <v>93</v>
      </c>
    </row>
    <row r="8" spans="1:6" ht="55.2" x14ac:dyDescent="0.25">
      <c r="A8" s="49" t="s">
        <v>15</v>
      </c>
      <c r="B8" s="50" t="s">
        <v>66</v>
      </c>
      <c r="C8" s="51" t="s">
        <v>65</v>
      </c>
      <c r="D8" s="52">
        <v>44927</v>
      </c>
      <c r="E8" s="52">
        <v>45657</v>
      </c>
    </row>
    <row r="9" spans="1:6" ht="55.2" x14ac:dyDescent="0.25">
      <c r="A9" s="40" t="s">
        <v>15</v>
      </c>
      <c r="B9" s="36" t="s">
        <v>91</v>
      </c>
      <c r="C9" s="46" t="s">
        <v>90</v>
      </c>
      <c r="F9" s="53" t="s">
        <v>94</v>
      </c>
    </row>
    <row r="11" spans="1:6" x14ac:dyDescent="0.25">
      <c r="A11" s="37"/>
      <c r="B11" s="53" t="s">
        <v>109</v>
      </c>
      <c r="C11" s="45" t="s">
        <v>78</v>
      </c>
    </row>
    <row r="12" spans="1:6" x14ac:dyDescent="0.25">
      <c r="A12" s="3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5:D12"/>
  <sheetViews>
    <sheetView workbookViewId="0">
      <selection activeCell="D6" sqref="D6"/>
    </sheetView>
  </sheetViews>
  <sheetFormatPr defaultColWidth="9.109375" defaultRowHeight="13.8" x14ac:dyDescent="0.25"/>
  <cols>
    <col min="1" max="1" width="9.109375" style="1"/>
    <col min="2" max="2" width="47" style="1" customWidth="1"/>
    <col min="3" max="3" width="28.44140625" style="1" customWidth="1"/>
    <col min="4" max="4" width="17.5546875" style="1" customWidth="1"/>
    <col min="5" max="16384" width="9.109375" style="1"/>
  </cols>
  <sheetData>
    <row r="5" spans="1:4" x14ac:dyDescent="0.25">
      <c r="A5" s="2" t="s">
        <v>98</v>
      </c>
      <c r="B5" s="2" t="s">
        <v>48</v>
      </c>
      <c r="C5" s="2" t="s">
        <v>49</v>
      </c>
      <c r="D5" s="2" t="s">
        <v>106</v>
      </c>
    </row>
    <row r="6" spans="1:4" ht="27.6" x14ac:dyDescent="0.25">
      <c r="A6" s="6" t="s">
        <v>95</v>
      </c>
      <c r="B6" s="3" t="s">
        <v>50</v>
      </c>
      <c r="C6" s="5" t="s">
        <v>99</v>
      </c>
    </row>
    <row r="7" spans="1:4" x14ac:dyDescent="0.25">
      <c r="A7" s="6" t="s">
        <v>96</v>
      </c>
      <c r="B7" s="3" t="s">
        <v>51</v>
      </c>
      <c r="C7" s="1" t="s">
        <v>100</v>
      </c>
    </row>
    <row r="8" spans="1:4" x14ac:dyDescent="0.25">
      <c r="A8" s="6" t="s">
        <v>97</v>
      </c>
      <c r="B8" s="3" t="s">
        <v>52</v>
      </c>
      <c r="C8" s="1" t="s">
        <v>101</v>
      </c>
    </row>
    <row r="9" spans="1:4" x14ac:dyDescent="0.25">
      <c r="A9" s="6">
        <v>56</v>
      </c>
      <c r="B9" s="3" t="s">
        <v>53</v>
      </c>
      <c r="C9" s="1" t="s">
        <v>102</v>
      </c>
    </row>
    <row r="10" spans="1:4" ht="27.6" x14ac:dyDescent="0.25">
      <c r="A10" s="6">
        <v>57</v>
      </c>
      <c r="B10" s="3" t="s">
        <v>54</v>
      </c>
      <c r="C10" s="4" t="s">
        <v>103</v>
      </c>
    </row>
    <row r="11" spans="1:4" ht="27.6" x14ac:dyDescent="0.25">
      <c r="A11" s="6">
        <v>110</v>
      </c>
      <c r="B11" s="3" t="s">
        <v>55</v>
      </c>
      <c r="C11" s="6" t="s">
        <v>104</v>
      </c>
    </row>
    <row r="12" spans="1:4" ht="27.6" x14ac:dyDescent="0.25">
      <c r="A12" s="6">
        <v>111</v>
      </c>
      <c r="B12" s="3" t="s">
        <v>56</v>
      </c>
      <c r="C12" s="6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123р труба ппр, фитинги</vt:lpstr>
      <vt:lpstr>126р</vt:lpstr>
      <vt:lpstr>подписанты</vt:lpstr>
      <vt:lpstr>Лист общих данных</vt:lpstr>
      <vt:lpstr>'123р труба ппр, фитинги'!Область_печати</vt:lpstr>
      <vt:lpstr>'126р'!Область_печати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sasha</cp:lastModifiedBy>
  <cp:lastPrinted>2026-02-25T14:25:11Z</cp:lastPrinted>
  <dcterms:created xsi:type="dcterms:W3CDTF">2023-09-19T09:44:50Z</dcterms:created>
  <dcterms:modified xsi:type="dcterms:W3CDTF">2026-02-25T14:49:43Z</dcterms:modified>
</cp:coreProperties>
</file>