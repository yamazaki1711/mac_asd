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Стажеры\Вита\ОВ3\61.17\"/>
    </mc:Choice>
  </mc:AlternateContent>
  <xr:revisionPtr revIDLastSave="0" documentId="13_ncr:1_{8A34EAE0-B944-464A-8CDE-F723C40BA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0р медная труба, мкэш, теплои" sheetId="20" r:id="rId1"/>
    <sheet name="121р рефнет" sheetId="18" r:id="rId2"/>
    <sheet name="122р фреон" sheetId="22" r:id="rId3"/>
    <sheet name="121р помпа, сифон, нагреватель" sheetId="23" r:id="rId4"/>
    <sheet name="123р труба ппр, фитинги" sheetId="24" r:id="rId5"/>
    <sheet name="125р труба капиялрная" sheetId="25" r:id="rId6"/>
    <sheet name="126р" sheetId="26" r:id="rId7"/>
    <sheet name="127р изоляция" sheetId="27" r:id="rId8"/>
    <sheet name="128р крепежные элементы" sheetId="28" r:id="rId9"/>
    <sheet name="подписанты" sheetId="8" r:id="rId10"/>
    <sheet name="Лист общих данных" sheetId="2" r:id="rId11"/>
  </sheets>
  <definedNames>
    <definedName name="_xlnm.Print_Area" localSheetId="0">'120р медная труба, мкэш, теплои'!$A$1:$BT$101</definedName>
    <definedName name="_xlnm.Print_Area" localSheetId="3">'121р помпа, сифон, нагреватель'!$A$1:$BT$73</definedName>
    <definedName name="_xlnm.Print_Area" localSheetId="1">'121р рефнет'!$A$1:$BT$60</definedName>
    <definedName name="_xlnm.Print_Area" localSheetId="2">'122р фреон'!$A$1:$BT$62</definedName>
    <definedName name="_xlnm.Print_Area" localSheetId="4">'123р труба ппр, фитинги'!$A$1:$BT$78</definedName>
    <definedName name="_xlnm.Print_Area" localSheetId="5">'125р труба капиялрная'!$A$1:$BT$66</definedName>
    <definedName name="_xlnm.Print_Area" localSheetId="6">'126р'!$A$1:$BT$73</definedName>
    <definedName name="_xlnm.Print_Area" localSheetId="7">'127р изоляция'!$A$1:$BT$81</definedName>
    <definedName name="_xlnm.Print_Area" localSheetId="8">'128р крепежные элементы'!$A$1:$BT$67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0" i="20" l="1"/>
  <c r="A52" i="23"/>
  <c r="A77" i="20"/>
  <c r="A60" i="20"/>
  <c r="A61" i="20"/>
  <c r="A62" i="20"/>
  <c r="A78" i="20"/>
  <c r="A79" i="20"/>
  <c r="A58" i="20"/>
  <c r="A63" i="27"/>
  <c r="A62" i="27"/>
  <c r="A61" i="27"/>
  <c r="A60" i="27"/>
  <c r="A59" i="27"/>
  <c r="A58" i="27"/>
  <c r="D48" i="27"/>
  <c r="D47" i="27"/>
  <c r="A48" i="28" l="1"/>
  <c r="A46" i="28"/>
  <c r="A47" i="28"/>
  <c r="A45" i="28"/>
  <c r="AA44" i="28"/>
  <c r="X64" i="28"/>
  <c r="X61" i="28"/>
  <c r="BH58" i="28"/>
  <c r="BH64" i="28" s="1"/>
  <c r="X58" i="28"/>
  <c r="Y53" i="28"/>
  <c r="Q43" i="28"/>
  <c r="D38" i="28"/>
  <c r="S20" i="28"/>
  <c r="S18" i="28"/>
  <c r="S16" i="28"/>
  <c r="BW14" i="28"/>
  <c r="X78" i="27"/>
  <c r="X75" i="27"/>
  <c r="BH72" i="27"/>
  <c r="BH78" i="27" s="1"/>
  <c r="X72" i="27"/>
  <c r="Y68" i="27"/>
  <c r="A57" i="27"/>
  <c r="A56" i="27"/>
  <c r="A55" i="27"/>
  <c r="AA54" i="27"/>
  <c r="Q53" i="27"/>
  <c r="D46" i="27"/>
  <c r="S21" i="27"/>
  <c r="S19" i="27"/>
  <c r="S17" i="27"/>
  <c r="BW15" i="27"/>
  <c r="BH61" i="28" l="1"/>
  <c r="BH75" i="27"/>
  <c r="A47" i="25"/>
  <c r="A46" i="25"/>
  <c r="AA45" i="25"/>
  <c r="D44" i="23" l="1"/>
  <c r="D43" i="23"/>
  <c r="D42" i="23"/>
  <c r="A59" i="24"/>
  <c r="A59" i="20" l="1"/>
  <c r="A57" i="20"/>
  <c r="A76" i="20" l="1"/>
  <c r="D44" i="26" l="1"/>
  <c r="D45" i="26"/>
  <c r="D46" i="26"/>
  <c r="D43" i="26"/>
  <c r="X70" i="26"/>
  <c r="X67" i="26"/>
  <c r="BH64" i="26"/>
  <c r="BH67" i="26" s="1"/>
  <c r="X64" i="26"/>
  <c r="Y60" i="26"/>
  <c r="A55" i="26"/>
  <c r="A54" i="26"/>
  <c r="A53" i="26"/>
  <c r="AA52" i="26"/>
  <c r="Q51" i="26"/>
  <c r="S23" i="26"/>
  <c r="S21" i="26"/>
  <c r="S19" i="26"/>
  <c r="BW17" i="26"/>
  <c r="X63" i="25"/>
  <c r="X60" i="25"/>
  <c r="BH57" i="25"/>
  <c r="BH60" i="25" s="1"/>
  <c r="X57" i="25"/>
  <c r="Y52" i="25"/>
  <c r="Q44" i="25"/>
  <c r="D39" i="25"/>
  <c r="D38" i="25"/>
  <c r="S21" i="25"/>
  <c r="S19" i="25"/>
  <c r="S17" i="25"/>
  <c r="BW15" i="25"/>
  <c r="A43" i="18"/>
  <c r="BH70" i="26" l="1"/>
  <c r="BH63" i="25"/>
  <c r="A72" i="20"/>
  <c r="A73" i="20"/>
  <c r="A58" i="24"/>
  <c r="D47" i="24"/>
  <c r="D48" i="24"/>
  <c r="D49" i="24"/>
  <c r="D50" i="24"/>
  <c r="X74" i="24"/>
  <c r="X71" i="24"/>
  <c r="BH68" i="24"/>
  <c r="BH71" i="24" s="1"/>
  <c r="X68" i="24"/>
  <c r="Y64" i="24"/>
  <c r="A57" i="24"/>
  <c r="AA56" i="24"/>
  <c r="Q55" i="24"/>
  <c r="D46" i="24"/>
  <c r="S25" i="24"/>
  <c r="S23" i="24"/>
  <c r="S21" i="24"/>
  <c r="BW19" i="24"/>
  <c r="A53" i="23"/>
  <c r="X69" i="23"/>
  <c r="X66" i="23"/>
  <c r="BH63" i="23"/>
  <c r="BH69" i="23" s="1"/>
  <c r="X63" i="23"/>
  <c r="Y58" i="23"/>
  <c r="A51" i="23"/>
  <c r="AA50" i="23"/>
  <c r="Q49" i="23"/>
  <c r="S23" i="23"/>
  <c r="S21" i="23"/>
  <c r="S19" i="23"/>
  <c r="BW17" i="23"/>
  <c r="BH74" i="24" l="1"/>
  <c r="BH66" i="23"/>
  <c r="X58" i="22"/>
  <c r="X55" i="22"/>
  <c r="BH52" i="22"/>
  <c r="BH58" i="22" s="1"/>
  <c r="X52" i="22"/>
  <c r="Y48" i="22"/>
  <c r="A43" i="22"/>
  <c r="AA42" i="22"/>
  <c r="Q41" i="22"/>
  <c r="D36" i="22"/>
  <c r="S21" i="22"/>
  <c r="S19" i="22"/>
  <c r="S17" i="22"/>
  <c r="BW15" i="22"/>
  <c r="A75" i="20"/>
  <c r="X97" i="20"/>
  <c r="X94" i="20"/>
  <c r="BH91" i="20"/>
  <c r="BH97" i="20" s="1"/>
  <c r="X91" i="20"/>
  <c r="Y85" i="20"/>
  <c r="A74" i="20"/>
  <c r="AA71" i="20"/>
  <c r="Q70" i="20"/>
  <c r="D56" i="20"/>
  <c r="S27" i="20"/>
  <c r="S25" i="20"/>
  <c r="S23" i="20"/>
  <c r="BW21" i="20"/>
  <c r="BH55" i="22" l="1"/>
  <c r="BH94" i="20"/>
  <c r="S17" i="18"/>
  <c r="D36" i="18" l="1"/>
  <c r="AA42" i="18"/>
  <c r="Q41" i="18" l="1"/>
  <c r="BW15" i="18" l="1"/>
  <c r="S21" i="18" l="1"/>
  <c r="S19" i="18"/>
  <c r="X57" i="18" l="1"/>
  <c r="X54" i="18"/>
  <c r="BH51" i="18"/>
  <c r="BH57" i="18" s="1"/>
  <c r="X51" i="18"/>
  <c r="Y48" i="18"/>
  <c r="BH54" i="18" l="1"/>
</calcChain>
</file>

<file path=xl/sharedStrings.xml><?xml version="1.0" encoding="utf-8"?>
<sst xmlns="http://schemas.openxmlformats.org/spreadsheetml/2006/main" count="933" uniqueCount="237">
  <si>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</si>
  <si>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</si>
  <si>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</si>
  <si>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</si>
  <si>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</si>
  <si>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</si>
  <si>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</si>
  <si>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</si>
  <si>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</si>
  <si>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</si>
  <si>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</si>
  <si>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</si>
  <si>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</si>
  <si>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</si>
  <si>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</si>
  <si>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</si>
  <si>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</si>
  <si>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</si>
  <si>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</si>
  <si>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</si>
  <si>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</si>
  <si>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</si>
  <si>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</si>
  <si>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</si>
  <si>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</si>
  <si>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</si>
  <si>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</si>
  <si>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</si>
  <si>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</si>
  <si>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</si>
  <si>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</si>
  <si>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</si>
  <si>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</si>
  <si>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</si>
  <si>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</si>
  <si>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</si>
  <si>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</si>
  <si>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</si>
  <si>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</si>
  <si>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</si>
  <si>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</si>
  <si>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</si>
  <si>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</si>
  <si>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</si>
  <si>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</si>
  <si>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</si>
  <si>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</si>
  <si>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</si>
  <si>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</si>
  <si>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</si>
  <si>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</si>
  <si>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</si>
  <si>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</si>
  <si>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</si>
  <si>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</si>
  <si>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</si>
  <si>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</si>
  <si>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</si>
  <si>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</si>
  <si>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</si>
  <si>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</si>
  <si>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</si>
  <si>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</si>
  <si>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</si>
  <si>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</si>
  <si>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</si>
  <si>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</si>
  <si>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</si>
  <si>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</si>
  <si>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</si>
  <si>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</si>
  <si>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</si>
  <si>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</si>
  <si>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</si>
  <si>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</si>
  <si>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</si>
  <si>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</si>
  <si>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</si>
  <si>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</si>
  <si>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</si>
  <si>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</si>
  <si>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</si>
  <si>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</si>
  <si>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</si>
  <si>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</si>
  <si>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</si>
  <si>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</si>
  <si>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</si>
  <si>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</si>
  <si>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</si>
  <si>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</si>
  <si>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</si>
  <si>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</si>
  <si>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</si>
  <si>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</si>
  <si>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</si>
  <si>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</si>
  <si>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</si>
  <si>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</si>
  <si>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</si>
  <si>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</si>
  <si>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</si>
  <si>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</si>
  <si>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</si>
  <si>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</si>
  <si>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</si>
  <si>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</si>
  <si>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</si>
  <si>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</si>
  <si>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Ведущий инженер отдела технического надзора АО «Газстройпроект»</t>
  </si>
  <si>
    <t>Тишаков ? ?</t>
  </si>
  <si>
    <t>Фреон R410A</t>
  </si>
  <si>
    <t xml:space="preserve">паспорт безопасности материала б/н от 11.10.2023, сертификат </t>
  </si>
  <si>
    <t>Фреон R410A - 5 кг</t>
  </si>
  <si>
    <t>н/п</t>
  </si>
  <si>
    <t>соответствия №РОСС RU.32001.04ИБФ1.ОСП18.28370 с 20.01.2023 по 19.01.2026</t>
  </si>
  <si>
    <t>АИР 1.2-61.17-ОВ3/120р</t>
  </si>
  <si>
    <t>АИР 1.2-61.17-ОВ3/121р</t>
  </si>
  <si>
    <t>АИР 1.2-61.17-ОВ3/123р</t>
  </si>
  <si>
    <t>ПП2020РД-1.2-61.17-ОВ3.СО изм. 1 лист 3</t>
  </si>
  <si>
    <t>Ø20, Ø25, Ø32</t>
  </si>
  <si>
    <t>Дренажная помпа Siccom Eco Flowatch</t>
  </si>
  <si>
    <t>АИР 1.2-61.17-ОВ3/122р</t>
  </si>
  <si>
    <t xml:space="preserve">ПП2020РД-1.2-61.17-ОВ3.СО изм.  лист </t>
  </si>
  <si>
    <t>АИР 1.2-61.17-ОВ3/125р</t>
  </si>
  <si>
    <t>Ø16</t>
  </si>
  <si>
    <t>Сертификат соответствия №ЕАЭС RU C-RU.ПБ68.В.00559/21 с 04.10.2021 по 15.03.2026;</t>
  </si>
  <si>
    <t>АИР 1.2-61.17-ОВ3/126р</t>
  </si>
  <si>
    <t>Резиновая манжета 32/50</t>
  </si>
  <si>
    <t>Резиновая манжета 40/50</t>
  </si>
  <si>
    <t>Комперссионное соединение 110/50</t>
  </si>
  <si>
    <t>Самоуплотняющийся фитинг</t>
  </si>
  <si>
    <t>Резиновая манжета 32/50 -  шт.,</t>
  </si>
  <si>
    <t>Резиновая манжета 40/50 -  шт.,</t>
  </si>
  <si>
    <t>Комперссионное соединение 110/50 -  шт.</t>
  </si>
  <si>
    <t>Самоуплотняющийся фитинг -  шт.</t>
  </si>
  <si>
    <t>ГОСТ 17375-2001, ТР ТС 032/2013, ГОСТ 32415-2013, ТУ 2248-001-16965449-2016</t>
  </si>
  <si>
    <t>Рефнет-разветвитель универсальный Y1 -  компл.</t>
  </si>
  <si>
    <t>Рефнет</t>
  </si>
  <si>
    <t>Паспорт изделия № 1632-15 от 23.10.2023;</t>
  </si>
  <si>
    <t>Сертификат соответствия № РОСС CN.НЕ06.Н04240 с 23.03.2023 по 22.03.2026</t>
  </si>
  <si>
    <t>ГОСТ 32590-2013; ГОСТ Р 52922-2008</t>
  </si>
  <si>
    <t>Отвод: Ø20, Ø25</t>
  </si>
  <si>
    <t>Тройник: Ø20x20x20, Ø25x25x25, Ø32x32x32</t>
  </si>
  <si>
    <t>Тройник переходной Ø32x20x32</t>
  </si>
  <si>
    <t>Муфта переходная: Ø32x25, Ø32x20, Ø25x20</t>
  </si>
  <si>
    <t>Угольник: Ø20 - 20 шт., Ø25 - 8 шт.,</t>
  </si>
  <si>
    <t>Тройник: Ø20x20x20 - 3 шт., Ø25x25x25 - 2 шт., Ø32x32x32 - 2 шт.,</t>
  </si>
  <si>
    <t>Тройник переходной Ø32x20x32 - 4 шт.,</t>
  </si>
  <si>
    <t>Муфта переходная: Ø32x25 - 2 шт., Ø32x20 - 2 шт., Ø25x20 - 2 шт.</t>
  </si>
  <si>
    <t>Труба PP-R SDR11: Ø20 - 30 м, Ø25 - 12 м, Ø32 - 30 м,</t>
  </si>
  <si>
    <t>Труба PP-R SDR11: Ø20, Ø25, Ø32</t>
  </si>
  <si>
    <t>Паспорт, техническое описание и инструкция по эксплуатации</t>
  </si>
  <si>
    <t>б/н от 24.11.2023, Свидетельство о государственной регистрации № RU.23.KK.08.013.E.000022.01.17 от 23.01.2017,</t>
  </si>
  <si>
    <t>Информационное письмо Исх. № б/н от 19.05.2023, Паспорт, техническое описание и инструкция по эксплуатации б/н</t>
  </si>
  <si>
    <t>от 26.10.2023, Сертификат соответствия № какой из?</t>
  </si>
  <si>
    <t>ГОСТ 32415-2013, ТУ 2248-001-16965449-2016</t>
  </si>
  <si>
    <t>Труба капиллярная Ø6 в гофрированной трубе (дренажный трубозавод):</t>
  </si>
  <si>
    <t xml:space="preserve">Труба ПВХ гибкая гофрированная: Ø16 -  м, </t>
  </si>
  <si>
    <t>Трубка капиллярная Ø6 -  м</t>
  </si>
  <si>
    <t>Паспорт качества № 92135 от 04.10.2023;</t>
  </si>
  <si>
    <t>Паспорт качества б/н от 28.11.2023, Сертификат соответствия № РОСС RU.АЖ49.Н01493 с 08.06.2021 по 07.06.2024</t>
  </si>
  <si>
    <t>Ø16; Ø6</t>
  </si>
  <si>
    <t xml:space="preserve">ТУ 2247-008-47022248-2002; ТР ЕАЭС 043/2017; ГОСТ Р 30244-944 ГОСТ Р 30402-96; ГОСТ 12.1.044-89; </t>
  </si>
  <si>
    <t>ГОСТ Р 51032-97</t>
  </si>
  <si>
    <t>Технический паспорт и руководство по эксплуатации б/н</t>
  </si>
  <si>
    <t>от 07.11.2023, Информационное письмо исх. №1523/Л от 26.01.2022, Паспорт изделия б/н от 26.10.2023,</t>
  </si>
  <si>
    <t>Информационное письмо исх.№ОТК/109 от 10.09.2018, Паспорт б/н от 21.11.2023,</t>
  </si>
  <si>
    <t>Сертификат соответствия № РОСС RU.HE06.H12786 с 19.09.2023 по 18.09.2026</t>
  </si>
  <si>
    <t>АИР 1.2-61.17-ОВ3/128р</t>
  </si>
  <si>
    <t>Крепежные элементы</t>
  </si>
  <si>
    <t>Крепежные элементы -  кг</t>
  </si>
  <si>
    <t>Сертификат соответствия №РОСС CN.АЖ49.Н04278 с 27.07.2023 по 26.07.2026,</t>
  </si>
  <si>
    <t>Сертификат соответствия №РОСС CN.АЖ49.Н04313 с 07.08.2023 по 06.08.2026,</t>
  </si>
  <si>
    <t>Сертификат соответствия № РОСС RU.32001.04ИБФ1.ОСП18.25939 с 14.11.2022 по 13.11.2025</t>
  </si>
  <si>
    <t xml:space="preserve">ГОСТ 1759.0-87, ГОСТ ISO 8992-2015, ГОСТ 18123-82, ГОСТ 1759.0-87, ГОСТ 10618-80, ГОСТ 28191-89, </t>
  </si>
  <si>
    <t>ГОСТ 24137-80</t>
  </si>
  <si>
    <t>Сертификат качества № 312123-078 от 15.01.2024,</t>
  </si>
  <si>
    <t>Паспорт изделия №080483 от 18.01.2024</t>
  </si>
  <si>
    <t>Трубная изоляция K-Flex: 9хФ6; 9хФ10; 9хФ12; 13хФ15х2; 13хФ18х2; 13хФ22х2; 13хФ28х2;</t>
  </si>
  <si>
    <t>Трубная изоляция Unionflex:; 6хФ20х2; 6хФ25х2; 6хФ32х2</t>
  </si>
  <si>
    <t>Трубная изоляция Unionflex: 6хФ20х2 -  м; 6хФ25х2 -  м; 6хФ32х2 -  м</t>
  </si>
  <si>
    <t xml:space="preserve">Трубная изоляция K-Flex: 9хФ6 -  м; 9хФ10 -  м; 9хФ12 -  м; 13хФ15х2 -  м; 13хФ18х2 -  м; </t>
  </si>
  <si>
    <t>13хФ22х2 -  м; 13хФ28х2 -  м;</t>
  </si>
  <si>
    <t>Паспорт № 5178500 - R0906515708 от 03.07.2023;</t>
  </si>
  <si>
    <t>Паспорт № 5178500 - R09010596708 от 10.07.2023; Паспорт № 5178500 - R09012719043 от 12.07.2023;</t>
  </si>
  <si>
    <t>Паспорт № 5178500 - R13015215607 от 24.07.2023; Паспорт № 5178500 - R13018214308 от 26.07.2023;</t>
  </si>
  <si>
    <t xml:space="preserve">Паспорт № 5178500 - R13022435608 от 12.07.2023; Паспорт № 5178500 - R13028435708 от 12.07.2023; </t>
  </si>
  <si>
    <t>Экспертное заключение № 77.01.12.П.002501.07.17 от 07.07.2017;</t>
  </si>
  <si>
    <t>Сертификат соответствия № RU C-RU.ПБ09.В.00294/21 с 17.12.2021 по 16.12.2026;</t>
  </si>
  <si>
    <t>Информационное письмо № 201 от 30.09.2014;</t>
  </si>
  <si>
    <t>Сертификат соответствия № АПБ.RU.ОС002/4.Н.01563 с 29.09.2021 по 28.09.2024;</t>
  </si>
  <si>
    <t>Сертификат соответствия № RU C-RU.ПБ09.В.00463/23 с 03.11.2023 по 02.11.2028.</t>
  </si>
  <si>
    <t>Паспорт качества № 547 04.12.2023; Паспорт качества № 553 07.12.2023; Паспорт качества № 568 11.12.2023;</t>
  </si>
  <si>
    <t>ГОСТ 30244-94, ГОСТ 30402-96, ГОСТ 12.1.044-889, ТУ 22.19.20-001-17563055-2020, ТУ 5768-001-75218277-13</t>
  </si>
  <si>
    <t>Кабель ВВГнг(А)-LS 5х1,5;</t>
  </si>
  <si>
    <t xml:space="preserve">сертификат качества №ICG000637 от 22.03.2023, сертификат </t>
  </si>
  <si>
    <t>качества №ICG000933 от 25.05.2023, сертификат качества №ICG000645 от 22.03.2023, сертификат качества №ICG000953</t>
  </si>
  <si>
    <t>по 02.12.2024, паспорт качества №000549633 от 14.12.2023, сертификат соответствия №ЕАЭС RU C-RU.ME77.B.01210/22</t>
  </si>
  <si>
    <t xml:space="preserve">с 27.09.2022 по 26.09.2027, паспорт качества №000138437 от 16.10.2023, сертификат соответствия №ССБК.RU.ПБ24.Н00389 </t>
  </si>
  <si>
    <t xml:space="preserve">ГОСТ Р 52318-2005; ГОСТ 617-2006; ГОСТ 21646-2003; ГОСТ 10348-80; ТУ 3581-387-00217053-2009; ТР ТС 004/2011; </t>
  </si>
  <si>
    <t>ГОСТ 31996-2012; ТУ 27.32.13-025-45310838-2020; ГОСТ 31565-2012; ТУ 22.19.20-001-17563055-2020; ГОСТ 30244-94; ГОСТ 30402-96;</t>
  </si>
  <si>
    <t>Изделия теплоизоляционные на основе вспененного синтетического каучука Unionflex STD, толщина 9 мм ООО «Юнион</t>
  </si>
  <si>
    <t xml:space="preserve">Полимер Технолоджи»: для труб Ø6,35 09х006, для труб Ø9,52 09х010, для труб Ø12,70 09х012, для труб Ø15,88 09х018, </t>
  </si>
  <si>
    <t xml:space="preserve">Полимер Технолоджи»: для труб Ø6,35 09х006 - 39,6 м, для труб Ø9,52 09х010 - 45,9 м, для труб Ø12,70 09х012 - 39,6 м, для </t>
  </si>
  <si>
    <t>Труба ПВХ гофрированная d20</t>
  </si>
  <si>
    <t xml:space="preserve">с 14.10.2020 по 13.10.2025, паспорт качества №91920 от 19.10.2023, сертификат соответствия </t>
  </si>
  <si>
    <t xml:space="preserve">№ЕАЭС RU C-RU.ПБ68.В.00559/21 с 04.10.2021 по 15.03.2026, паспорт качества №767 от 18.09.2023, паспорт качества №719 от </t>
  </si>
  <si>
    <t xml:space="preserve">23.09.2023, паспорт качества №752 от 19.09.2023, паспорт качества №753 от 20.09.2023, паспорт качества №756 от 27.09.2023, </t>
  </si>
  <si>
    <t xml:space="preserve"> ГОСТ 12.1.044-89, ТУ 2247-008-47022248-2002; ТР ЕАЭС 043/2017; ГОСТ Р 53313-2009</t>
  </si>
  <si>
    <t>Кабель монтажный экранированный МКЭШ 3х0,75;</t>
  </si>
  <si>
    <t>Дренажный нагреватель HD-50</t>
  </si>
  <si>
    <t>Сифон McAlpine MRNRV32C-PB</t>
  </si>
  <si>
    <t>Дренажный нагреватель HD-50 - 2 шт.,</t>
  </si>
  <si>
    <t>Сифон McAlpine MRNRV32C-PB - 3 шт.,</t>
  </si>
  <si>
    <t>Дренажная помпа Siccom Eco Flowatch - 11 шт.</t>
  </si>
  <si>
    <t xml:space="preserve">Паспорт б/н от 14.11.2023, сертификат соответствия </t>
  </si>
  <si>
    <t>№РОСС RU C-RU.HB63.H01889 с 22.04.2022 по 21.04.2025, Паспорт изделия б/н 22.11.2023, информационное письмо</t>
  </si>
  <si>
    <t>б/н от 10.09.2018, паспорт №8912 от 12.11.2023, Декларация о соответствии № ЕАЭС N RU Д-FR.PA03.B.80980/22</t>
  </si>
  <si>
    <t>с 26.05.2022 по 25.05.2027</t>
  </si>
  <si>
    <t xml:space="preserve">ТУ 27.51.24-001-0129250341-2019, ГОСТ 31839-2012, ТР ТС 004/2011, ТР ТС 010/2011, </t>
  </si>
  <si>
    <t>ТР ТС 020/2011</t>
  </si>
  <si>
    <t xml:space="preserve">сертификат соответствия №АПБ.RU.OC002/4.H.01563 с 29.09.2021 по 28.09.2024, сертификат соответствия </t>
  </si>
  <si>
    <t>№ 04ИДЮ13.RU.C00354 с 24.03.2021 по 23.03.2024, экспертное заключение №002182 от 17.05.2021.</t>
  </si>
  <si>
    <t>ПП2020РД-1.2-61.17-ОВ3, ПП2020РД-1.2-61.17-ОВ3.СО изм. 2 лист 2</t>
  </si>
  <si>
    <t>ПП2020РД-1.2-61.17-ОВ3, ПП2020РД-1.2-61.17-ОВ3.СО изм. 2 лист 3</t>
  </si>
  <si>
    <t>Кабель монтажный экранированный МКЭШ - 120 м;</t>
  </si>
  <si>
    <t>Кабель ВВГнг(А)-LS - 10 м;</t>
  </si>
  <si>
    <t>Труба ПВХ гофрированная - 130 м;</t>
  </si>
  <si>
    <t>кабель ВВГнг(А)-LS 5х1,5; труба ПВХ Ø20; Изделия теплоизоляционные  Ø6,35 09х006,</t>
  </si>
  <si>
    <t>Медная труба: Ø6,35; Ø9,52; Ø12,70; Ø15,88; Ø28,58;</t>
  </si>
  <si>
    <t>для труб Ø28,58 09х028</t>
  </si>
  <si>
    <t>Труба медная бесшовная: Ø6,35 - 39,6 м; Ø9,52 - 45,9 м; Ø12,70 - 39,6 м; Ø15,88 - 53,8 м; Ø28,58 - 8,4 м;</t>
  </si>
  <si>
    <t>труб Ø15,88 09х018 - 53,8 м, для труб Ø28,58 09х028 - 8,4 м</t>
  </si>
  <si>
    <t xml:space="preserve">медная труба Ø6,35; Ø9,52; Ø12,7; Ø15,88; Ø28,58; кабель МКЭШ 3х0,75; </t>
  </si>
  <si>
    <t xml:space="preserve"> Ø9,52 09х010,  Ø12,70 09х012, Ø15,88 09х018, Ø28,58 09х028 </t>
  </si>
  <si>
    <t>от 23.05.2023, сертификат качества №ICG000922 от 12.04.2023, сертификат соответствия №РОСС UZ.HА39.H00489 с 03.12.2021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</si>
</sst>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5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  <scheme val="major"/>
    </font>
    <font>
      <b/>
      <sz val="11"/>
      <name val="Times New Roman"/>
      <family val="1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8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2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4" fillId="3" borderId="1" xfId="1" applyFont="1" applyFill="1" applyBorder="1" applyAlignment="1">
      <alignment horizontal="left"/>
    </xf>
    <xf numFmtId="0" fontId="22" fillId="4" borderId="1" xfId="1" applyFont="1" applyFill="1" applyBorder="1" applyAlignment="1">
      <alignment horizontal="left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3" xfId="1" applyNumberFormat="1" applyFont="1" applyFill="1" applyBorder="1" applyAlignment="1">
      <alignment horizontal="lef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6" fillId="2" borderId="0" xfId="1" applyFont="1" applyFill="1" applyAlignment="1">
      <alignment horizontal="right" vertical="top" wrapText="1"/>
    </xf>
    <xf numFmtId="165" fontId="12" fillId="3" borderId="1" xfId="1" applyNumberFormat="1" applyFont="1" applyFill="1" applyBorder="1" applyAlignment="1">
      <alignment horizontal="center"/>
    </xf>
    <xf numFmtId="14" fontId="14" fillId="4" borderId="1" xfId="1" applyNumberFormat="1" applyFont="1" applyFill="1" applyBorder="1" applyAlignment="1">
      <alignment horizontal="left" vertical="center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14" fillId="2" borderId="2" xfId="1" applyNumberFormat="1" applyFont="1" applyFill="1" applyBorder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0" fontId="17" fillId="0" borderId="0" xfId="1" applyFont="1" applyAlignment="1">
      <alignment horizontal="center" vertical="top"/>
    </xf>
    <xf numFmtId="0" fontId="24" fillId="4" borderId="1" xfId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3" xfId="1" applyFont="1" applyFill="1" applyBorder="1" applyAlignment="1">
      <alignment horizontal="left"/>
    </xf>
    <xf numFmtId="0" fontId="24" fillId="4" borderId="3" xfId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/>
    </xf>
    <xf numFmtId="14" fontId="14" fillId="2" borderId="0" xfId="1" applyNumberFormat="1" applyFont="1" applyFill="1" applyAlignment="1">
      <alignment horizont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14" fontId="14" fillId="4" borderId="1" xfId="1" applyNumberFormat="1" applyFont="1" applyFill="1" applyBorder="1" applyAlignment="1">
      <alignment horizontal="center" vertical="center" wrapText="1"/>
    </xf>
    <xf numFmtId="14" fontId="22" fillId="3" borderId="1" xfId="1" applyNumberFormat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0" fontId="14" fillId="4" borderId="1" xfId="1" applyFont="1" applyFill="1" applyBorder="1" applyAlignment="1">
      <alignment horizontal="left" wrapText="1"/>
    </xf>
    <xf numFmtId="0" fontId="22" fillId="4" borderId="1" xfId="1" applyFont="1" applyFill="1" applyBorder="1" applyAlignment="1">
      <alignment horizontal="center" wrapText="1"/>
    </xf>
    <xf numFmtId="14" fontId="14" fillId="4" borderId="3" xfId="1" applyNumberFormat="1" applyFont="1" applyFill="1" applyBorder="1" applyAlignment="1">
      <alignment horizontal="left" vertical="center" wrapText="1"/>
    </xf>
    <xf numFmtId="14" fontId="23" fillId="4" borderId="1" xfId="1" applyNumberFormat="1" applyFont="1" applyFill="1" applyBorder="1" applyAlignment="1">
      <alignment horizontal="left" vertical="center" wrapText="1"/>
    </xf>
    <xf numFmtId="0" fontId="24" fillId="4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18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28</xdr:row>
      <xdr:rowOff>0</xdr:rowOff>
    </xdr:from>
    <xdr:to>
      <xdr:col>75</xdr:col>
      <xdr:colOff>521970</xdr:colOff>
      <xdr:row>29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38</xdr:row>
      <xdr:rowOff>0</xdr:rowOff>
    </xdr:from>
    <xdr:to>
      <xdr:col>75</xdr:col>
      <xdr:colOff>521970</xdr:colOff>
      <xdr:row>40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43</xdr:row>
      <xdr:rowOff>0</xdr:rowOff>
    </xdr:from>
    <xdr:to>
      <xdr:col>75</xdr:col>
      <xdr:colOff>521970</xdr:colOff>
      <xdr:row>53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80</xdr:row>
      <xdr:rowOff>0</xdr:rowOff>
    </xdr:from>
    <xdr:to>
      <xdr:col>75</xdr:col>
      <xdr:colOff>521970</xdr:colOff>
      <xdr:row>81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671560" y="78028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93</xdr:row>
      <xdr:rowOff>0</xdr:rowOff>
    </xdr:from>
    <xdr:to>
      <xdr:col>75</xdr:col>
      <xdr:colOff>521970</xdr:colOff>
      <xdr:row>95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671560" y="97307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28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43</xdr:row>
      <xdr:rowOff>0</xdr:rowOff>
    </xdr:from>
    <xdr:to>
      <xdr:col>75</xdr:col>
      <xdr:colOff>521970</xdr:colOff>
      <xdr:row>44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53</xdr:row>
      <xdr:rowOff>0</xdr:rowOff>
    </xdr:from>
    <xdr:to>
      <xdr:col>75</xdr:col>
      <xdr:colOff>521970</xdr:colOff>
      <xdr:row>55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961120" y="1783080"/>
          <a:ext cx="1520190" cy="5772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671560" y="42595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28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671560" y="519684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671560" y="6073140"/>
          <a:ext cx="1520190" cy="5638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43</xdr:row>
      <xdr:rowOff>0</xdr:rowOff>
    </xdr:from>
    <xdr:to>
      <xdr:col>75</xdr:col>
      <xdr:colOff>521970</xdr:colOff>
      <xdr:row>44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671560" y="874014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54</xdr:row>
      <xdr:rowOff>0</xdr:rowOff>
    </xdr:from>
    <xdr:to>
      <xdr:col>75</xdr:col>
      <xdr:colOff>521970</xdr:colOff>
      <xdr:row>56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671560" y="1084326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14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30</xdr:row>
      <xdr:rowOff>0</xdr:rowOff>
    </xdr:from>
    <xdr:to>
      <xdr:col>75</xdr:col>
      <xdr:colOff>521970</xdr:colOff>
      <xdr:row>32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35</xdr:row>
      <xdr:rowOff>0</xdr:rowOff>
    </xdr:from>
    <xdr:to>
      <xdr:col>75</xdr:col>
      <xdr:colOff>521970</xdr:colOff>
      <xdr:row>39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53</xdr:row>
      <xdr:rowOff>0</xdr:rowOff>
    </xdr:from>
    <xdr:to>
      <xdr:col>75</xdr:col>
      <xdr:colOff>521970</xdr:colOff>
      <xdr:row>54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8671560" y="77647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65</xdr:row>
      <xdr:rowOff>0</xdr:rowOff>
    </xdr:from>
    <xdr:to>
      <xdr:col>75</xdr:col>
      <xdr:colOff>521970</xdr:colOff>
      <xdr:row>67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671560" y="96926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16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27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34</xdr:row>
      <xdr:rowOff>0</xdr:rowOff>
    </xdr:from>
    <xdr:to>
      <xdr:col>75</xdr:col>
      <xdr:colOff>521970</xdr:colOff>
      <xdr:row>36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39</xdr:row>
      <xdr:rowOff>0</xdr:rowOff>
    </xdr:from>
    <xdr:to>
      <xdr:col>75</xdr:col>
      <xdr:colOff>521970</xdr:colOff>
      <xdr:row>43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59</xdr:row>
      <xdr:rowOff>0</xdr:rowOff>
    </xdr:from>
    <xdr:to>
      <xdr:col>75</xdr:col>
      <xdr:colOff>521970</xdr:colOff>
      <xdr:row>60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671560" y="77647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70</xdr:row>
      <xdr:rowOff>0</xdr:rowOff>
    </xdr:from>
    <xdr:to>
      <xdr:col>75</xdr:col>
      <xdr:colOff>521970</xdr:colOff>
      <xdr:row>72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671560" y="96926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13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671560" y="446532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27</xdr:row>
      <xdr:rowOff>0</xdr:rowOff>
    </xdr:from>
    <xdr:to>
      <xdr:col>75</xdr:col>
      <xdr:colOff>521970</xdr:colOff>
      <xdr:row>29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8671560" y="560832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32</xdr:row>
      <xdr:rowOff>0</xdr:rowOff>
    </xdr:from>
    <xdr:to>
      <xdr:col>75</xdr:col>
      <xdr:colOff>521970</xdr:colOff>
      <xdr:row>35</xdr:row>
      <xdr:rowOff>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8671560" y="648462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44</xdr:row>
      <xdr:rowOff>0</xdr:rowOff>
    </xdr:from>
    <xdr:to>
      <xdr:col>75</xdr:col>
      <xdr:colOff>521970</xdr:colOff>
      <xdr:row>45</xdr:row>
      <xdr:rowOff>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8671560" y="963930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55</xdr:row>
      <xdr:rowOff>0</xdr:rowOff>
    </xdr:from>
    <xdr:to>
      <xdr:col>75</xdr:col>
      <xdr:colOff>521970</xdr:colOff>
      <xdr:row>57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8671560" y="1174242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14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30</xdr:row>
      <xdr:rowOff>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671560" y="546354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32</xdr:row>
      <xdr:rowOff>0</xdr:rowOff>
    </xdr:from>
    <xdr:to>
      <xdr:col>75</xdr:col>
      <xdr:colOff>521970</xdr:colOff>
      <xdr:row>36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671560" y="633984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47</xdr:row>
      <xdr:rowOff>0</xdr:rowOff>
    </xdr:from>
    <xdr:to>
      <xdr:col>75</xdr:col>
      <xdr:colOff>521970</xdr:colOff>
      <xdr:row>48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671560" y="87934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58</xdr:row>
      <xdr:rowOff>0</xdr:rowOff>
    </xdr:from>
    <xdr:to>
      <xdr:col>75</xdr:col>
      <xdr:colOff>521970</xdr:colOff>
      <xdr:row>60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8671560" y="1089660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13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8671560" y="598932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49</xdr:row>
      <xdr:rowOff>0</xdr:rowOff>
    </xdr:from>
    <xdr:to>
      <xdr:col>75</xdr:col>
      <xdr:colOff>521970</xdr:colOff>
      <xdr:row>50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8671560" y="861822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66</xdr:row>
      <xdr:rowOff>0</xdr:rowOff>
    </xdr:from>
    <xdr:to>
      <xdr:col>75</xdr:col>
      <xdr:colOff>521970</xdr:colOff>
      <xdr:row>68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8671560" y="1054608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21</xdr:row>
      <xdr:rowOff>0</xdr:rowOff>
    </xdr:from>
    <xdr:to>
      <xdr:col>75</xdr:col>
      <xdr:colOff>521970</xdr:colOff>
      <xdr:row>22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30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8671560" y="598932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39</xdr:row>
      <xdr:rowOff>0</xdr:rowOff>
    </xdr:from>
    <xdr:to>
      <xdr:col>75</xdr:col>
      <xdr:colOff>521970</xdr:colOff>
      <xdr:row>40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8671560" y="861822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51</xdr:row>
      <xdr:rowOff>0</xdr:rowOff>
    </xdr:from>
    <xdr:to>
      <xdr:col>75</xdr:col>
      <xdr:colOff>521970</xdr:colOff>
      <xdr:row>53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8671560" y="1054608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102"/>
  <sheetViews>
    <sheetView tabSelected="1" view="pageBreakPreview" topLeftCell="A28" zoomScaleNormal="100" zoomScaleSheetLayoutView="100" workbookViewId="0">
      <selection activeCell="BW44" sqref="BW44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8.8867187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116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80" t="s">
        <v>230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</row>
    <row r="13" spans="1:72" ht="16.2" customHeight="1" x14ac:dyDescent="0.25">
      <c r="A13" s="80" t="s">
        <v>210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</row>
    <row r="14" spans="1:72" ht="16.2" customHeight="1" x14ac:dyDescent="0.25">
      <c r="A14" s="80" t="s">
        <v>195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</row>
    <row r="15" spans="1:72" ht="16.2" customHeight="1" x14ac:dyDescent="0.25">
      <c r="A15" s="80" t="s">
        <v>205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</row>
    <row r="16" spans="1:72" ht="16.2" customHeight="1" x14ac:dyDescent="0.25">
      <c r="A16" s="80" t="s">
        <v>202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</row>
    <row r="17" spans="1:83" ht="16.2" customHeight="1" x14ac:dyDescent="0.25">
      <c r="A17" s="80" t="s">
        <v>203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</row>
    <row r="18" spans="1:83" ht="16.2" customHeight="1" x14ac:dyDescent="0.25">
      <c r="A18" s="80" t="s">
        <v>231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</row>
    <row r="19" spans="1:83" ht="9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</row>
    <row r="20" spans="1:83" ht="12" customHeight="1" x14ac:dyDescent="0.25">
      <c r="A20" s="97" t="s">
        <v>46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</row>
    <row r="21" spans="1:8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3" t="s">
        <v>9</v>
      </c>
      <c r="AB21" s="8"/>
      <c r="AC21" s="8"/>
      <c r="AD21" s="8"/>
      <c r="AE21" s="98">
        <v>45337</v>
      </c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16"/>
      <c r="AV21" s="16"/>
      <c r="AW21" s="16"/>
      <c r="AX21" s="16"/>
      <c r="AY21" s="16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12"/>
      <c r="BW21" s="54">
        <f>AE21</f>
        <v>45337</v>
      </c>
    </row>
    <row r="22" spans="1:83" x14ac:dyDescent="0.25">
      <c r="A22" s="8" t="s">
        <v>10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 t="s">
        <v>11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12"/>
    </row>
    <row r="23" spans="1:83" ht="13.8" customHeight="1" x14ac:dyDescent="0.25">
      <c r="A23" s="8" t="s">
        <v>12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9" t="str">
        <f>VLOOKUP(BJ23,подписанты!$B$3:$C$11,2,FALSE)</f>
        <v>Ведущий инженер МТО АО «Газстройпроект»</v>
      </c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100" t="s">
        <v>77</v>
      </c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65" t="s">
        <v>13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27"/>
      <c r="BL24" s="27"/>
      <c r="BM24" s="27"/>
      <c r="BN24" s="27"/>
      <c r="BO24" s="27"/>
      <c r="BP24" s="17"/>
      <c r="BQ24" s="17"/>
      <c r="BR24" s="17"/>
      <c r="BS24" s="17"/>
      <c r="BT24" s="17"/>
    </row>
    <row r="25" spans="1:83" ht="13.8" customHeight="1" x14ac:dyDescent="0.25">
      <c r="A25" s="8" t="s">
        <v>14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01" t="str">
        <f>VLOOKUP(BJ25,подписанты!$B$3:$C$11,2,FALSE)</f>
        <v>Инженер отдела технического надзора АО «Газстройпроект»</v>
      </c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0" t="s">
        <v>68</v>
      </c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</row>
    <row r="26" spans="1:8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65" t="s">
        <v>13</v>
      </c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17"/>
      <c r="BL26" s="17"/>
      <c r="BM26" s="17"/>
      <c r="BN26" s="17"/>
      <c r="BO26" s="17"/>
      <c r="BP26" s="17"/>
      <c r="BQ26" s="17"/>
      <c r="BR26" s="17"/>
      <c r="BS26" s="17"/>
      <c r="BT26" s="17"/>
    </row>
    <row r="27" spans="1:83" ht="40.049999999999997" customHeight="1" x14ac:dyDescent="0.25">
      <c r="A27" s="8" t="s">
        <v>15</v>
      </c>
      <c r="B27" s="8"/>
      <c r="C27" s="8"/>
      <c r="D27" s="8"/>
      <c r="E27" s="8"/>
      <c r="F27" s="8"/>
      <c r="G27" s="8"/>
      <c r="H27" s="8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99" t="str">
        <f>VLOOKUP(BJ27,подписанты!$B$3:$C$11,2,FALSE)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102" t="s">
        <v>91</v>
      </c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</row>
    <row r="28" spans="1:83" x14ac:dyDescent="0.25">
      <c r="A28" s="8"/>
      <c r="B28" s="8"/>
      <c r="C28" s="8"/>
      <c r="D28" s="8"/>
      <c r="E28" s="8"/>
      <c r="F28" s="8"/>
      <c r="G28" s="8"/>
      <c r="H28" s="8"/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65" t="s">
        <v>13</v>
      </c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spans="1:83" x14ac:dyDescent="0.25">
      <c r="A29" s="8" t="s">
        <v>16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8"/>
      <c r="O29" s="66" t="s">
        <v>89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8" t="s">
        <v>17</v>
      </c>
      <c r="BR29" s="13"/>
      <c r="BS29" s="13"/>
      <c r="BT29" s="13"/>
      <c r="BY29" s="87" t="s">
        <v>80</v>
      </c>
      <c r="BZ29" s="87"/>
      <c r="CA29" s="87"/>
      <c r="CB29" s="87"/>
      <c r="CC29" s="87"/>
      <c r="CD29" s="87"/>
      <c r="CE29" s="87"/>
    </row>
    <row r="30" spans="1:83" ht="13.8" customHeight="1" x14ac:dyDescent="0.25">
      <c r="A30" s="8"/>
      <c r="B30" s="8"/>
      <c r="C30" s="8"/>
      <c r="D30" s="8"/>
      <c r="E30" s="96" t="s">
        <v>47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Y30" s="87"/>
      <c r="BZ30" s="87"/>
      <c r="CA30" s="87"/>
      <c r="CB30" s="87"/>
      <c r="CC30" s="87"/>
      <c r="CD30" s="87"/>
      <c r="CE30" s="87"/>
    </row>
    <row r="31" spans="1:83" ht="13.8" customHeight="1" x14ac:dyDescent="0.25">
      <c r="A31" s="80" t="s">
        <v>232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Y31" s="58"/>
      <c r="BZ31" s="58"/>
      <c r="CA31" s="58"/>
      <c r="CB31" s="58"/>
      <c r="CC31" s="58"/>
      <c r="CD31" s="58"/>
      <c r="CE31" s="58"/>
    </row>
    <row r="32" spans="1:83" ht="13.8" customHeight="1" x14ac:dyDescent="0.25">
      <c r="A32" s="80" t="s">
        <v>226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Y32" s="58"/>
      <c r="BZ32" s="58"/>
      <c r="CA32" s="58"/>
      <c r="CB32" s="58"/>
      <c r="CC32" s="58"/>
      <c r="CD32" s="58"/>
      <c r="CE32" s="58"/>
    </row>
    <row r="33" spans="1:83" ht="13.8" customHeight="1" x14ac:dyDescent="0.25">
      <c r="A33" s="80" t="s">
        <v>227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Y33" s="58"/>
      <c r="BZ33" s="58"/>
      <c r="CA33" s="58"/>
      <c r="CB33" s="58"/>
      <c r="CC33" s="58"/>
      <c r="CD33" s="58"/>
      <c r="CE33" s="58"/>
    </row>
    <row r="34" spans="1:83" ht="13.8" customHeight="1" x14ac:dyDescent="0.25">
      <c r="A34" s="80" t="s">
        <v>228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Y34" s="58"/>
      <c r="BZ34" s="58"/>
      <c r="CA34" s="58"/>
      <c r="CB34" s="58"/>
      <c r="CC34" s="58"/>
      <c r="CD34" s="58"/>
      <c r="CE34" s="58"/>
    </row>
    <row r="35" spans="1:83" ht="13.8" customHeight="1" x14ac:dyDescent="0.25">
      <c r="A35" s="80" t="s">
        <v>202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Y35" s="58"/>
      <c r="BZ35" s="58"/>
      <c r="CA35" s="58"/>
      <c r="CB35" s="58"/>
      <c r="CC35" s="58"/>
      <c r="CD35" s="58"/>
      <c r="CE35" s="58"/>
    </row>
    <row r="36" spans="1:83" ht="13.8" customHeight="1" x14ac:dyDescent="0.25">
      <c r="A36" s="80" t="s">
        <v>204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Y36" s="58"/>
      <c r="BZ36" s="58"/>
      <c r="CA36" s="58"/>
      <c r="CB36" s="58"/>
      <c r="CC36" s="58"/>
      <c r="CD36" s="58"/>
      <c r="CE36" s="58"/>
    </row>
    <row r="37" spans="1:83" ht="13.8" customHeight="1" x14ac:dyDescent="0.25">
      <c r="A37" s="80" t="s">
        <v>233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Y37" s="58"/>
      <c r="BZ37" s="58"/>
      <c r="CA37" s="58"/>
      <c r="CB37" s="58"/>
      <c r="CC37" s="58"/>
      <c r="CD37" s="58"/>
      <c r="CE37" s="58"/>
    </row>
    <row r="38" spans="1:83" x14ac:dyDescent="0.2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</row>
    <row r="39" spans="1:83" ht="13.8" customHeight="1" x14ac:dyDescent="0.25">
      <c r="A39" s="10" t="s">
        <v>18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56"/>
      <c r="S39" s="8"/>
      <c r="T39" s="55"/>
      <c r="U39" s="86" t="s">
        <v>224</v>
      </c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Y39" s="87" t="s">
        <v>81</v>
      </c>
      <c r="BZ39" s="87"/>
      <c r="CA39" s="87"/>
      <c r="CB39" s="87"/>
      <c r="CC39" s="87"/>
      <c r="CD39" s="87"/>
    </row>
    <row r="40" spans="1:8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83" t="s">
        <v>19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Y40" s="87"/>
      <c r="BZ40" s="87"/>
      <c r="CA40" s="87"/>
      <c r="CB40" s="87"/>
      <c r="CC40" s="87"/>
      <c r="CD40" s="87"/>
    </row>
    <row r="41" spans="1:83" x14ac:dyDescent="0.25">
      <c r="A41" s="10" t="s">
        <v>20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21"/>
      <c r="T41" s="21"/>
      <c r="U41" s="84" t="s">
        <v>51</v>
      </c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Y41" s="87"/>
      <c r="BZ41" s="87"/>
      <c r="CA41" s="87"/>
      <c r="CB41" s="87"/>
      <c r="CC41" s="87"/>
      <c r="CD41" s="87"/>
    </row>
    <row r="42" spans="1:83" x14ac:dyDescent="0.25">
      <c r="A42" s="91" t="s">
        <v>21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</row>
    <row r="43" spans="1:83" x14ac:dyDescent="0.25">
      <c r="A43" s="8"/>
      <c r="B43" s="8"/>
      <c r="C43" s="8"/>
      <c r="D43" s="8" t="s">
        <v>22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  <c r="AG43" s="7"/>
      <c r="AH43" s="7"/>
      <c r="AI43" s="7"/>
      <c r="AJ43" s="7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</row>
    <row r="44" spans="1:83" x14ac:dyDescent="0.25">
      <c r="A44" s="8" t="s">
        <v>23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1"/>
      <c r="AJ44" s="8"/>
      <c r="AK44" s="93" t="s">
        <v>196</v>
      </c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Y44" s="44" t="s">
        <v>82</v>
      </c>
    </row>
    <row r="45" spans="1:83" x14ac:dyDescent="0.25">
      <c r="A45" s="82" t="s">
        <v>197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Y45" s="44"/>
    </row>
    <row r="46" spans="1:83" x14ac:dyDescent="0.25">
      <c r="A46" s="82" t="s">
        <v>236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Y46" s="44"/>
    </row>
    <row r="47" spans="1:83" x14ac:dyDescent="0.25">
      <c r="A47" s="82" t="s">
        <v>198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Y47" s="87" t="s">
        <v>83</v>
      </c>
      <c r="BZ47" s="87"/>
      <c r="CA47" s="87"/>
      <c r="CB47" s="87"/>
      <c r="CC47" s="87"/>
      <c r="CD47" s="87"/>
      <c r="CE47" s="87"/>
    </row>
    <row r="48" spans="1:83" x14ac:dyDescent="0.25">
      <c r="A48" s="82" t="s">
        <v>199</v>
      </c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Y48" s="87"/>
      <c r="BZ48" s="87"/>
      <c r="CA48" s="87"/>
      <c r="CB48" s="87"/>
      <c r="CC48" s="87"/>
      <c r="CD48" s="87"/>
      <c r="CE48" s="87"/>
    </row>
    <row r="49" spans="1:83" x14ac:dyDescent="0.25">
      <c r="A49" s="82" t="s">
        <v>206</v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Y49" s="87"/>
      <c r="BZ49" s="87"/>
      <c r="CA49" s="87"/>
      <c r="CB49" s="87"/>
      <c r="CC49" s="87"/>
      <c r="CD49" s="87"/>
      <c r="CE49" s="87"/>
    </row>
    <row r="50" spans="1:83" x14ac:dyDescent="0.25">
      <c r="A50" s="82" t="s">
        <v>207</v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Y50" s="87"/>
      <c r="BZ50" s="87"/>
      <c r="CA50" s="87"/>
      <c r="CB50" s="87"/>
      <c r="CC50" s="87"/>
      <c r="CD50" s="87"/>
      <c r="CE50" s="87"/>
    </row>
    <row r="51" spans="1:83" x14ac:dyDescent="0.25">
      <c r="A51" s="82" t="s">
        <v>208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Y51" s="87"/>
      <c r="BZ51" s="87"/>
      <c r="CA51" s="87"/>
      <c r="CB51" s="87"/>
      <c r="CC51" s="87"/>
      <c r="CD51" s="87"/>
      <c r="CE51" s="87"/>
    </row>
    <row r="52" spans="1:83" x14ac:dyDescent="0.25">
      <c r="A52" s="82" t="s">
        <v>222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Y52" s="87"/>
      <c r="BZ52" s="87"/>
      <c r="CA52" s="87"/>
      <c r="CB52" s="87"/>
      <c r="CC52" s="87"/>
      <c r="CD52" s="87"/>
      <c r="CE52" s="87"/>
    </row>
    <row r="53" spans="1:83" x14ac:dyDescent="0.25">
      <c r="A53" s="94" t="s">
        <v>223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Y53" s="87"/>
      <c r="BZ53" s="87"/>
      <c r="CA53" s="87"/>
      <c r="CB53" s="87"/>
      <c r="CC53" s="87"/>
      <c r="CD53" s="87"/>
      <c r="CE53" s="87"/>
    </row>
    <row r="54" spans="1:83" x14ac:dyDescent="0.25">
      <c r="A54" s="65" t="s">
        <v>24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Y54" s="87"/>
      <c r="BZ54" s="87"/>
      <c r="CA54" s="87"/>
      <c r="CB54" s="87"/>
      <c r="CC54" s="87"/>
      <c r="CD54" s="87"/>
      <c r="CE54" s="87"/>
    </row>
    <row r="55" spans="1:83" x14ac:dyDescent="0.25">
      <c r="A55" s="88" t="s">
        <v>57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Y55" s="87"/>
      <c r="BZ55" s="87"/>
      <c r="CA55" s="87"/>
      <c r="CB55" s="87"/>
      <c r="CC55" s="87"/>
      <c r="CD55" s="87"/>
      <c r="CE55" s="87"/>
    </row>
    <row r="56" spans="1:83" x14ac:dyDescent="0.25">
      <c r="A56" s="18" t="s">
        <v>58</v>
      </c>
      <c r="B56" s="19"/>
      <c r="C56" s="19"/>
      <c r="D56" s="81" t="str">
        <f>A31</f>
        <v>Труба медная бесшовная: Ø6,35 - 39,6 м; Ø9,52 - 45,9 м; Ø12,70 - 39,6 м; Ø15,88 - 53,8 м; Ø28,58 - 8,4 м;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Y56" s="87"/>
      <c r="BZ56" s="87"/>
      <c r="CA56" s="87"/>
      <c r="CB56" s="87"/>
      <c r="CC56" s="87"/>
      <c r="CD56" s="87"/>
      <c r="CE56" s="87"/>
    </row>
    <row r="57" spans="1:83" x14ac:dyDescent="0.25">
      <c r="A57" s="81" t="str">
        <f>A32</f>
        <v>Кабель монтажный экранированный МКЭШ - 120 м;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Y57" s="87"/>
      <c r="BZ57" s="87"/>
      <c r="CA57" s="87"/>
      <c r="CB57" s="87"/>
      <c r="CC57" s="87"/>
      <c r="CD57" s="87"/>
      <c r="CE57" s="87"/>
    </row>
    <row r="58" spans="1:83" x14ac:dyDescent="0.25">
      <c r="A58" s="81" t="str">
        <f>A33</f>
        <v>Кабель ВВГнг(А)-LS - 10 м;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Y58" s="87"/>
      <c r="BZ58" s="87"/>
      <c r="CA58" s="87"/>
      <c r="CB58" s="87"/>
      <c r="CC58" s="87"/>
      <c r="CD58" s="87"/>
      <c r="CE58" s="87"/>
    </row>
    <row r="59" spans="1:83" ht="16.8" customHeight="1" x14ac:dyDescent="0.25">
      <c r="A59" s="81" t="str">
        <f>A34</f>
        <v>Труба ПВХ гофрированная - 130 м;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Y59" s="87"/>
      <c r="BZ59" s="87"/>
      <c r="CA59" s="87"/>
      <c r="CB59" s="87"/>
      <c r="CC59" s="87"/>
      <c r="CD59" s="87"/>
      <c r="CE59" s="87"/>
    </row>
    <row r="60" spans="1:83" ht="16.8" customHeight="1" x14ac:dyDescent="0.25">
      <c r="A60" s="81" t="str">
        <f t="shared" ref="A60:A62" si="0">A35</f>
        <v>Изделия теплоизоляционные на основе вспененного синтетического каучука Unionflex STD, толщина 9 мм ООО «Юнион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Y60" s="87"/>
      <c r="BZ60" s="87"/>
      <c r="CA60" s="87"/>
      <c r="CB60" s="87"/>
      <c r="CC60" s="87"/>
      <c r="CD60" s="87"/>
      <c r="CE60" s="87"/>
    </row>
    <row r="61" spans="1:83" ht="16.8" customHeight="1" x14ac:dyDescent="0.25">
      <c r="A61" s="81" t="str">
        <f t="shared" si="0"/>
        <v xml:space="preserve">Полимер Технолоджи»: для труб Ø6,35 09х006 - 39,6 м, для труб Ø9,52 09х010 - 45,9 м, для труб Ø12,70 09х012 - 39,6 м, для 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Y61" s="87"/>
      <c r="BZ61" s="87"/>
      <c r="CA61" s="87"/>
      <c r="CB61" s="87"/>
      <c r="CC61" s="87"/>
      <c r="CD61" s="87"/>
      <c r="CE61" s="87"/>
    </row>
    <row r="62" spans="1:83" ht="16.8" customHeight="1" x14ac:dyDescent="0.25">
      <c r="A62" s="81" t="str">
        <f t="shared" si="0"/>
        <v>труб Ø15,88 09х018 - 53,8 м, для труб Ø28,58 09х028 - 8,4 м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Y62" s="87"/>
      <c r="BZ62" s="87"/>
      <c r="CA62" s="87"/>
      <c r="CB62" s="87"/>
      <c r="CC62" s="87"/>
      <c r="CD62" s="87"/>
      <c r="CE62" s="87"/>
    </row>
    <row r="63" spans="1:83" x14ac:dyDescent="0.25">
      <c r="A63" s="8"/>
      <c r="B63" s="8"/>
      <c r="C63" s="8"/>
      <c r="D63" s="89" t="s">
        <v>25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Y63" s="87"/>
      <c r="BZ63" s="87"/>
      <c r="CA63" s="87"/>
      <c r="CB63" s="87"/>
      <c r="CC63" s="87"/>
      <c r="CD63" s="87"/>
      <c r="CE63" s="87"/>
    </row>
    <row r="64" spans="1:83" x14ac:dyDescent="0.25">
      <c r="A64" s="8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Y64" s="87"/>
      <c r="BZ64" s="87"/>
      <c r="CA64" s="87"/>
      <c r="CB64" s="87"/>
      <c r="CC64" s="87"/>
      <c r="CD64" s="87"/>
      <c r="CE64" s="87"/>
    </row>
    <row r="65" spans="1:83" x14ac:dyDescent="0.25">
      <c r="A65" s="8" t="s">
        <v>26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33"/>
      <c r="Y65" s="90" t="s">
        <v>234</v>
      </c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Y65" s="87"/>
      <c r="BZ65" s="87"/>
      <c r="CA65" s="87"/>
      <c r="CB65" s="87"/>
      <c r="CC65" s="87"/>
      <c r="CD65" s="87"/>
      <c r="CE65" s="87"/>
    </row>
    <row r="66" spans="1:83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60"/>
      <c r="Y66" s="95" t="s">
        <v>229</v>
      </c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Y66" s="87"/>
      <c r="BZ66" s="87"/>
      <c r="CA66" s="87"/>
      <c r="CB66" s="87"/>
      <c r="CC66" s="87"/>
      <c r="CD66" s="87"/>
      <c r="CE66" s="87"/>
    </row>
    <row r="67" spans="1:83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0"/>
      <c r="Y67" s="95" t="s">
        <v>235</v>
      </c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Y67" s="87"/>
      <c r="BZ67" s="87"/>
      <c r="CA67" s="87"/>
      <c r="CB67" s="87"/>
      <c r="CC67" s="87"/>
      <c r="CD67" s="87"/>
      <c r="CE67" s="87"/>
    </row>
    <row r="68" spans="1:8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20"/>
      <c r="Y68" s="65" t="s">
        <v>27</v>
      </c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Y68" s="87"/>
      <c r="BZ68" s="87"/>
      <c r="CA68" s="87"/>
      <c r="CB68" s="87"/>
      <c r="CC68" s="87"/>
      <c r="CD68" s="87"/>
      <c r="CE68" s="87"/>
    </row>
    <row r="69" spans="1:83" x14ac:dyDescent="0.25">
      <c r="A69" s="8" t="s">
        <v>28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7"/>
      <c r="AG69" s="7"/>
      <c r="AH69" s="7"/>
      <c r="AI69" s="7"/>
      <c r="AJ69" s="71" t="s">
        <v>29</v>
      </c>
      <c r="AK69" s="71"/>
      <c r="AL69" s="71"/>
      <c r="AM69" s="71"/>
      <c r="AN69" s="71"/>
      <c r="AO69" s="71"/>
      <c r="AP69" s="71"/>
      <c r="AQ69" s="71"/>
      <c r="AR69" s="71"/>
      <c r="AS69" s="71"/>
      <c r="AT69" s="72" t="s">
        <v>72</v>
      </c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Y69" s="87"/>
      <c r="BZ69" s="87"/>
      <c r="CA69" s="87"/>
      <c r="CB69" s="87"/>
      <c r="CC69" s="87"/>
      <c r="CD69" s="87"/>
      <c r="CE69" s="87"/>
    </row>
    <row r="70" spans="1:83" ht="13.8" customHeight="1" x14ac:dyDescent="0.25">
      <c r="A70" s="10" t="s">
        <v>30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55"/>
      <c r="O70" s="55"/>
      <c r="P70" s="55"/>
      <c r="Q70" s="73" t="str">
        <f>U39</f>
        <v>ПП2020РД-1.2-61.17-ОВ3, ПП2020РД-1.2-61.17-ОВ3.СО изм. 2 лист 2</v>
      </c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57"/>
      <c r="BY70" s="87"/>
      <c r="BZ70" s="87"/>
      <c r="CA70" s="87"/>
      <c r="CB70" s="87"/>
      <c r="CC70" s="87"/>
      <c r="CD70" s="87"/>
      <c r="CE70" s="87"/>
    </row>
    <row r="71" spans="1:83" x14ac:dyDescent="0.25">
      <c r="A71" s="8"/>
      <c r="B71" s="8"/>
      <c r="C71" s="8"/>
      <c r="D71" s="10" t="s">
        <v>31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1"/>
      <c r="X71" s="8"/>
      <c r="Y71" s="32"/>
      <c r="Z71" s="32"/>
      <c r="AA71" s="74" t="str">
        <f>AK44</f>
        <v xml:space="preserve">сертификат качества №ICG000637 от 22.03.2023, сертификат </v>
      </c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Y71" s="87"/>
      <c r="BZ71" s="87"/>
      <c r="CA71" s="87"/>
      <c r="CB71" s="87"/>
      <c r="CC71" s="87"/>
      <c r="CD71" s="87"/>
      <c r="CE71" s="87"/>
    </row>
    <row r="72" spans="1:83" x14ac:dyDescent="0.25">
      <c r="A72" s="69" t="str">
        <f t="shared" ref="A72:A77" si="1">A45</f>
        <v>качества №ICG000933 от 25.05.2023, сертификат качества №ICG000645 от 22.03.2023, сертификат качества №ICG000953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Y72" s="58"/>
      <c r="BZ72" s="58"/>
      <c r="CA72" s="58"/>
      <c r="CB72" s="58"/>
      <c r="CC72" s="58"/>
      <c r="CD72" s="58"/>
      <c r="CE72" s="58"/>
    </row>
    <row r="73" spans="1:83" x14ac:dyDescent="0.25">
      <c r="A73" s="69" t="str">
        <f t="shared" si="1"/>
        <v>от 23.05.2023, сертификат качества №ICG000922 от 12.04.2023, сертификат соответствия №РОСС UZ.HА39.H00489 с 03.12.2021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Y73" s="58"/>
      <c r="BZ73" s="58"/>
      <c r="CA73" s="58"/>
      <c r="CB73" s="58"/>
      <c r="CC73" s="58"/>
      <c r="CD73" s="58"/>
      <c r="CE73" s="58"/>
    </row>
    <row r="74" spans="1:83" x14ac:dyDescent="0.25">
      <c r="A74" s="69" t="str">
        <f t="shared" si="1"/>
        <v>по 02.12.2024, паспорт качества №000549633 от 14.12.2023, сертификат соответствия №ЕАЭС RU C-RU.ME77.B.01210/22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</row>
    <row r="75" spans="1:83" x14ac:dyDescent="0.25">
      <c r="A75" s="69" t="str">
        <f t="shared" si="1"/>
        <v xml:space="preserve">с 27.09.2022 по 26.09.2027, паспорт качества №000138437 от 16.10.2023, сертификат соответствия №ССБК.RU.ПБ24.Н00389 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</row>
    <row r="76" spans="1:83" x14ac:dyDescent="0.25">
      <c r="A76" s="69" t="str">
        <f t="shared" si="1"/>
        <v xml:space="preserve">с 14.10.2020 по 13.10.2025, паспорт качества №91920 от 19.10.2023, сертификат соответствия 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</row>
    <row r="77" spans="1:83" x14ac:dyDescent="0.25">
      <c r="A77" s="69" t="str">
        <f t="shared" si="1"/>
        <v xml:space="preserve">№ЕАЭС RU C-RU.ПБ68.В.00559/21 с 04.10.2021 по 15.03.2026, паспорт качества №767 от 18.09.2023, паспорт качества №719 от 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</row>
    <row r="78" spans="1:83" x14ac:dyDescent="0.25">
      <c r="A78" s="69" t="str">
        <f t="shared" ref="A78:A80" si="2">A51</f>
        <v xml:space="preserve">23.09.2023, паспорт качества №752 от 19.09.2023, паспорт качества №753 от 20.09.2023, паспорт качества №756 от 27.09.2023, 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</row>
    <row r="79" spans="1:83" x14ac:dyDescent="0.25">
      <c r="A79" s="69" t="str">
        <f t="shared" si="2"/>
        <v xml:space="preserve">сертификат соответствия №АПБ.RU.OC002/4.H.01563 с 29.09.2021 по 28.09.2024, сертификат соответствия 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</row>
    <row r="80" spans="1:83" x14ac:dyDescent="0.25">
      <c r="A80" s="69" t="str">
        <f t="shared" si="2"/>
        <v>№ 04ИДЮ13.RU.C00354 с 24.03.2021 по 23.03.2024, экспертное заключение №002182 от 17.05.2021.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</row>
    <row r="81" spans="1:77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76" t="s">
        <v>32</v>
      </c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Y81" t="s">
        <v>84</v>
      </c>
    </row>
    <row r="82" spans="1:77" x14ac:dyDescent="0.25">
      <c r="A82" s="8" t="s">
        <v>33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23"/>
      <c r="BY82" t="s">
        <v>85</v>
      </c>
    </row>
    <row r="83" spans="1:77" x14ac:dyDescent="0.25">
      <c r="A83" s="34"/>
      <c r="B83" s="8"/>
      <c r="C83" s="8"/>
      <c r="D83" s="8" t="s">
        <v>34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7"/>
      <c r="X83" s="7"/>
      <c r="Y83" s="7"/>
      <c r="Z83" s="7"/>
      <c r="AA83" s="34"/>
      <c r="AB83" s="7"/>
      <c r="AC83" s="34"/>
      <c r="AD83" s="77" t="s">
        <v>35</v>
      </c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</row>
    <row r="84" spans="1:77" ht="13.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78" t="s">
        <v>36</v>
      </c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</row>
    <row r="85" spans="1:77" ht="13.8" customHeight="1" x14ac:dyDescent="0.25">
      <c r="A85" s="10" t="s">
        <v>37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  <c r="V85" s="28"/>
      <c r="W85" s="35"/>
      <c r="X85" s="29"/>
      <c r="Y85" s="75" t="str">
        <f>U39</f>
        <v>ПП2020РД-1.2-61.17-ОВ3, ПП2020РД-1.2-61.17-ОВ3.СО изм. 2 лист 2</v>
      </c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</row>
    <row r="86" spans="1:77" x14ac:dyDescent="0.25">
      <c r="A86" s="8" t="s">
        <v>38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34"/>
      <c r="M86" s="24"/>
      <c r="N86" s="70" t="s">
        <v>200</v>
      </c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</row>
    <row r="87" spans="1:77" ht="13.8" customHeight="1" x14ac:dyDescent="0.25">
      <c r="A87" s="70" t="s">
        <v>201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</row>
    <row r="88" spans="1:77" ht="13.8" customHeight="1" x14ac:dyDescent="0.25">
      <c r="A88" s="70" t="s">
        <v>209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</row>
    <row r="89" spans="1:77" ht="13.8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</row>
    <row r="90" spans="1:77" x14ac:dyDescent="0.25">
      <c r="A90" s="8" t="s">
        <v>39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12"/>
    </row>
    <row r="91" spans="1:77" x14ac:dyDescent="0.25">
      <c r="A91" s="8" t="s">
        <v>12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79" t="str">
        <f>BJ23</f>
        <v>Журавлев Ю.С.</v>
      </c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8"/>
      <c r="AP91" s="8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8"/>
      <c r="BG91" s="8"/>
      <c r="BH91" s="68">
        <f>AE21</f>
        <v>45337</v>
      </c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12"/>
    </row>
    <row r="92" spans="1:77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65" t="s">
        <v>59</v>
      </c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30"/>
      <c r="AP92" s="30"/>
      <c r="AQ92" s="65" t="s">
        <v>40</v>
      </c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30"/>
      <c r="BG92" s="30"/>
      <c r="BH92" s="65" t="s">
        <v>41</v>
      </c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26"/>
    </row>
    <row r="93" spans="1:77" x14ac:dyDescent="0.25">
      <c r="A93" s="8" t="s">
        <v>42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12"/>
    </row>
    <row r="94" spans="1:77" x14ac:dyDescent="0.25">
      <c r="A94" s="8" t="s">
        <v>43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79" t="str">
        <f>BJ25</f>
        <v>Халыгов Э. А.</v>
      </c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8"/>
      <c r="AP94" s="8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8"/>
      <c r="BG94" s="8"/>
      <c r="BH94" s="68">
        <f>BH91</f>
        <v>45337</v>
      </c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12"/>
      <c r="BY94" t="s">
        <v>86</v>
      </c>
    </row>
    <row r="95" spans="1:7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65" t="s">
        <v>59</v>
      </c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30"/>
      <c r="AP95" s="30"/>
      <c r="AQ95" s="65" t="s">
        <v>40</v>
      </c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30"/>
      <c r="BG95" s="30"/>
      <c r="BH95" s="65" t="s">
        <v>41</v>
      </c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12"/>
    </row>
    <row r="96" spans="1:77" ht="16.2" customHeight="1" x14ac:dyDescent="0.25">
      <c r="A96" s="8" t="s">
        <v>39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12"/>
      <c r="BY96" t="s">
        <v>87</v>
      </c>
    </row>
    <row r="97" spans="1:77" x14ac:dyDescent="0.25">
      <c r="A97" s="8" t="s">
        <v>44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66" t="str">
        <f>BJ27</f>
        <v>Тюкин Е.В.</v>
      </c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8"/>
      <c r="AP97" s="8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8"/>
      <c r="BG97" s="8"/>
      <c r="BH97" s="68">
        <f>BH91</f>
        <v>45337</v>
      </c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12"/>
      <c r="BY97" t="s">
        <v>88</v>
      </c>
    </row>
    <row r="98" spans="1:77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65" t="s">
        <v>59</v>
      </c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30"/>
      <c r="AP98" s="30"/>
      <c r="AQ98" s="65" t="s">
        <v>40</v>
      </c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30"/>
      <c r="BG98" s="30"/>
      <c r="BH98" s="65" t="s">
        <v>41</v>
      </c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12"/>
    </row>
    <row r="99" spans="1:77" x14ac:dyDescent="0.25">
      <c r="A99" s="13"/>
      <c r="B99" s="13"/>
      <c r="C99" s="13"/>
      <c r="D99" s="7"/>
      <c r="E99" s="7"/>
      <c r="F99" s="7"/>
      <c r="G99" s="7"/>
      <c r="H99" s="7"/>
      <c r="I99" s="7"/>
      <c r="J99" s="7"/>
      <c r="K99" s="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12"/>
    </row>
    <row r="100" spans="1:77" ht="13.8" customHeight="1" x14ac:dyDescent="0.25">
      <c r="A100" s="61" t="s">
        <v>107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13"/>
      <c r="AN100" s="13"/>
      <c r="AO100" s="8"/>
      <c r="AP100" s="8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8"/>
      <c r="BG100" s="8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12"/>
    </row>
    <row r="101" spans="1:77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10"/>
      <c r="AN101" s="10"/>
      <c r="AO101" s="8"/>
      <c r="AP101" s="8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8"/>
      <c r="BG101" s="8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12"/>
    </row>
    <row r="102" spans="1:77" ht="16.8" customHeight="1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12"/>
    </row>
  </sheetData>
  <mergeCells count="115">
    <mergeCell ref="A13:BT13"/>
    <mergeCell ref="A15:BT15"/>
    <mergeCell ref="A34:BT34"/>
    <mergeCell ref="A31:BT31"/>
    <mergeCell ref="A12:BT12"/>
    <mergeCell ref="A14:BT14"/>
    <mergeCell ref="A33:BT33"/>
    <mergeCell ref="A16:BT16"/>
    <mergeCell ref="A17:BT17"/>
    <mergeCell ref="A18:BT18"/>
    <mergeCell ref="A32:BT32"/>
    <mergeCell ref="AH6:BT7"/>
    <mergeCell ref="G7:H7"/>
    <mergeCell ref="I7:O7"/>
    <mergeCell ref="AF9:AW9"/>
    <mergeCell ref="A10:BT10"/>
    <mergeCell ref="A3:E3"/>
    <mergeCell ref="F3:H3"/>
    <mergeCell ref="I3:K3"/>
    <mergeCell ref="A6:E6"/>
    <mergeCell ref="F6:H6"/>
    <mergeCell ref="I6:K6"/>
    <mergeCell ref="BY29:CE30"/>
    <mergeCell ref="E30:BT30"/>
    <mergeCell ref="A20:BT20"/>
    <mergeCell ref="AE21:AT21"/>
    <mergeCell ref="S23:BI23"/>
    <mergeCell ref="BJ23:BT23"/>
    <mergeCell ref="T24:BJ24"/>
    <mergeCell ref="S25:BI25"/>
    <mergeCell ref="BJ25:BT25"/>
    <mergeCell ref="T26:BJ26"/>
    <mergeCell ref="S27:BI27"/>
    <mergeCell ref="BJ27:BT27"/>
    <mergeCell ref="T28:BJ28"/>
    <mergeCell ref="O29:BP29"/>
    <mergeCell ref="A38:BT38"/>
    <mergeCell ref="U39:BT39"/>
    <mergeCell ref="BY47:CE71"/>
    <mergeCell ref="A54:BT54"/>
    <mergeCell ref="A55:BT55"/>
    <mergeCell ref="D56:BT56"/>
    <mergeCell ref="D63:BT63"/>
    <mergeCell ref="Y65:BT65"/>
    <mergeCell ref="A48:BT48"/>
    <mergeCell ref="A49:BT49"/>
    <mergeCell ref="Y68:BT68"/>
    <mergeCell ref="A57:BT57"/>
    <mergeCell ref="A42:BT42"/>
    <mergeCell ref="AK43:BT43"/>
    <mergeCell ref="AK44:BT44"/>
    <mergeCell ref="BY39:CD41"/>
    <mergeCell ref="A62:BT62"/>
    <mergeCell ref="A58:BT58"/>
    <mergeCell ref="A53:BT53"/>
    <mergeCell ref="Y66:BT66"/>
    <mergeCell ref="Y67:BT67"/>
    <mergeCell ref="B64:BT64"/>
    <mergeCell ref="A35:BT35"/>
    <mergeCell ref="A36:BT36"/>
    <mergeCell ref="A37:BT37"/>
    <mergeCell ref="A60:BT60"/>
    <mergeCell ref="A61:BT61"/>
    <mergeCell ref="A50:BT50"/>
    <mergeCell ref="A51:BT51"/>
    <mergeCell ref="A52:BT52"/>
    <mergeCell ref="X94:AN94"/>
    <mergeCell ref="AQ94:BE94"/>
    <mergeCell ref="BH94:BS94"/>
    <mergeCell ref="A80:BT80"/>
    <mergeCell ref="BH91:BS91"/>
    <mergeCell ref="AQ92:BE92"/>
    <mergeCell ref="BH92:BS92"/>
    <mergeCell ref="N86:BT86"/>
    <mergeCell ref="P40:BT40"/>
    <mergeCell ref="U41:BT41"/>
    <mergeCell ref="A47:BT47"/>
    <mergeCell ref="A59:BT59"/>
    <mergeCell ref="A45:BT45"/>
    <mergeCell ref="A46:BT46"/>
    <mergeCell ref="A72:BT72"/>
    <mergeCell ref="A73:BT73"/>
    <mergeCell ref="A79:BT79"/>
    <mergeCell ref="A88:BT88"/>
    <mergeCell ref="A77:BT77"/>
    <mergeCell ref="A78:BT78"/>
    <mergeCell ref="X92:AN92"/>
    <mergeCell ref="AJ69:AS69"/>
    <mergeCell ref="AT69:BT69"/>
    <mergeCell ref="Q70:BT70"/>
    <mergeCell ref="AA71:BT71"/>
    <mergeCell ref="Y85:BT85"/>
    <mergeCell ref="A74:BT74"/>
    <mergeCell ref="A75:BT75"/>
    <mergeCell ref="A76:BT76"/>
    <mergeCell ref="V81:BT81"/>
    <mergeCell ref="AD83:BT83"/>
    <mergeCell ref="J84:BT84"/>
    <mergeCell ref="X91:AN91"/>
    <mergeCell ref="A87:BT87"/>
    <mergeCell ref="AQ91:BE91"/>
    <mergeCell ref="A100:AL102"/>
    <mergeCell ref="AQ100:BE100"/>
    <mergeCell ref="BH100:BS100"/>
    <mergeCell ref="AQ101:BE101"/>
    <mergeCell ref="BH101:BS101"/>
    <mergeCell ref="X98:AN98"/>
    <mergeCell ref="AQ98:BE98"/>
    <mergeCell ref="BH98:BS98"/>
    <mergeCell ref="X95:AN95"/>
    <mergeCell ref="AQ95:BE95"/>
    <mergeCell ref="BH95:BS95"/>
    <mergeCell ref="X97:AN97"/>
    <mergeCell ref="AQ97:BE97"/>
    <mergeCell ref="BH97:BS97"/>
  </mergeCells>
  <phoneticPr fontId="21" type="noConversion"/>
  <dataValidations count="4">
    <dataValidation type="list" showInputMessage="1" showErrorMessage="1" sqref="G7:H7" xr:uid="{00000000-0002-0000-0000-000000000000}">
      <formula1>"1,2"</formula1>
    </dataValidation>
    <dataValidation type="list" allowBlank="1" showInputMessage="1" showErrorMessage="1" sqref="F6:H6 F3:H3" xr:uid="{00000000-0002-0000-0000-000001000000}">
      <formula1>"I.I,I.II,II,III,IV,V,V.I,V.II"</formula1>
    </dataValidation>
    <dataValidation type="list" allowBlank="1" showInputMessage="1" showErrorMessage="1" sqref="N29" xr:uid="{00000000-0002-0000-0000-000002000000}">
      <formula1>"выборочный,сплошной"</formula1>
    </dataValidation>
    <dataValidation type="list" errorStyle="information" allowBlank="1" showInputMessage="1" sqref="O29:BP29" xr:uid="{00000000-0002-0000-00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1" fitToHeight="0" orientation="portrait" blackAndWhite="1" r:id="rId1"/>
  <rowBreaks count="2" manualBreakCount="2">
    <brk id="66" max="71" man="1"/>
    <brk id="102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000-000004000000}">
          <x14:formula1>
            <xm:f>'Лист общих данных'!$B$6:$B$12</xm:f>
          </x14:formula1>
          <xm:sqref>S41:U41</xm:sqref>
        </x14:dataValidation>
        <x14:dataValidation type="list" errorStyle="information" allowBlank="1" showInputMessage="1" xr:uid="{00000000-0002-0000-0000-000005000000}">
          <x14:formula1>
            <xm:f>'Лист общих данных'!$C$6:$C$12</xm:f>
          </x14:formula1>
          <xm:sqref>T39:U39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BJ23:BT23</xm:sqref>
        </x14:dataValidation>
        <x14:dataValidation type="list" allowBlank="1" showInputMessage="1" showErrorMessage="1" xr:uid="{00000000-0002-0000-0000-000007000000}">
          <x14:formula1>
            <xm:f>подписанты!$B$5:$B$7</xm:f>
          </x14:formula1>
          <xm:sqref>BJ25:BT25</xm:sqref>
        </x14:dataValidation>
        <x14:dataValidation type="list" allowBlank="1" showInputMessage="1" showErrorMessage="1" xr:uid="{00000000-0002-0000-0000-000008000000}">
          <x14:formula1>
            <xm:f>подписанты!$B$8:$B$9</xm:f>
          </x14:formula1>
          <xm:sqref>BJ27:BT27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CE62"/>
  <sheetViews>
    <sheetView view="pageBreakPreview" zoomScaleNormal="100" zoomScaleSheetLayoutView="100" workbookViewId="0">
      <selection activeCell="AK32" sqref="AK32:BT32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5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117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110" t="s">
        <v>138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97" t="s">
        <v>46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98">
        <v>45337</v>
      </c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45337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ht="13.8" customHeight="1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9" t="str">
        <f>VLOOKUP(BJ17,подписанты!$B$3:$C$11,2,FALSE)</f>
        <v>Ведущий инженер МТО АО «Газстройпроект»</v>
      </c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100" t="s">
        <v>77</v>
      </c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5" t="s">
        <v>13</v>
      </c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ht="13.8" customHeight="1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1" t="str">
        <f>VLOOKUP(BJ19,подписанты!$B$3:$C$11,2,FALSE)</f>
        <v>Инженер отдела технического надзора АО «Газстройпроект»</v>
      </c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0" t="s">
        <v>68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99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102" t="s">
        <v>91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5" t="s">
        <v>13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6" t="s">
        <v>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8" t="s">
        <v>17</v>
      </c>
      <c r="BR23" s="13"/>
      <c r="BS23" s="13"/>
      <c r="BT23" s="13"/>
      <c r="BY23" s="87" t="s">
        <v>80</v>
      </c>
      <c r="BZ23" s="87"/>
      <c r="CA23" s="87"/>
      <c r="CB23" s="87"/>
      <c r="CC23" s="87"/>
      <c r="CD23" s="87"/>
      <c r="CE23" s="87"/>
    </row>
    <row r="24" spans="1:83" ht="13.8" customHeight="1" x14ac:dyDescent="0.25">
      <c r="A24" s="8"/>
      <c r="B24" s="8"/>
      <c r="C24" s="8"/>
      <c r="D24" s="8"/>
      <c r="E24" s="96" t="s">
        <v>47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Y24" s="87"/>
      <c r="BZ24" s="87"/>
      <c r="CA24" s="87"/>
      <c r="CB24" s="87"/>
      <c r="CC24" s="87"/>
      <c r="CD24" s="87"/>
      <c r="CE24" s="87"/>
    </row>
    <row r="25" spans="1:83" ht="16.2" customHeight="1" x14ac:dyDescent="0.25">
      <c r="A25" s="80" t="s">
        <v>137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Y25" s="58"/>
      <c r="BZ25" s="58"/>
      <c r="CA25" s="58"/>
      <c r="CB25" s="58"/>
      <c r="CC25" s="58"/>
      <c r="CD25" s="58"/>
      <c r="CE25" s="58"/>
    </row>
    <row r="26" spans="1:83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</row>
    <row r="27" spans="1:83" ht="13.8" customHeight="1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6"/>
      <c r="S27" s="8"/>
      <c r="T27" s="55"/>
      <c r="U27" s="86" t="s">
        <v>123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Y27" s="87" t="s">
        <v>81</v>
      </c>
      <c r="BZ27" s="87"/>
      <c r="CA27" s="87"/>
      <c r="CB27" s="87"/>
      <c r="CC27" s="87"/>
      <c r="CD27" s="87"/>
    </row>
    <row r="28" spans="1:8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3" t="s">
        <v>19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Y28" s="87"/>
      <c r="BZ28" s="87"/>
      <c r="CA28" s="87"/>
      <c r="CB28" s="87"/>
      <c r="CC28" s="87"/>
      <c r="CD28" s="87"/>
    </row>
    <row r="29" spans="1:83" x14ac:dyDescent="0.25">
      <c r="A29" s="10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1"/>
      <c r="T29" s="21"/>
      <c r="U29" s="84" t="s">
        <v>51</v>
      </c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Y29" s="87"/>
      <c r="BZ29" s="87"/>
      <c r="CA29" s="87"/>
      <c r="CB29" s="87"/>
      <c r="CC29" s="87"/>
      <c r="CD29" s="87"/>
    </row>
    <row r="30" spans="1:83" x14ac:dyDescent="0.25">
      <c r="A30" s="91" t="s">
        <v>21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</row>
    <row r="31" spans="1:83" x14ac:dyDescent="0.25">
      <c r="A31" s="8"/>
      <c r="B31" s="8"/>
      <c r="C31" s="8"/>
      <c r="D31" s="8" t="s">
        <v>22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7"/>
      <c r="AH31" s="7"/>
      <c r="AI31" s="7"/>
      <c r="AJ31" s="7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83" ht="13.8" customHeight="1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1"/>
      <c r="AJ32" s="8"/>
      <c r="AK32" s="93" t="s">
        <v>139</v>
      </c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Y32" s="44" t="s">
        <v>82</v>
      </c>
    </row>
    <row r="33" spans="1:83" x14ac:dyDescent="0.25">
      <c r="A33" s="94" t="s">
        <v>140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Y33" s="87"/>
      <c r="BZ33" s="87"/>
      <c r="CA33" s="87"/>
      <c r="CB33" s="87"/>
      <c r="CC33" s="87"/>
      <c r="CD33" s="87"/>
      <c r="CE33" s="87"/>
    </row>
    <row r="34" spans="1:83" x14ac:dyDescent="0.25">
      <c r="A34" s="65" t="s">
        <v>24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Y34" s="87"/>
      <c r="BZ34" s="87"/>
      <c r="CA34" s="87"/>
      <c r="CB34" s="87"/>
      <c r="CC34" s="87"/>
      <c r="CD34" s="87"/>
      <c r="CE34" s="87"/>
    </row>
    <row r="35" spans="1:83" x14ac:dyDescent="0.25">
      <c r="A35" s="88" t="s">
        <v>57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Y35" s="87"/>
      <c r="BZ35" s="87"/>
      <c r="CA35" s="87"/>
      <c r="CB35" s="87"/>
      <c r="CC35" s="87"/>
      <c r="CD35" s="87"/>
      <c r="CE35" s="87"/>
    </row>
    <row r="36" spans="1:83" x14ac:dyDescent="0.25">
      <c r="A36" s="18" t="s">
        <v>58</v>
      </c>
      <c r="B36" s="19"/>
      <c r="C36" s="19"/>
      <c r="D36" s="111" t="str">
        <f>A25</f>
        <v>Рефнет-разветвитель универсальный Y1 -  компл.</v>
      </c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Y36" s="87"/>
      <c r="BZ36" s="87"/>
      <c r="CA36" s="87"/>
      <c r="CB36" s="87"/>
      <c r="CC36" s="87"/>
      <c r="CD36" s="87"/>
      <c r="CE36" s="87"/>
    </row>
    <row r="37" spans="1:83" x14ac:dyDescent="0.25">
      <c r="A37" s="8"/>
      <c r="B37" s="8"/>
      <c r="C37" s="8"/>
      <c r="D37" s="112" t="s">
        <v>25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Y37" s="87"/>
      <c r="BZ37" s="87"/>
      <c r="CA37" s="87"/>
      <c r="CB37" s="87"/>
      <c r="CC37" s="87"/>
      <c r="CD37" s="87"/>
      <c r="CE37" s="87"/>
    </row>
    <row r="38" spans="1:83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3"/>
      <c r="Y38" s="109" t="s">
        <v>114</v>
      </c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Y38" s="87"/>
      <c r="BZ38" s="87"/>
      <c r="CA38" s="87"/>
      <c r="CB38" s="87"/>
      <c r="CC38" s="87"/>
      <c r="CD38" s="87"/>
      <c r="CE38" s="87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/>
      <c r="Y39" s="65" t="s">
        <v>27</v>
      </c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Y39" s="87"/>
      <c r="BZ39" s="87"/>
      <c r="CA39" s="87"/>
      <c r="CB39" s="87"/>
      <c r="CC39" s="87"/>
      <c r="CD39" s="87"/>
      <c r="CE39" s="87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71" t="s">
        <v>29</v>
      </c>
      <c r="AK40" s="71"/>
      <c r="AL40" s="71"/>
      <c r="AM40" s="71"/>
      <c r="AN40" s="71"/>
      <c r="AO40" s="71"/>
      <c r="AP40" s="71"/>
      <c r="AQ40" s="71"/>
      <c r="AR40" s="71"/>
      <c r="AS40" s="71"/>
      <c r="AT40" s="72" t="s">
        <v>72</v>
      </c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Y40" s="87"/>
      <c r="BZ40" s="87"/>
      <c r="CA40" s="87"/>
      <c r="CB40" s="87"/>
      <c r="CC40" s="87"/>
      <c r="CD40" s="87"/>
      <c r="CE40" s="87"/>
    </row>
    <row r="41" spans="1:83" ht="13.8" customHeight="1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5"/>
      <c r="O41" s="55"/>
      <c r="P41" s="55"/>
      <c r="Q41" s="73" t="str">
        <f>U27</f>
        <v xml:space="preserve">ПП2020РД-1.2-61.17-ОВ3.СО изм.  лист </v>
      </c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57"/>
      <c r="BY41" s="87"/>
      <c r="BZ41" s="87"/>
      <c r="CA41" s="87"/>
      <c r="CB41" s="87"/>
      <c r="CC41" s="87"/>
      <c r="CD41" s="87"/>
      <c r="CE41" s="87"/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1"/>
      <c r="X42" s="8"/>
      <c r="Y42" s="32"/>
      <c r="Z42" s="32"/>
      <c r="AA42" s="74" t="str">
        <f>AK32</f>
        <v>Паспорт изделия № 1632-15 от 23.10.2023;</v>
      </c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Y42" s="87"/>
      <c r="BZ42" s="87"/>
      <c r="CA42" s="87"/>
      <c r="CB42" s="87"/>
      <c r="CC42" s="87"/>
      <c r="CD42" s="87"/>
      <c r="CE42" s="87"/>
    </row>
    <row r="43" spans="1:83" x14ac:dyDescent="0.25">
      <c r="A43" s="69" t="str">
        <f>A33</f>
        <v>Сертификат соответствия № РОСС CN.НЕ06.Н04240 с 23.03.2023 по 22.03.2026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</row>
    <row r="44" spans="1:8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76" t="s">
        <v>32</v>
      </c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Y44" t="s">
        <v>84</v>
      </c>
    </row>
    <row r="45" spans="1:83" x14ac:dyDescent="0.25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23"/>
      <c r="BY45" t="s">
        <v>85</v>
      </c>
    </row>
    <row r="46" spans="1:83" x14ac:dyDescent="0.25">
      <c r="A46" s="34"/>
      <c r="B46" s="8"/>
      <c r="C46" s="8"/>
      <c r="D46" s="8" t="s">
        <v>34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7"/>
      <c r="X46" s="7"/>
      <c r="Y46" s="7"/>
      <c r="Z46" s="7"/>
      <c r="AA46" s="34"/>
      <c r="AB46" s="7"/>
      <c r="AC46" s="34"/>
      <c r="AD46" s="77" t="s">
        <v>35</v>
      </c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</row>
    <row r="47" spans="1:83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78" t="s">
        <v>36</v>
      </c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</row>
    <row r="48" spans="1:83" ht="13.8" customHeight="1" x14ac:dyDescent="0.25">
      <c r="A48" s="10" t="s">
        <v>37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28"/>
      <c r="W48" s="35"/>
      <c r="X48" s="29"/>
      <c r="Y48" s="75" t="str">
        <f>U27</f>
        <v xml:space="preserve">ПП2020РД-1.2-61.17-ОВ3.СО изм.  лист </v>
      </c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</row>
    <row r="49" spans="1:77" ht="13.8" customHeight="1" x14ac:dyDescent="0.25">
      <c r="A49" s="8" t="s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34"/>
      <c r="M49" s="24"/>
      <c r="N49" s="113" t="s">
        <v>141</v>
      </c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</row>
    <row r="50" spans="1:77" x14ac:dyDescent="0.25">
      <c r="A50" s="8" t="s">
        <v>39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12"/>
    </row>
    <row r="51" spans="1:77" x14ac:dyDescent="0.25">
      <c r="A51" s="8" t="s">
        <v>12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9" t="str">
        <f>BJ17</f>
        <v>Журавлев Ю.С.</v>
      </c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8"/>
      <c r="AP51" s="8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8"/>
      <c r="BG51" s="8"/>
      <c r="BH51" s="68">
        <f>AE15</f>
        <v>45337</v>
      </c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12"/>
    </row>
    <row r="52" spans="1:7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65" t="s">
        <v>59</v>
      </c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30"/>
      <c r="AP52" s="30"/>
      <c r="AQ52" s="65" t="s">
        <v>40</v>
      </c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30"/>
      <c r="BG52" s="30"/>
      <c r="BH52" s="65" t="s">
        <v>41</v>
      </c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26"/>
    </row>
    <row r="53" spans="1:77" x14ac:dyDescent="0.25">
      <c r="A53" s="8" t="s">
        <v>42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12"/>
    </row>
    <row r="54" spans="1:77" x14ac:dyDescent="0.25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9" t="str">
        <f>BJ19</f>
        <v>Халыгов Э. А.</v>
      </c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8"/>
      <c r="AP54" s="8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8"/>
      <c r="BG54" s="8"/>
      <c r="BH54" s="68">
        <f>BH51</f>
        <v>45337</v>
      </c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12"/>
      <c r="BY54" t="s">
        <v>86</v>
      </c>
    </row>
    <row r="55" spans="1:7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65" t="s">
        <v>59</v>
      </c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30"/>
      <c r="AP55" s="30"/>
      <c r="AQ55" s="65" t="s">
        <v>40</v>
      </c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30"/>
      <c r="BG55" s="30"/>
      <c r="BH55" s="65" t="s">
        <v>41</v>
      </c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12"/>
    </row>
    <row r="56" spans="1:77" ht="16.2" customHeight="1" x14ac:dyDescent="0.25">
      <c r="A56" s="8" t="s">
        <v>39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12"/>
      <c r="BY56" t="s">
        <v>87</v>
      </c>
    </row>
    <row r="57" spans="1:77" x14ac:dyDescent="0.25">
      <c r="A57" s="8" t="s">
        <v>44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6" t="str">
        <f>BJ21</f>
        <v>Тюкин Е.В.</v>
      </c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8"/>
      <c r="AP57" s="8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8"/>
      <c r="BG57" s="8"/>
      <c r="BH57" s="68">
        <f>BH51</f>
        <v>45337</v>
      </c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12"/>
      <c r="BY57" t="s">
        <v>88</v>
      </c>
    </row>
    <row r="58" spans="1:77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5" t="s">
        <v>59</v>
      </c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30"/>
      <c r="AP58" s="30"/>
      <c r="AQ58" s="65" t="s">
        <v>40</v>
      </c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30"/>
      <c r="BG58" s="30"/>
      <c r="BH58" s="65" t="s">
        <v>41</v>
      </c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12"/>
    </row>
    <row r="59" spans="1:77" x14ac:dyDescent="0.25">
      <c r="A59" s="13"/>
      <c r="B59" s="13"/>
      <c r="C59" s="13"/>
      <c r="D59" s="7"/>
      <c r="E59" s="7"/>
      <c r="F59" s="7"/>
      <c r="G59" s="7"/>
      <c r="H59" s="7"/>
      <c r="I59" s="7"/>
      <c r="J59" s="7"/>
      <c r="K59" s="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12"/>
    </row>
    <row r="60" spans="1:77" ht="13.8" customHeight="1" x14ac:dyDescent="0.25">
      <c r="A60" s="61" t="s">
        <v>107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13"/>
      <c r="AN60" s="13"/>
      <c r="AO60" s="8"/>
      <c r="AP60" s="8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8"/>
      <c r="BG60" s="8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12"/>
    </row>
    <row r="61" spans="1:7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10"/>
      <c r="AN61" s="10"/>
      <c r="AO61" s="8"/>
      <c r="AP61" s="8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8"/>
      <c r="BG61" s="8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12"/>
    </row>
    <row r="62" spans="1:77" ht="16.8" customHeight="1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</sheetData>
  <mergeCells count="76">
    <mergeCell ref="AQ60:BE60"/>
    <mergeCell ref="BH60:BS60"/>
    <mergeCell ref="N49:BT49"/>
    <mergeCell ref="AQ58:BE58"/>
    <mergeCell ref="BH58:BS58"/>
    <mergeCell ref="X55:AN55"/>
    <mergeCell ref="AQ55:BE55"/>
    <mergeCell ref="BH55:BS55"/>
    <mergeCell ref="AQ61:BE61"/>
    <mergeCell ref="BH61:BS61"/>
    <mergeCell ref="A60:AL62"/>
    <mergeCell ref="X51:AN51"/>
    <mergeCell ref="AQ51:BE51"/>
    <mergeCell ref="BH51:BS51"/>
    <mergeCell ref="X52:AN52"/>
    <mergeCell ref="AQ52:BE52"/>
    <mergeCell ref="BH52:BS52"/>
    <mergeCell ref="X54:AN54"/>
    <mergeCell ref="AQ54:BE54"/>
    <mergeCell ref="BH54:BS54"/>
    <mergeCell ref="X57:AN57"/>
    <mergeCell ref="AQ57:BE57"/>
    <mergeCell ref="BH57:BS57"/>
    <mergeCell ref="X58:AN58"/>
    <mergeCell ref="BY23:CE24"/>
    <mergeCell ref="BY27:CD29"/>
    <mergeCell ref="BY33:CE42"/>
    <mergeCell ref="D36:BT36"/>
    <mergeCell ref="D37:BT37"/>
    <mergeCell ref="A30:BT30"/>
    <mergeCell ref="AK32:BT32"/>
    <mergeCell ref="A34:BT34"/>
    <mergeCell ref="A35:BT35"/>
    <mergeCell ref="A26:BT26"/>
    <mergeCell ref="U27:BT27"/>
    <mergeCell ref="A33:BT33"/>
    <mergeCell ref="O23:BP23"/>
    <mergeCell ref="AK31:BT31"/>
    <mergeCell ref="E24:BT24"/>
    <mergeCell ref="AT40:BT40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5:AT15"/>
    <mergeCell ref="T18:BJ18"/>
    <mergeCell ref="S17:BI17"/>
    <mergeCell ref="BJ17:BT17"/>
    <mergeCell ref="A14:BT14"/>
    <mergeCell ref="T22:BJ22"/>
    <mergeCell ref="S19:BI19"/>
    <mergeCell ref="BJ19:BT19"/>
    <mergeCell ref="T20:BJ20"/>
    <mergeCell ref="S21:BI21"/>
    <mergeCell ref="BJ21:BT21"/>
    <mergeCell ref="A25:BT25"/>
    <mergeCell ref="P28:BT28"/>
    <mergeCell ref="U29:BT29"/>
    <mergeCell ref="Y48:BT48"/>
    <mergeCell ref="Y38:BT38"/>
    <mergeCell ref="V44:BT44"/>
    <mergeCell ref="AD46:BT46"/>
    <mergeCell ref="J47:BT47"/>
    <mergeCell ref="Y39:BT39"/>
    <mergeCell ref="AJ40:AS40"/>
    <mergeCell ref="Q41:BT41"/>
    <mergeCell ref="AA42:BT42"/>
    <mergeCell ref="A43:BT43"/>
  </mergeCells>
  <phoneticPr fontId="21" type="noConversion"/>
  <dataValidations count="4">
    <dataValidation type="list" errorStyle="information" allowBlank="1" showInputMessage="1" sqref="O23:BP23" xr:uid="{00000000-0002-0000-0100-000000000000}">
      <formula1>"выборочный,сплошной"</formula1>
    </dataValidation>
    <dataValidation type="list" allowBlank="1" showInputMessage="1" showErrorMessage="1" sqref="N23" xr:uid="{00000000-0002-0000-0100-000001000000}">
      <formula1>"выборочный,сплошной"</formula1>
    </dataValidation>
    <dataValidation type="list" allowBlank="1" showInputMessage="1" showErrorMessage="1" sqref="F6:H6 F3:H3" xr:uid="{00000000-0002-0000-0100-000002000000}">
      <formula1>"I.I,I.II,II,III,IV,V,V.I,V.II"</formula1>
    </dataValidation>
    <dataValidation type="list" showInputMessage="1" showErrorMessage="1" sqref="G7:H7" xr:uid="{00000000-0002-0000-01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1" manualBreakCount="1">
    <brk id="62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1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1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100-000007000000}">
          <x14:formula1>
            <xm:f>'Лист общих данных'!$C$6:$C$12</xm:f>
          </x14:formula1>
          <xm:sqref>T27:U27</xm:sqref>
        </x14:dataValidation>
        <x14:dataValidation type="list" errorStyle="warning" allowBlank="1" showInputMessage="1" showErrorMessage="1" xr:uid="{00000000-0002-0000-0100-000008000000}">
          <x14:formula1>
            <xm:f>'Лист общих данных'!$B$6:$B$12</xm:f>
          </x14:formula1>
          <xm:sqref>S29:U29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CE63"/>
  <sheetViews>
    <sheetView view="pageBreakPreview" topLeftCell="A23" zoomScaleNormal="100" zoomScaleSheetLayoutView="100" workbookViewId="0">
      <selection activeCell="BW39" sqref="BW39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5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122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110" t="s">
        <v>111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97" t="s">
        <v>46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98">
        <v>45337</v>
      </c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45337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ht="13.8" customHeight="1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9" t="str">
        <f>VLOOKUP(BJ17,подписанты!$B$3:$C$11,2,FALSE)</f>
        <v>Ведущий инженер МТО АО «Газстройпроект»</v>
      </c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100" t="s">
        <v>77</v>
      </c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5" t="s">
        <v>13</v>
      </c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ht="13.8" customHeight="1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1" t="str">
        <f>VLOOKUP(BJ19,подписанты!$B$3:$C$11,2,FALSE)</f>
        <v>Инженер отдела технического надзора АО «Газстройпроект»</v>
      </c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0" t="s">
        <v>68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99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102" t="s">
        <v>91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5" t="s">
        <v>13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6" t="s">
        <v>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8" t="s">
        <v>17</v>
      </c>
      <c r="BR23" s="13"/>
      <c r="BS23" s="13"/>
      <c r="BT23" s="13"/>
      <c r="BY23" s="87" t="s">
        <v>80</v>
      </c>
      <c r="BZ23" s="87"/>
      <c r="CA23" s="87"/>
      <c r="CB23" s="87"/>
      <c r="CC23" s="87"/>
      <c r="CD23" s="87"/>
      <c r="CE23" s="87"/>
    </row>
    <row r="24" spans="1:83" ht="13.8" customHeight="1" x14ac:dyDescent="0.25">
      <c r="A24" s="8"/>
      <c r="B24" s="8"/>
      <c r="C24" s="8"/>
      <c r="D24" s="8"/>
      <c r="E24" s="96" t="s">
        <v>47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Y24" s="87"/>
      <c r="BZ24" s="87"/>
      <c r="CA24" s="87"/>
      <c r="CB24" s="87"/>
      <c r="CC24" s="87"/>
      <c r="CD24" s="87"/>
      <c r="CE24" s="87"/>
    </row>
    <row r="25" spans="1:83" ht="16.2" customHeight="1" x14ac:dyDescent="0.25">
      <c r="A25" s="80" t="s">
        <v>113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Y25" s="58"/>
      <c r="BZ25" s="58"/>
      <c r="CA25" s="58"/>
      <c r="CB25" s="58"/>
      <c r="CC25" s="58"/>
      <c r="CD25" s="58"/>
      <c r="CE25" s="58"/>
    </row>
    <row r="26" spans="1:83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</row>
    <row r="27" spans="1:83" ht="13.8" customHeight="1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6"/>
      <c r="S27" s="8"/>
      <c r="T27" s="55"/>
      <c r="U27" s="86" t="s">
        <v>224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Y27" s="87" t="s">
        <v>81</v>
      </c>
      <c r="BZ27" s="87"/>
      <c r="CA27" s="87"/>
      <c r="CB27" s="87"/>
      <c r="CC27" s="87"/>
      <c r="CD27" s="87"/>
    </row>
    <row r="28" spans="1:8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3" t="s">
        <v>19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Y28" s="87"/>
      <c r="BZ28" s="87"/>
      <c r="CA28" s="87"/>
      <c r="CB28" s="87"/>
      <c r="CC28" s="87"/>
      <c r="CD28" s="87"/>
    </row>
    <row r="29" spans="1:83" x14ac:dyDescent="0.25">
      <c r="A29" s="10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1"/>
      <c r="T29" s="21"/>
      <c r="U29" s="84" t="s">
        <v>51</v>
      </c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Y29" s="87"/>
      <c r="BZ29" s="87"/>
      <c r="CA29" s="87"/>
      <c r="CB29" s="87"/>
      <c r="CC29" s="87"/>
      <c r="CD29" s="87"/>
    </row>
    <row r="30" spans="1:83" x14ac:dyDescent="0.25">
      <c r="A30" s="91" t="s">
        <v>21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</row>
    <row r="31" spans="1:83" x14ac:dyDescent="0.25">
      <c r="A31" s="8"/>
      <c r="B31" s="8"/>
      <c r="C31" s="8"/>
      <c r="D31" s="8" t="s">
        <v>22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7"/>
      <c r="AH31" s="7"/>
      <c r="AI31" s="7"/>
      <c r="AJ31" s="7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83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1"/>
      <c r="AJ32" s="8"/>
      <c r="AK32" s="93" t="s">
        <v>112</v>
      </c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Y32" s="44" t="s">
        <v>82</v>
      </c>
    </row>
    <row r="33" spans="1:83" x14ac:dyDescent="0.25">
      <c r="A33" s="82" t="s">
        <v>115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Y33" s="87" t="s">
        <v>83</v>
      </c>
      <c r="BZ33" s="87"/>
      <c r="CA33" s="87"/>
      <c r="CB33" s="87"/>
      <c r="CC33" s="87"/>
      <c r="CD33" s="87"/>
      <c r="CE33" s="87"/>
    </row>
    <row r="34" spans="1:83" x14ac:dyDescent="0.25">
      <c r="A34" s="65" t="s">
        <v>24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Y34" s="87"/>
      <c r="BZ34" s="87"/>
      <c r="CA34" s="87"/>
      <c r="CB34" s="87"/>
      <c r="CC34" s="87"/>
      <c r="CD34" s="87"/>
      <c r="CE34" s="87"/>
    </row>
    <row r="35" spans="1:83" x14ac:dyDescent="0.25">
      <c r="A35" s="88" t="s">
        <v>57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Y35" s="87"/>
      <c r="BZ35" s="87"/>
      <c r="CA35" s="87"/>
      <c r="CB35" s="87"/>
      <c r="CC35" s="87"/>
      <c r="CD35" s="87"/>
      <c r="CE35" s="87"/>
    </row>
    <row r="36" spans="1:83" x14ac:dyDescent="0.25">
      <c r="A36" s="18" t="s">
        <v>58</v>
      </c>
      <c r="B36" s="19"/>
      <c r="C36" s="19"/>
      <c r="D36" s="111" t="str">
        <f>A25</f>
        <v>Фреон R410A - 5 кг</v>
      </c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Y36" s="87"/>
      <c r="BZ36" s="87"/>
      <c r="CA36" s="87"/>
      <c r="CB36" s="87"/>
      <c r="CC36" s="87"/>
      <c r="CD36" s="87"/>
      <c r="CE36" s="87"/>
    </row>
    <row r="37" spans="1:83" x14ac:dyDescent="0.25">
      <c r="A37" s="8"/>
      <c r="B37" s="8"/>
      <c r="C37" s="8"/>
      <c r="D37" s="112" t="s">
        <v>25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Y37" s="87"/>
      <c r="BZ37" s="87"/>
      <c r="CA37" s="87"/>
      <c r="CB37" s="87"/>
      <c r="CC37" s="87"/>
      <c r="CD37" s="87"/>
      <c r="CE37" s="87"/>
    </row>
    <row r="38" spans="1:83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3"/>
      <c r="Y38" s="109" t="s">
        <v>114</v>
      </c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Y38" s="87"/>
      <c r="BZ38" s="87"/>
      <c r="CA38" s="87"/>
      <c r="CB38" s="87"/>
      <c r="CC38" s="87"/>
      <c r="CD38" s="87"/>
      <c r="CE38" s="87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/>
      <c r="Y39" s="65" t="s">
        <v>27</v>
      </c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Y39" s="87"/>
      <c r="BZ39" s="87"/>
      <c r="CA39" s="87"/>
      <c r="CB39" s="87"/>
      <c r="CC39" s="87"/>
      <c r="CD39" s="87"/>
      <c r="CE39" s="87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71" t="s">
        <v>29</v>
      </c>
      <c r="AK40" s="71"/>
      <c r="AL40" s="71"/>
      <c r="AM40" s="71"/>
      <c r="AN40" s="71"/>
      <c r="AO40" s="71"/>
      <c r="AP40" s="71"/>
      <c r="AQ40" s="71"/>
      <c r="AR40" s="71"/>
      <c r="AS40" s="71"/>
      <c r="AT40" s="72" t="s">
        <v>72</v>
      </c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Y40" s="87"/>
      <c r="BZ40" s="87"/>
      <c r="CA40" s="87"/>
      <c r="CB40" s="87"/>
      <c r="CC40" s="87"/>
      <c r="CD40" s="87"/>
      <c r="CE40" s="87"/>
    </row>
    <row r="41" spans="1:83" ht="13.8" customHeight="1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5"/>
      <c r="O41" s="55"/>
      <c r="P41" s="55"/>
      <c r="Q41" s="73" t="str">
        <f>U27</f>
        <v>ПП2020РД-1.2-61.17-ОВ3, ПП2020РД-1.2-61.17-ОВ3.СО изм. 2 лист 2</v>
      </c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57"/>
      <c r="BY41" s="87"/>
      <c r="BZ41" s="87"/>
      <c r="CA41" s="87"/>
      <c r="CB41" s="87"/>
      <c r="CC41" s="87"/>
      <c r="CD41" s="87"/>
      <c r="CE41" s="87"/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1"/>
      <c r="X42" s="8"/>
      <c r="Y42" s="32"/>
      <c r="Z42" s="32"/>
      <c r="AA42" s="74" t="str">
        <f>AK32</f>
        <v xml:space="preserve">паспорт безопасности материала б/н от 11.10.2023, сертификат </v>
      </c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Y42" s="87"/>
      <c r="BZ42" s="87"/>
      <c r="CA42" s="87"/>
      <c r="CB42" s="87"/>
      <c r="CC42" s="87"/>
      <c r="CD42" s="87"/>
      <c r="CE42" s="87"/>
    </row>
    <row r="43" spans="1:83" x14ac:dyDescent="0.25">
      <c r="A43" s="69" t="str">
        <f>A33</f>
        <v>соответствия №РОСС RU.32001.04ИБФ1.ОСП18.28370 с 20.01.2023 по 19.01.2026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</row>
    <row r="44" spans="1:8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76" t="s">
        <v>32</v>
      </c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Y44" t="s">
        <v>84</v>
      </c>
    </row>
    <row r="45" spans="1:83" x14ac:dyDescent="0.25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23"/>
      <c r="BY45" t="s">
        <v>85</v>
      </c>
    </row>
    <row r="46" spans="1:83" x14ac:dyDescent="0.25">
      <c r="A46" s="34"/>
      <c r="B46" s="8"/>
      <c r="C46" s="8"/>
      <c r="D46" s="8" t="s">
        <v>34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7"/>
      <c r="X46" s="7"/>
      <c r="Y46" s="7"/>
      <c r="Z46" s="7"/>
      <c r="AA46" s="34"/>
      <c r="AB46" s="7"/>
      <c r="AC46" s="34"/>
      <c r="AD46" s="77" t="s">
        <v>35</v>
      </c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</row>
    <row r="47" spans="1:83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78" t="s">
        <v>36</v>
      </c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</row>
    <row r="48" spans="1:83" ht="13.8" customHeight="1" x14ac:dyDescent="0.25">
      <c r="A48" s="10" t="s">
        <v>37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28"/>
      <c r="W48" s="35"/>
      <c r="X48" s="29"/>
      <c r="Y48" s="75" t="str">
        <f>U27</f>
        <v>ПП2020РД-1.2-61.17-ОВ3, ПП2020РД-1.2-61.17-ОВ3.СО изм. 2 лист 2</v>
      </c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</row>
    <row r="49" spans="1:77" x14ac:dyDescent="0.25">
      <c r="A49" s="8" t="s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34"/>
      <c r="M49" s="24"/>
      <c r="N49" s="114" t="s">
        <v>108</v>
      </c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</row>
    <row r="50" spans="1:7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7" x14ac:dyDescent="0.25">
      <c r="A51" s="8" t="s">
        <v>39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12"/>
    </row>
    <row r="52" spans="1:77" x14ac:dyDescent="0.25">
      <c r="A52" s="8" t="s">
        <v>12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9" t="str">
        <f>BJ17</f>
        <v>Журавлев Ю.С.</v>
      </c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8"/>
      <c r="AP52" s="8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8"/>
      <c r="BG52" s="8"/>
      <c r="BH52" s="68">
        <f>AE15</f>
        <v>45337</v>
      </c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12"/>
    </row>
    <row r="53" spans="1:7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65" t="s">
        <v>59</v>
      </c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30"/>
      <c r="AP53" s="30"/>
      <c r="AQ53" s="65" t="s">
        <v>40</v>
      </c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30"/>
      <c r="BG53" s="30"/>
      <c r="BH53" s="65" t="s">
        <v>41</v>
      </c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26"/>
    </row>
    <row r="54" spans="1:77" x14ac:dyDescent="0.25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12"/>
    </row>
    <row r="55" spans="1:77" x14ac:dyDescent="0.25">
      <c r="A55" s="8" t="s">
        <v>43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9" t="str">
        <f>BJ19</f>
        <v>Халыгов Э. А.</v>
      </c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8"/>
      <c r="AP55" s="8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8"/>
      <c r="BG55" s="8"/>
      <c r="BH55" s="68">
        <f>BH52</f>
        <v>45337</v>
      </c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12"/>
      <c r="BY55" t="s">
        <v>86</v>
      </c>
    </row>
    <row r="56" spans="1:7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65" t="s">
        <v>59</v>
      </c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30"/>
      <c r="AP56" s="30"/>
      <c r="AQ56" s="65" t="s">
        <v>40</v>
      </c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30"/>
      <c r="BG56" s="30"/>
      <c r="BH56" s="65" t="s">
        <v>41</v>
      </c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12"/>
    </row>
    <row r="57" spans="1:77" ht="16.2" customHeight="1" x14ac:dyDescent="0.25">
      <c r="A57" s="8" t="s">
        <v>39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12"/>
      <c r="BY57" t="s">
        <v>87</v>
      </c>
    </row>
    <row r="58" spans="1:77" x14ac:dyDescent="0.25">
      <c r="A58" s="8" t="s">
        <v>44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6" t="str">
        <f>BJ21</f>
        <v>Тюкин Е.В.</v>
      </c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8"/>
      <c r="AP58" s="8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8"/>
      <c r="BG58" s="8"/>
      <c r="BH58" s="68">
        <f>BH52</f>
        <v>45337</v>
      </c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12"/>
      <c r="BY58" t="s">
        <v>88</v>
      </c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65" t="s">
        <v>59</v>
      </c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30"/>
      <c r="AP59" s="30"/>
      <c r="AQ59" s="65" t="s">
        <v>40</v>
      </c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30"/>
      <c r="BG59" s="30"/>
      <c r="BH59" s="65" t="s">
        <v>41</v>
      </c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12"/>
    </row>
    <row r="60" spans="1:77" x14ac:dyDescent="0.25">
      <c r="A60" s="13"/>
      <c r="B60" s="13"/>
      <c r="C60" s="13"/>
      <c r="D60" s="7"/>
      <c r="E60" s="7"/>
      <c r="F60" s="7"/>
      <c r="G60" s="7"/>
      <c r="H60" s="7"/>
      <c r="I60" s="7"/>
      <c r="J60" s="7"/>
      <c r="K60" s="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ht="13.8" customHeight="1" x14ac:dyDescent="0.25">
      <c r="A61" s="61" t="s">
        <v>107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13"/>
      <c r="AN61" s="13"/>
      <c r="AO61" s="8"/>
      <c r="AP61" s="8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8"/>
      <c r="BG61" s="8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12"/>
    </row>
    <row r="62" spans="1:77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10"/>
      <c r="AN62" s="10"/>
      <c r="AO62" s="8"/>
      <c r="AP62" s="8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8"/>
      <c r="BG62" s="8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12"/>
    </row>
    <row r="63" spans="1:77" ht="16.8" customHeigh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</sheetData>
  <mergeCells count="76">
    <mergeCell ref="A61:AL63"/>
    <mergeCell ref="AQ61:BE61"/>
    <mergeCell ref="BH61:BS61"/>
    <mergeCell ref="AQ62:BE62"/>
    <mergeCell ref="BH62:BS62"/>
    <mergeCell ref="X58:AN58"/>
    <mergeCell ref="AQ58:BE58"/>
    <mergeCell ref="BH58:BS58"/>
    <mergeCell ref="X59:AN59"/>
    <mergeCell ref="AQ59:BE59"/>
    <mergeCell ref="BH59:BS59"/>
    <mergeCell ref="X55:AN55"/>
    <mergeCell ref="AQ55:BE55"/>
    <mergeCell ref="BH55:BS55"/>
    <mergeCell ref="X56:AN56"/>
    <mergeCell ref="AQ56:BE56"/>
    <mergeCell ref="BH56:BS56"/>
    <mergeCell ref="X52:AN52"/>
    <mergeCell ref="AQ52:BE52"/>
    <mergeCell ref="BH52:BS52"/>
    <mergeCell ref="X53:AN53"/>
    <mergeCell ref="AQ53:BE53"/>
    <mergeCell ref="BH53:BS53"/>
    <mergeCell ref="V44:BT44"/>
    <mergeCell ref="AD46:BT46"/>
    <mergeCell ref="J47:BT47"/>
    <mergeCell ref="Y48:BT48"/>
    <mergeCell ref="N49:BT49"/>
    <mergeCell ref="A43:BT43"/>
    <mergeCell ref="AK32:BT32"/>
    <mergeCell ref="A33:BT33"/>
    <mergeCell ref="BY33:CE42"/>
    <mergeCell ref="A34:BT34"/>
    <mergeCell ref="A35:BT35"/>
    <mergeCell ref="D36:BT36"/>
    <mergeCell ref="D37:BT37"/>
    <mergeCell ref="Y38:BT38"/>
    <mergeCell ref="Y39:BT39"/>
    <mergeCell ref="AJ40:AS40"/>
    <mergeCell ref="AT40:BT40"/>
    <mergeCell ref="Q41:BT41"/>
    <mergeCell ref="AA42:BT42"/>
    <mergeCell ref="AK31:BT31"/>
    <mergeCell ref="O23:BP23"/>
    <mergeCell ref="BY23:CE24"/>
    <mergeCell ref="E24:BT24"/>
    <mergeCell ref="A25:BT25"/>
    <mergeCell ref="A26:BT26"/>
    <mergeCell ref="U27:BT27"/>
    <mergeCell ref="BY27:CD29"/>
    <mergeCell ref="P28:BT28"/>
    <mergeCell ref="U29:BT29"/>
    <mergeCell ref="A30:BT30"/>
    <mergeCell ref="T22:BJ22"/>
    <mergeCell ref="A14:BT14"/>
    <mergeCell ref="AE15:AT15"/>
    <mergeCell ref="S17:BI17"/>
    <mergeCell ref="BJ17:BT17"/>
    <mergeCell ref="T18:BJ18"/>
    <mergeCell ref="S19:BI19"/>
    <mergeCell ref="BJ19:BT19"/>
    <mergeCell ref="T20:BJ20"/>
    <mergeCell ref="S21:BI21"/>
    <mergeCell ref="BJ21:BT21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</mergeCells>
  <dataValidations count="4">
    <dataValidation type="list" errorStyle="information" allowBlank="1" showInputMessage="1" sqref="O23:BP23" xr:uid="{00000000-0002-0000-0200-000000000000}">
      <formula1>"выборочный,сплошной"</formula1>
    </dataValidation>
    <dataValidation type="list" allowBlank="1" showInputMessage="1" showErrorMessage="1" sqref="N23" xr:uid="{00000000-0002-0000-0200-000001000000}">
      <formula1>"выборочный,сплошной"</formula1>
    </dataValidation>
    <dataValidation type="list" allowBlank="1" showInputMessage="1" showErrorMessage="1" sqref="F6:H6 F3:H3" xr:uid="{00000000-0002-0000-0200-000002000000}">
      <formula1>"I.I,I.II,II,III,IV,V,V.I,V.II"</formula1>
    </dataValidation>
    <dataValidation type="list" showInputMessage="1" showErrorMessage="1" sqref="G7:H7" xr:uid="{00000000-0002-0000-02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1" manualBreakCount="1">
    <brk id="6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2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2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200-000007000000}">
          <x14:formula1>
            <xm:f>'Лист общих данных'!$C$6:$C$12</xm:f>
          </x14:formula1>
          <xm:sqref>T27:U27</xm:sqref>
        </x14:dataValidation>
        <x14:dataValidation type="list" errorStyle="warning" allowBlank="1" showInputMessage="1" showErrorMessage="1" xr:uid="{00000000-0002-0000-0200-000008000000}">
          <x14:formula1>
            <xm:f>'Лист общих данных'!$B$6:$B$12</xm:f>
          </x14:formula1>
          <xm:sqref>S29:U29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CE74"/>
  <sheetViews>
    <sheetView view="pageBreakPreview" topLeftCell="A31" zoomScaleNormal="100" zoomScaleSheetLayoutView="100" workbookViewId="0">
      <selection activeCell="BW58" sqref="BW58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117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115" t="s">
        <v>211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</row>
    <row r="13" spans="1:72" ht="16.2" customHeight="1" x14ac:dyDescent="0.25">
      <c r="A13" s="115" t="s">
        <v>212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</row>
    <row r="14" spans="1:72" ht="16.2" customHeight="1" x14ac:dyDescent="0.25">
      <c r="A14" s="115" t="s">
        <v>121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</row>
    <row r="15" spans="1:72" ht="9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ht="12" customHeight="1" x14ac:dyDescent="0.25">
      <c r="A16" s="97" t="s">
        <v>46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3" t="s">
        <v>9</v>
      </c>
      <c r="AB17" s="8"/>
      <c r="AC17" s="8"/>
      <c r="AD17" s="8"/>
      <c r="AE17" s="98">
        <v>45337</v>
      </c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16"/>
      <c r="AV17" s="16"/>
      <c r="AW17" s="16"/>
      <c r="AX17" s="16"/>
      <c r="AY17" s="16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  <c r="BW17" s="54">
        <f>AE17</f>
        <v>45337</v>
      </c>
    </row>
    <row r="18" spans="1:83" x14ac:dyDescent="0.25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 t="s">
        <v>11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ht="13.8" customHeight="1" x14ac:dyDescent="0.25">
      <c r="A19" s="8" t="s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9" t="str">
        <f>VLOOKUP(BJ19,подписанты!$B$3:$C$11,2,FALSE)</f>
        <v>Ведущий инженер МТО АО «Газстройпроект»</v>
      </c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100" t="s">
        <v>77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27"/>
      <c r="BL20" s="27"/>
      <c r="BM20" s="27"/>
      <c r="BN20" s="27"/>
      <c r="BO20" s="27"/>
      <c r="BP20" s="17"/>
      <c r="BQ20" s="17"/>
      <c r="BR20" s="17"/>
      <c r="BS20" s="17"/>
      <c r="BT20" s="17"/>
    </row>
    <row r="21" spans="1:83" ht="13.8" customHeight="1" x14ac:dyDescent="0.25">
      <c r="A21" s="8" t="s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1" t="str">
        <f>VLOOKUP(BJ21,подписанты!$B$3:$C$11,2,FALSE)</f>
        <v>Инженер отдела технического надзора АО «Газстройпроект»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0" t="s">
        <v>68</v>
      </c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65" t="s">
        <v>13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83" ht="40.049999999999997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99" t="str">
        <f>VLOOKUP(BJ23,подписанты!$B$3:$C$11,2,FALSE)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102" t="s">
        <v>91</v>
      </c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5" t="s">
        <v>13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83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8"/>
      <c r="O25" s="66" t="s">
        <v>89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8" t="s">
        <v>17</v>
      </c>
      <c r="BR25" s="13"/>
      <c r="BS25" s="13"/>
      <c r="BT25" s="13"/>
      <c r="BY25" s="87" t="s">
        <v>80</v>
      </c>
      <c r="BZ25" s="87"/>
      <c r="CA25" s="87"/>
      <c r="CB25" s="87"/>
      <c r="CC25" s="87"/>
      <c r="CD25" s="87"/>
      <c r="CE25" s="87"/>
    </row>
    <row r="26" spans="1:83" ht="13.8" customHeight="1" x14ac:dyDescent="0.25">
      <c r="A26" s="8"/>
      <c r="B26" s="8"/>
      <c r="C26" s="8"/>
      <c r="D26" s="8"/>
      <c r="E26" s="96" t="s">
        <v>47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Y26" s="87"/>
      <c r="BZ26" s="87"/>
      <c r="CA26" s="87"/>
      <c r="CB26" s="87"/>
      <c r="CC26" s="87"/>
      <c r="CD26" s="87"/>
      <c r="CE26" s="87"/>
    </row>
    <row r="27" spans="1:83" ht="16.2" customHeight="1" x14ac:dyDescent="0.25">
      <c r="A27" s="115" t="s">
        <v>213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Y27" s="58"/>
      <c r="BZ27" s="58"/>
      <c r="CA27" s="58"/>
      <c r="CB27" s="58"/>
      <c r="CC27" s="58"/>
      <c r="CD27" s="58"/>
      <c r="CE27" s="58"/>
    </row>
    <row r="28" spans="1:83" ht="16.2" customHeight="1" x14ac:dyDescent="0.25">
      <c r="A28" s="115" t="s">
        <v>214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Y28" s="58"/>
      <c r="BZ28" s="58"/>
      <c r="CA28" s="58"/>
      <c r="CB28" s="58"/>
      <c r="CC28" s="58"/>
      <c r="CD28" s="58"/>
      <c r="CE28" s="58"/>
    </row>
    <row r="29" spans="1:83" ht="16.2" customHeight="1" x14ac:dyDescent="0.25">
      <c r="A29" s="115" t="s">
        <v>215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Y29" s="58"/>
      <c r="BZ29" s="58"/>
      <c r="CA29" s="58"/>
      <c r="CB29" s="58"/>
      <c r="CC29" s="58"/>
      <c r="CD29" s="58"/>
      <c r="CE29" s="58"/>
    </row>
    <row r="30" spans="1:83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</row>
    <row r="31" spans="1:83" ht="13.8" customHeight="1" x14ac:dyDescent="0.25">
      <c r="A31" s="10" t="s">
        <v>18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6"/>
      <c r="S31" s="8"/>
      <c r="T31" s="55"/>
      <c r="U31" s="86" t="s">
        <v>225</v>
      </c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Y31" s="87" t="s">
        <v>81</v>
      </c>
      <c r="BZ31" s="87"/>
      <c r="CA31" s="87"/>
      <c r="CB31" s="87"/>
      <c r="CC31" s="87"/>
      <c r="CD31" s="87"/>
    </row>
    <row r="32" spans="1:83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83" t="s">
        <v>19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Y32" s="87"/>
      <c r="BZ32" s="87"/>
      <c r="CA32" s="87"/>
      <c r="CB32" s="87"/>
      <c r="CC32" s="87"/>
      <c r="CD32" s="87"/>
    </row>
    <row r="33" spans="1:83" x14ac:dyDescent="0.25">
      <c r="A33" s="10" t="s">
        <v>20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1"/>
      <c r="T33" s="21"/>
      <c r="U33" s="84" t="s">
        <v>51</v>
      </c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Y33" s="87"/>
      <c r="BZ33" s="87"/>
      <c r="CA33" s="87"/>
      <c r="CB33" s="87"/>
      <c r="CC33" s="87"/>
      <c r="CD33" s="87"/>
    </row>
    <row r="34" spans="1:83" x14ac:dyDescent="0.25">
      <c r="A34" s="91" t="s">
        <v>21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</row>
    <row r="35" spans="1:83" x14ac:dyDescent="0.25">
      <c r="A35" s="8"/>
      <c r="B35" s="8"/>
      <c r="C35" s="8"/>
      <c r="D35" s="8" t="s">
        <v>22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7"/>
      <c r="AH35" s="7"/>
      <c r="AI35" s="7"/>
      <c r="AJ35" s="7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</row>
    <row r="36" spans="1:83" x14ac:dyDescent="0.25">
      <c r="A36" s="8" t="s">
        <v>23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1"/>
      <c r="AJ36" s="8"/>
      <c r="AK36" s="93" t="s">
        <v>216</v>
      </c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Y36" s="44" t="s">
        <v>82</v>
      </c>
    </row>
    <row r="37" spans="1:83" x14ac:dyDescent="0.25">
      <c r="A37" s="82" t="s">
        <v>217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Y37" s="87" t="s">
        <v>83</v>
      </c>
      <c r="BZ37" s="87"/>
      <c r="CA37" s="87"/>
      <c r="CB37" s="87"/>
      <c r="CC37" s="87"/>
      <c r="CD37" s="87"/>
      <c r="CE37" s="87"/>
    </row>
    <row r="38" spans="1:83" x14ac:dyDescent="0.25">
      <c r="A38" s="82" t="s">
        <v>218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Y38" s="87"/>
      <c r="BZ38" s="87"/>
      <c r="CA38" s="87"/>
      <c r="CB38" s="87"/>
      <c r="CC38" s="87"/>
      <c r="CD38" s="87"/>
      <c r="CE38" s="87"/>
    </row>
    <row r="39" spans="1:83" x14ac:dyDescent="0.25">
      <c r="A39" s="82" t="s">
        <v>219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Y39" s="87"/>
      <c r="BZ39" s="87"/>
      <c r="CA39" s="87"/>
      <c r="CB39" s="87"/>
      <c r="CC39" s="87"/>
      <c r="CD39" s="87"/>
      <c r="CE39" s="87"/>
    </row>
    <row r="40" spans="1:83" x14ac:dyDescent="0.25">
      <c r="A40" s="65" t="s">
        <v>24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Y40" s="87"/>
      <c r="BZ40" s="87"/>
      <c r="CA40" s="87"/>
      <c r="CB40" s="87"/>
      <c r="CC40" s="87"/>
      <c r="CD40" s="87"/>
      <c r="CE40" s="87"/>
    </row>
    <row r="41" spans="1:83" x14ac:dyDescent="0.25">
      <c r="A41" s="88" t="s">
        <v>57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Y41" s="87"/>
      <c r="BZ41" s="87"/>
      <c r="CA41" s="87"/>
      <c r="CB41" s="87"/>
      <c r="CC41" s="87"/>
      <c r="CD41" s="87"/>
      <c r="CE41" s="87"/>
    </row>
    <row r="42" spans="1:83" x14ac:dyDescent="0.25">
      <c r="A42" s="18" t="s">
        <v>58</v>
      </c>
      <c r="B42" s="19"/>
      <c r="C42" s="19"/>
      <c r="D42" s="111" t="str">
        <f>A27</f>
        <v>Дренажный нагреватель HD-50 - 2 шт.,</v>
      </c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Y42" s="87"/>
      <c r="BZ42" s="87"/>
      <c r="CA42" s="87"/>
      <c r="CB42" s="87"/>
      <c r="CC42" s="87"/>
      <c r="CD42" s="87"/>
      <c r="CE42" s="87"/>
    </row>
    <row r="43" spans="1:83" ht="13.8" customHeight="1" x14ac:dyDescent="0.25">
      <c r="A43" s="18"/>
      <c r="B43" s="19"/>
      <c r="C43" s="19"/>
      <c r="D43" s="111" t="str">
        <f>A28</f>
        <v>Сифон McAlpine MRNRV32C-PB - 3 шт.,</v>
      </c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Y43" s="87"/>
      <c r="BZ43" s="87"/>
      <c r="CA43" s="87"/>
      <c r="CB43" s="87"/>
      <c r="CC43" s="87"/>
      <c r="CD43" s="87"/>
      <c r="CE43" s="87"/>
    </row>
    <row r="44" spans="1:83" ht="13.8" customHeight="1" x14ac:dyDescent="0.25">
      <c r="A44" s="18"/>
      <c r="B44" s="19"/>
      <c r="C44" s="19"/>
      <c r="D44" s="111" t="str">
        <f>A29</f>
        <v>Дренажная помпа Siccom Eco Flowatch - 11 шт.</v>
      </c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Y44" s="87"/>
      <c r="BZ44" s="87"/>
      <c r="CA44" s="87"/>
      <c r="CB44" s="87"/>
      <c r="CC44" s="87"/>
      <c r="CD44" s="87"/>
      <c r="CE44" s="87"/>
    </row>
    <row r="45" spans="1:83" x14ac:dyDescent="0.25">
      <c r="A45" s="8"/>
      <c r="B45" s="8"/>
      <c r="C45" s="8"/>
      <c r="D45" s="112" t="s">
        <v>25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Y45" s="87"/>
      <c r="BZ45" s="87"/>
      <c r="CA45" s="87"/>
      <c r="CB45" s="87"/>
      <c r="CC45" s="87"/>
      <c r="CD45" s="87"/>
      <c r="CE45" s="87"/>
    </row>
    <row r="46" spans="1:83" x14ac:dyDescent="0.25">
      <c r="A46" s="8" t="s">
        <v>26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33"/>
      <c r="Y46" s="109" t="s">
        <v>114</v>
      </c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Y46" s="87"/>
      <c r="BZ46" s="87"/>
      <c r="CA46" s="87"/>
      <c r="CB46" s="87"/>
      <c r="CC46" s="87"/>
      <c r="CD46" s="87"/>
      <c r="CE46" s="87"/>
    </row>
    <row r="47" spans="1:83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20"/>
      <c r="Y47" s="65" t="s">
        <v>27</v>
      </c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Y47" s="87"/>
      <c r="BZ47" s="87"/>
      <c r="CA47" s="87"/>
      <c r="CB47" s="87"/>
      <c r="CC47" s="87"/>
      <c r="CD47" s="87"/>
      <c r="CE47" s="87"/>
    </row>
    <row r="48" spans="1:83" x14ac:dyDescent="0.25">
      <c r="A48" s="8" t="s">
        <v>28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7"/>
      <c r="AG48" s="7"/>
      <c r="AH48" s="7"/>
      <c r="AI48" s="7"/>
      <c r="AJ48" s="71" t="s">
        <v>29</v>
      </c>
      <c r="AK48" s="71"/>
      <c r="AL48" s="71"/>
      <c r="AM48" s="71"/>
      <c r="AN48" s="71"/>
      <c r="AO48" s="71"/>
      <c r="AP48" s="71"/>
      <c r="AQ48" s="71"/>
      <c r="AR48" s="71"/>
      <c r="AS48" s="71"/>
      <c r="AT48" s="72" t="s">
        <v>72</v>
      </c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Y48" s="87"/>
      <c r="BZ48" s="87"/>
      <c r="CA48" s="87"/>
      <c r="CB48" s="87"/>
      <c r="CC48" s="87"/>
      <c r="CD48" s="87"/>
      <c r="CE48" s="87"/>
    </row>
    <row r="49" spans="1:83" ht="13.8" customHeight="1" x14ac:dyDescent="0.25">
      <c r="A49" s="10" t="s">
        <v>30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55"/>
      <c r="O49" s="55"/>
      <c r="P49" s="55"/>
      <c r="Q49" s="73" t="str">
        <f>U31</f>
        <v>ПП2020РД-1.2-61.17-ОВ3, ПП2020РД-1.2-61.17-ОВ3.СО изм. 2 лист 3</v>
      </c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57"/>
      <c r="BY49" s="87"/>
      <c r="BZ49" s="87"/>
      <c r="CA49" s="87"/>
      <c r="CB49" s="87"/>
      <c r="CC49" s="87"/>
      <c r="CD49" s="87"/>
      <c r="CE49" s="87"/>
    </row>
    <row r="50" spans="1:83" x14ac:dyDescent="0.25">
      <c r="A50" s="8"/>
      <c r="B50" s="8"/>
      <c r="C50" s="8"/>
      <c r="D50" s="10" t="s">
        <v>31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1"/>
      <c r="X50" s="8"/>
      <c r="Y50" s="32"/>
      <c r="Z50" s="32"/>
      <c r="AA50" s="74" t="str">
        <f>AK36</f>
        <v xml:space="preserve">Паспорт б/н от 14.11.2023, сертификат соответствия </v>
      </c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Y50" s="87"/>
      <c r="BZ50" s="87"/>
      <c r="CA50" s="87"/>
      <c r="CB50" s="87"/>
      <c r="CC50" s="87"/>
      <c r="CD50" s="87"/>
      <c r="CE50" s="87"/>
    </row>
    <row r="51" spans="1:83" x14ac:dyDescent="0.25">
      <c r="A51" s="69" t="str">
        <f>A37</f>
        <v>№РОСС RU C-RU.HB63.H01889 с 22.04.2022 по 21.04.2025, Паспорт изделия б/н 22.11.2023, информационное письмо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</row>
    <row r="52" spans="1:83" x14ac:dyDescent="0.25">
      <c r="A52" s="69" t="str">
        <f>A38</f>
        <v>б/н от 10.09.2018, паспорт №8912 от 12.11.2023, Декларация о соответствии № ЕАЭС N RU Д-FR.PA03.B.80980/22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</row>
    <row r="53" spans="1:83" x14ac:dyDescent="0.25">
      <c r="A53" s="69" t="str">
        <f>A39</f>
        <v>с 26.05.2022 по 25.05.2027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</row>
    <row r="54" spans="1:83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76" t="s">
        <v>32</v>
      </c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Y54" t="s">
        <v>84</v>
      </c>
    </row>
    <row r="55" spans="1:83" x14ac:dyDescent="0.25">
      <c r="A55" s="8" t="s">
        <v>33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23"/>
      <c r="BY55" t="s">
        <v>85</v>
      </c>
    </row>
    <row r="56" spans="1:83" x14ac:dyDescent="0.25">
      <c r="A56" s="34"/>
      <c r="B56" s="8"/>
      <c r="C56" s="8"/>
      <c r="D56" s="8" t="s">
        <v>34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7"/>
      <c r="X56" s="7"/>
      <c r="Y56" s="7"/>
      <c r="Z56" s="7"/>
      <c r="AA56" s="34"/>
      <c r="AB56" s="7"/>
      <c r="AC56" s="34"/>
      <c r="AD56" s="77" t="s">
        <v>35</v>
      </c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</row>
    <row r="57" spans="1:83" ht="13.8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78" t="s">
        <v>36</v>
      </c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</row>
    <row r="58" spans="1:83" ht="13.8" customHeight="1" x14ac:dyDescent="0.25">
      <c r="A58" s="10" t="s">
        <v>37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28"/>
      <c r="W58" s="35"/>
      <c r="X58" s="29"/>
      <c r="Y58" s="75" t="str">
        <f>U31</f>
        <v>ПП2020РД-1.2-61.17-ОВ3, ПП2020РД-1.2-61.17-ОВ3.СО изм. 2 лист 3</v>
      </c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</row>
    <row r="59" spans="1:83" x14ac:dyDescent="0.25">
      <c r="A59" s="8" t="s">
        <v>38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34"/>
      <c r="M59" s="24"/>
      <c r="N59" s="113" t="s">
        <v>220</v>
      </c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</row>
    <row r="60" spans="1:83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34"/>
      <c r="M60" s="24"/>
      <c r="N60" s="113" t="s">
        <v>221</v>
      </c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</row>
    <row r="61" spans="1:83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</row>
    <row r="62" spans="1:83" x14ac:dyDescent="0.25">
      <c r="A62" s="8" t="s">
        <v>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83" x14ac:dyDescent="0.25">
      <c r="A63" s="8" t="s">
        <v>12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9" t="str">
        <f>BJ19</f>
        <v>Журавлев Ю.С.</v>
      </c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8"/>
      <c r="AP63" s="8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8"/>
      <c r="BG63" s="8"/>
      <c r="BH63" s="68">
        <f>AE17</f>
        <v>45337</v>
      </c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12"/>
    </row>
    <row r="64" spans="1:83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5" t="s">
        <v>59</v>
      </c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30"/>
      <c r="AP64" s="30"/>
      <c r="AQ64" s="65" t="s">
        <v>40</v>
      </c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30"/>
      <c r="BG64" s="30"/>
      <c r="BH64" s="65" t="s">
        <v>41</v>
      </c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26"/>
    </row>
    <row r="65" spans="1:77" x14ac:dyDescent="0.25">
      <c r="A65" s="8" t="s">
        <v>42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6" spans="1:77" x14ac:dyDescent="0.25">
      <c r="A66" s="8" t="s">
        <v>43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9" t="str">
        <f>BJ21</f>
        <v>Халыгов Э. А.</v>
      </c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8"/>
      <c r="AP66" s="8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8"/>
      <c r="BG66" s="8"/>
      <c r="BH66" s="68">
        <f>BH63</f>
        <v>45337</v>
      </c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12"/>
      <c r="BY66" t="s">
        <v>86</v>
      </c>
    </row>
    <row r="67" spans="1:7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5" t="s">
        <v>59</v>
      </c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30"/>
      <c r="AP67" s="30"/>
      <c r="AQ67" s="65" t="s">
        <v>40</v>
      </c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30"/>
      <c r="BG67" s="30"/>
      <c r="BH67" s="65" t="s">
        <v>41</v>
      </c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12"/>
    </row>
    <row r="68" spans="1:77" ht="16.2" customHeight="1" x14ac:dyDescent="0.25">
      <c r="A68" s="8" t="s">
        <v>39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2"/>
      <c r="BY68" t="s">
        <v>87</v>
      </c>
    </row>
    <row r="69" spans="1:77" x14ac:dyDescent="0.25">
      <c r="A69" s="8" t="s">
        <v>44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66" t="str">
        <f>BJ23</f>
        <v>Тюкин Е.В.</v>
      </c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8"/>
      <c r="AP69" s="8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8"/>
      <c r="BG69" s="8"/>
      <c r="BH69" s="68">
        <f>BH63</f>
        <v>45337</v>
      </c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12"/>
      <c r="BY69" t="s">
        <v>88</v>
      </c>
    </row>
    <row r="70" spans="1:7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5" t="s">
        <v>59</v>
      </c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30"/>
      <c r="AP70" s="30"/>
      <c r="AQ70" s="65" t="s">
        <v>40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30"/>
      <c r="BG70" s="30"/>
      <c r="BH70" s="65" t="s">
        <v>41</v>
      </c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12"/>
    </row>
    <row r="71" spans="1:77" x14ac:dyDescent="0.25">
      <c r="A71" s="13"/>
      <c r="B71" s="13"/>
      <c r="C71" s="13"/>
      <c r="D71" s="7"/>
      <c r="E71" s="7"/>
      <c r="F71" s="7"/>
      <c r="G71" s="7"/>
      <c r="H71" s="7"/>
      <c r="I71" s="7"/>
      <c r="J71" s="7"/>
      <c r="K71" s="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2"/>
    </row>
    <row r="72" spans="1:77" ht="13.8" customHeight="1" x14ac:dyDescent="0.25">
      <c r="A72" s="61" t="s">
        <v>107</v>
      </c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13"/>
      <c r="AN72" s="13"/>
      <c r="AO72" s="8"/>
      <c r="AP72" s="8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8"/>
      <c r="BG72" s="8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12"/>
    </row>
    <row r="73" spans="1:77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10"/>
      <c r="AN73" s="10"/>
      <c r="AO73" s="8"/>
      <c r="AP73" s="8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8"/>
      <c r="BG73" s="8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12"/>
    </row>
    <row r="74" spans="1:77" ht="16.8" customHeight="1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2"/>
    </row>
  </sheetData>
  <mergeCells count="87">
    <mergeCell ref="N60:BT60"/>
    <mergeCell ref="A51:BT51"/>
    <mergeCell ref="A53:BT53"/>
    <mergeCell ref="V54:BT54"/>
    <mergeCell ref="AD56:BT56"/>
    <mergeCell ref="J57:BT57"/>
    <mergeCell ref="Y58:BT58"/>
    <mergeCell ref="N59:BT59"/>
    <mergeCell ref="A52:BT52"/>
    <mergeCell ref="A34:BT34"/>
    <mergeCell ref="AK35:BT35"/>
    <mergeCell ref="AK36:BT36"/>
    <mergeCell ref="A37:BT37"/>
    <mergeCell ref="Y47:BT47"/>
    <mergeCell ref="X70:AN70"/>
    <mergeCell ref="AQ70:BE70"/>
    <mergeCell ref="BH70:BS70"/>
    <mergeCell ref="X67:AN67"/>
    <mergeCell ref="AQ67:BE67"/>
    <mergeCell ref="BH67:BS67"/>
    <mergeCell ref="X69:AN69"/>
    <mergeCell ref="AQ69:BE69"/>
    <mergeCell ref="BH69:BS69"/>
    <mergeCell ref="A72:AL74"/>
    <mergeCell ref="AQ72:BE72"/>
    <mergeCell ref="BH72:BS72"/>
    <mergeCell ref="AQ73:BE73"/>
    <mergeCell ref="BH73:BS73"/>
    <mergeCell ref="AQ66:BE66"/>
    <mergeCell ref="BH66:BS66"/>
    <mergeCell ref="X63:AN63"/>
    <mergeCell ref="AQ63:BE63"/>
    <mergeCell ref="BH63:BS63"/>
    <mergeCell ref="X64:AN64"/>
    <mergeCell ref="AQ64:BE64"/>
    <mergeCell ref="BH64:BS64"/>
    <mergeCell ref="X66:AN66"/>
    <mergeCell ref="BY37:CE50"/>
    <mergeCell ref="A40:BT40"/>
    <mergeCell ref="A41:BT41"/>
    <mergeCell ref="D42:BT42"/>
    <mergeCell ref="D45:BT45"/>
    <mergeCell ref="Y46:BT46"/>
    <mergeCell ref="D44:BT44"/>
    <mergeCell ref="D43:BT43"/>
    <mergeCell ref="A39:BT39"/>
    <mergeCell ref="AJ48:AS48"/>
    <mergeCell ref="AT48:BT48"/>
    <mergeCell ref="Q49:BT49"/>
    <mergeCell ref="AA50:BT50"/>
    <mergeCell ref="A38:BT38"/>
    <mergeCell ref="BY31:CD33"/>
    <mergeCell ref="P32:BT32"/>
    <mergeCell ref="U33:BT33"/>
    <mergeCell ref="BY25:CE26"/>
    <mergeCell ref="E26:BT26"/>
    <mergeCell ref="A27:BT27"/>
    <mergeCell ref="A29:BT29"/>
    <mergeCell ref="A30:BT30"/>
    <mergeCell ref="U31:BT31"/>
    <mergeCell ref="A28:BT28"/>
    <mergeCell ref="A14:BT14"/>
    <mergeCell ref="A16:BT16"/>
    <mergeCell ref="AE17:AT17"/>
    <mergeCell ref="S19:BI19"/>
    <mergeCell ref="A12:BT12"/>
    <mergeCell ref="A13:BT13"/>
    <mergeCell ref="S23:BI23"/>
    <mergeCell ref="BJ23:BT23"/>
    <mergeCell ref="T24:BJ24"/>
    <mergeCell ref="O25:BP25"/>
    <mergeCell ref="BJ19:BT19"/>
    <mergeCell ref="T20:BJ20"/>
    <mergeCell ref="S21:BI21"/>
    <mergeCell ref="BJ21:BT21"/>
    <mergeCell ref="T22:BJ2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</mergeCells>
  <phoneticPr fontId="21" type="noConversion"/>
  <dataValidations count="4">
    <dataValidation type="list" showInputMessage="1" showErrorMessage="1" sqref="G7:H7" xr:uid="{00000000-0002-0000-0400-000000000000}">
      <formula1>"1,2"</formula1>
    </dataValidation>
    <dataValidation type="list" allowBlank="1" showInputMessage="1" showErrorMessage="1" sqref="F6:H6 F3:H3" xr:uid="{00000000-0002-0000-0400-000001000000}">
      <formula1>"I.I,I.II,II,III,IV,V,V.I,V.II"</formula1>
    </dataValidation>
    <dataValidation type="list" allowBlank="1" showInputMessage="1" showErrorMessage="1" sqref="N25" xr:uid="{00000000-0002-0000-0400-000002000000}">
      <formula1>"выборочный,сплошной"</formula1>
    </dataValidation>
    <dataValidation type="list" errorStyle="information" allowBlank="1" showInputMessage="1" sqref="O25:BP25" xr:uid="{00000000-0002-0000-04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8" max="71" man="1"/>
    <brk id="74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400-000004000000}">
          <x14:formula1>
            <xm:f>'Лист общих данных'!$B$6:$B$12</xm:f>
          </x14:formula1>
          <xm:sqref>S33:U33</xm:sqref>
        </x14:dataValidation>
        <x14:dataValidation type="list" errorStyle="information" allowBlank="1" showInputMessage="1" xr:uid="{00000000-0002-0000-0400-000005000000}">
          <x14:formula1>
            <xm:f>'Лист общих данных'!$C$6:$C$12</xm:f>
          </x14:formula1>
          <xm:sqref>T31:U31</xm:sqref>
        </x14:dataValidation>
        <x14:dataValidation type="list" allowBlank="1" showInputMessage="1" showErrorMessage="1" xr:uid="{00000000-0002-0000-0400-000006000000}">
          <x14:formula1>
            <xm:f>подписанты!$B$3:$B$4</xm:f>
          </x14:formula1>
          <xm:sqref>BJ19:BT19</xm:sqref>
        </x14:dataValidation>
        <x14:dataValidation type="list" allowBlank="1" showInputMessage="1" showErrorMessage="1" xr:uid="{00000000-0002-0000-0400-000007000000}">
          <x14:formula1>
            <xm:f>подписанты!$B$5:$B$7</xm:f>
          </x14:formula1>
          <xm:sqref>BJ21:BT21</xm:sqref>
        </x14:dataValidation>
        <x14:dataValidation type="list" allowBlank="1" showInputMessage="1" showErrorMessage="1" xr:uid="{00000000-0002-0000-0400-000008000000}">
          <x14:formula1>
            <xm:f>подписанты!$B$8:$B$9</xm:f>
          </x14:formula1>
          <xm:sqref>BJ23:BT23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E79"/>
  <sheetViews>
    <sheetView view="pageBreakPreview" topLeftCell="A51" zoomScale="85" zoomScaleNormal="100" zoomScaleSheetLayoutView="85" workbookViewId="0">
      <selection activeCell="AE67" sqref="AE67"/>
    </sheetView>
  </sheetViews>
  <sheetFormatPr defaultRowHeight="13.8" x14ac:dyDescent="0.25"/>
  <cols>
    <col min="1" max="12" width="1.44140625" customWidth="1"/>
    <col min="13" max="13" width="2.33203125" customWidth="1"/>
    <col min="14" max="34" width="1.44140625" customWidth="1"/>
    <col min="35" max="36" width="2" customWidth="1"/>
    <col min="37" max="70" width="1.44140625" customWidth="1"/>
    <col min="71" max="71" width="6.5546875" customWidth="1"/>
    <col min="72" max="72" width="5.55468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118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80" t="s">
        <v>151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</row>
    <row r="13" spans="1:72" ht="16.2" customHeight="1" x14ac:dyDescent="0.25">
      <c r="A13" s="116" t="s">
        <v>142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</row>
    <row r="14" spans="1:72" ht="16.2" customHeight="1" x14ac:dyDescent="0.25">
      <c r="A14" s="80" t="s">
        <v>143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</row>
    <row r="15" spans="1:72" ht="16.2" customHeight="1" x14ac:dyDescent="0.25">
      <c r="A15" s="115" t="s">
        <v>144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</row>
    <row r="16" spans="1:72" ht="16.2" customHeight="1" x14ac:dyDescent="0.25">
      <c r="A16" s="115" t="s">
        <v>145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</row>
    <row r="17" spans="1:83" ht="9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</row>
    <row r="18" spans="1:83" ht="12" customHeight="1" x14ac:dyDescent="0.25">
      <c r="A18" s="97" t="s">
        <v>46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3" t="s">
        <v>9</v>
      </c>
      <c r="AB19" s="8"/>
      <c r="AC19" s="8"/>
      <c r="AD19" s="8"/>
      <c r="AE19" s="98">
        <v>45337</v>
      </c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16"/>
      <c r="AV19" s="16"/>
      <c r="AW19" s="16"/>
      <c r="AX19" s="16"/>
      <c r="AY19" s="16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12"/>
      <c r="BW19" s="54">
        <f>AE19</f>
        <v>45337</v>
      </c>
    </row>
    <row r="20" spans="1:83" x14ac:dyDescent="0.25">
      <c r="A20" s="8" t="s">
        <v>10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 t="s">
        <v>11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12"/>
    </row>
    <row r="21" spans="1:83" ht="13.8" customHeight="1" x14ac:dyDescent="0.25">
      <c r="A21" s="8" t="s">
        <v>12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1" t="str">
        <f>VLOOKUP(BJ21,подписанты!$B$3:$C$11,2,FALSE)</f>
        <v>Ведущий инженер МТО АО «Газстройпроект»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0" t="s">
        <v>77</v>
      </c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1" t="s">
        <v>13</v>
      </c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65"/>
      <c r="BK22" s="27"/>
      <c r="BL22" s="27"/>
      <c r="BM22" s="27"/>
      <c r="BN22" s="27"/>
      <c r="BO22" s="27"/>
      <c r="BP22" s="17"/>
      <c r="BQ22" s="17"/>
      <c r="BR22" s="17"/>
      <c r="BS22" s="17"/>
      <c r="BT22" s="17"/>
    </row>
    <row r="23" spans="1:83" ht="13.8" customHeight="1" x14ac:dyDescent="0.25">
      <c r="A23" s="8" t="s">
        <v>14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01" t="str">
        <f>VLOOKUP(BJ23,подписанты!$B$3:$C$11,2,FALSE)</f>
        <v>Инженер отдела технического надзора АО «Газстройпроект»</v>
      </c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0" t="s">
        <v>68</v>
      </c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65" t="s">
        <v>13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17"/>
      <c r="BL24" s="17"/>
      <c r="BM24" s="17"/>
      <c r="BN24" s="17"/>
      <c r="BO24" s="17"/>
      <c r="BP24" s="17"/>
      <c r="BQ24" s="17"/>
      <c r="BR24" s="17"/>
      <c r="BS24" s="17"/>
      <c r="BT24" s="17"/>
    </row>
    <row r="25" spans="1:83" ht="40.049999999999997" customHeight="1" x14ac:dyDescent="0.25">
      <c r="A25" s="8" t="s">
        <v>15</v>
      </c>
      <c r="B25" s="8"/>
      <c r="C25" s="8"/>
      <c r="D25" s="8"/>
      <c r="E25" s="8"/>
      <c r="F25" s="8"/>
      <c r="G25" s="8"/>
      <c r="H25" s="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01" t="str">
        <f>VLOOKUP(BJ25,подписанты!$B$3:$C$11,2,FALSE)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2" t="s">
        <v>91</v>
      </c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</row>
    <row r="26" spans="1:83" x14ac:dyDescent="0.25">
      <c r="A26" s="8"/>
      <c r="B26" s="8"/>
      <c r="C26" s="8"/>
      <c r="D26" s="8"/>
      <c r="E26" s="8"/>
      <c r="F26" s="8"/>
      <c r="G26" s="8"/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91" t="s">
        <v>13</v>
      </c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65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spans="1:83" x14ac:dyDescent="0.25">
      <c r="A27" s="8" t="s">
        <v>16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8"/>
      <c r="O27" s="66" t="s">
        <v>89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8" t="s">
        <v>17</v>
      </c>
      <c r="BR27" s="13"/>
      <c r="BS27" s="13"/>
      <c r="BT27" s="13"/>
      <c r="BY27" s="87" t="s">
        <v>80</v>
      </c>
      <c r="BZ27" s="87"/>
      <c r="CA27" s="87"/>
      <c r="CB27" s="87"/>
      <c r="CC27" s="87"/>
      <c r="CD27" s="87"/>
      <c r="CE27" s="87"/>
    </row>
    <row r="28" spans="1:83" ht="13.8" customHeight="1" x14ac:dyDescent="0.25">
      <c r="A28" s="8"/>
      <c r="B28" s="8"/>
      <c r="C28" s="8"/>
      <c r="D28" s="8"/>
      <c r="E28" s="96" t="s">
        <v>47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Y28" s="87"/>
      <c r="BZ28" s="87"/>
      <c r="CA28" s="87"/>
      <c r="CB28" s="87"/>
      <c r="CC28" s="87"/>
      <c r="CD28" s="87"/>
      <c r="CE28" s="87"/>
    </row>
    <row r="29" spans="1:83" ht="16.2" customHeight="1" x14ac:dyDescent="0.25">
      <c r="A29" s="80" t="s">
        <v>150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Y29" s="58"/>
      <c r="BZ29" s="58"/>
      <c r="CA29" s="58"/>
      <c r="CB29" s="58"/>
      <c r="CC29" s="58"/>
      <c r="CD29" s="58"/>
      <c r="CE29" s="58"/>
    </row>
    <row r="30" spans="1:83" ht="16.2" customHeight="1" x14ac:dyDescent="0.25">
      <c r="A30" s="116" t="s">
        <v>146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Y30" s="58"/>
      <c r="BZ30" s="58"/>
      <c r="CA30" s="58"/>
      <c r="CB30" s="58"/>
      <c r="CC30" s="58"/>
      <c r="CD30" s="58"/>
      <c r="CE30" s="58"/>
    </row>
    <row r="31" spans="1:83" ht="16.2" customHeight="1" x14ac:dyDescent="0.25">
      <c r="A31" s="80" t="s">
        <v>147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Y31" s="58"/>
      <c r="BZ31" s="58"/>
      <c r="CA31" s="58"/>
      <c r="CB31" s="58"/>
      <c r="CC31" s="58"/>
      <c r="CD31" s="58"/>
      <c r="CE31" s="58"/>
    </row>
    <row r="32" spans="1:83" ht="16.2" customHeight="1" x14ac:dyDescent="0.25">
      <c r="A32" s="115" t="s">
        <v>148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Y32" s="58"/>
      <c r="BZ32" s="58"/>
      <c r="CA32" s="58"/>
      <c r="CB32" s="58"/>
      <c r="CC32" s="58"/>
      <c r="CD32" s="58"/>
      <c r="CE32" s="58"/>
    </row>
    <row r="33" spans="1:83" ht="16.2" customHeight="1" x14ac:dyDescent="0.25">
      <c r="A33" s="115" t="s">
        <v>149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Y33" s="58"/>
      <c r="BZ33" s="58"/>
      <c r="CA33" s="58"/>
      <c r="CB33" s="58"/>
      <c r="CC33" s="58"/>
      <c r="CD33" s="58"/>
      <c r="CE33" s="58"/>
    </row>
    <row r="34" spans="1:83" x14ac:dyDescent="0.2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</row>
    <row r="35" spans="1:83" ht="13.8" customHeight="1" x14ac:dyDescent="0.25">
      <c r="A35" s="10" t="s">
        <v>18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56"/>
      <c r="S35" s="8"/>
      <c r="T35" s="55"/>
      <c r="U35" s="86" t="s">
        <v>119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Y35" s="87" t="s">
        <v>81</v>
      </c>
      <c r="BZ35" s="87"/>
      <c r="CA35" s="87"/>
      <c r="CB35" s="87"/>
      <c r="CC35" s="87"/>
      <c r="CD35" s="87"/>
    </row>
    <row r="36" spans="1:83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83" t="s">
        <v>19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Y36" s="87"/>
      <c r="BZ36" s="87"/>
      <c r="CA36" s="87"/>
      <c r="CB36" s="87"/>
      <c r="CC36" s="87"/>
      <c r="CD36" s="87"/>
    </row>
    <row r="37" spans="1:83" x14ac:dyDescent="0.25">
      <c r="A37" s="10" t="s">
        <v>20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21"/>
      <c r="T37" s="21"/>
      <c r="U37" s="84" t="s">
        <v>51</v>
      </c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Y37" s="87"/>
      <c r="BZ37" s="87"/>
      <c r="CA37" s="87"/>
      <c r="CB37" s="87"/>
      <c r="CC37" s="87"/>
      <c r="CD37" s="87"/>
    </row>
    <row r="38" spans="1:83" x14ac:dyDescent="0.25">
      <c r="A38" s="91" t="s">
        <v>21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</row>
    <row r="39" spans="1:83" x14ac:dyDescent="0.25">
      <c r="A39" s="8"/>
      <c r="B39" s="8"/>
      <c r="C39" s="8"/>
      <c r="D39" s="8" t="s">
        <v>22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AG39" s="7"/>
      <c r="AH39" s="7"/>
      <c r="AI39" s="7"/>
      <c r="AJ39" s="7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</row>
    <row r="40" spans="1:83" x14ac:dyDescent="0.25">
      <c r="A40" s="8" t="s">
        <v>23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1"/>
      <c r="AJ40" s="8"/>
      <c r="AK40" s="93" t="s">
        <v>152</v>
      </c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Y40" s="44" t="s">
        <v>82</v>
      </c>
    </row>
    <row r="41" spans="1:83" x14ac:dyDescent="0.25">
      <c r="A41" s="82" t="s">
        <v>153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Y41" s="87" t="s">
        <v>83</v>
      </c>
      <c r="BZ41" s="87"/>
      <c r="CA41" s="87"/>
      <c r="CB41" s="87"/>
      <c r="CC41" s="87"/>
      <c r="CD41" s="87"/>
      <c r="CE41" s="87"/>
    </row>
    <row r="42" spans="1:83" x14ac:dyDescent="0.25">
      <c r="A42" s="82" t="s">
        <v>154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Y42" s="87"/>
      <c r="BZ42" s="87"/>
      <c r="CA42" s="87"/>
      <c r="CB42" s="87"/>
      <c r="CC42" s="87"/>
      <c r="CD42" s="87"/>
      <c r="CE42" s="87"/>
    </row>
    <row r="43" spans="1:83" x14ac:dyDescent="0.25">
      <c r="A43" s="82" t="s">
        <v>155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Y43" s="87"/>
      <c r="BZ43" s="87"/>
      <c r="CA43" s="87"/>
      <c r="CB43" s="87"/>
      <c r="CC43" s="87"/>
      <c r="CD43" s="87"/>
      <c r="CE43" s="87"/>
    </row>
    <row r="44" spans="1:83" x14ac:dyDescent="0.25">
      <c r="A44" s="65" t="s">
        <v>24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Y44" s="87"/>
      <c r="BZ44" s="87"/>
      <c r="CA44" s="87"/>
      <c r="CB44" s="87"/>
      <c r="CC44" s="87"/>
      <c r="CD44" s="87"/>
      <c r="CE44" s="87"/>
    </row>
    <row r="45" spans="1:83" x14ac:dyDescent="0.25">
      <c r="A45" s="88" t="s">
        <v>57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Y45" s="87"/>
      <c r="BZ45" s="87"/>
      <c r="CA45" s="87"/>
      <c r="CB45" s="87"/>
      <c r="CC45" s="87"/>
      <c r="CD45" s="87"/>
      <c r="CE45" s="87"/>
    </row>
    <row r="46" spans="1:83" x14ac:dyDescent="0.25">
      <c r="A46" s="18" t="s">
        <v>58</v>
      </c>
      <c r="B46" s="19"/>
      <c r="C46" s="19"/>
      <c r="D46" s="111" t="str">
        <f>A29</f>
        <v>Труба PP-R SDR11: Ø20 - 30 м, Ø25 - 12 м, Ø32 - 30 м,</v>
      </c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Y46" s="87"/>
      <c r="BZ46" s="87"/>
      <c r="CA46" s="87"/>
      <c r="CB46" s="87"/>
      <c r="CC46" s="87"/>
      <c r="CD46" s="87"/>
      <c r="CE46" s="87"/>
    </row>
    <row r="47" spans="1:83" x14ac:dyDescent="0.25">
      <c r="A47" s="18"/>
      <c r="B47" s="19"/>
      <c r="C47" s="19"/>
      <c r="D47" s="111" t="str">
        <f t="shared" ref="D47:D50" si="0">A30</f>
        <v>Угольник: Ø20 - 20 шт., Ø25 - 8 шт.,</v>
      </c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Y47" s="87"/>
      <c r="BZ47" s="87"/>
      <c r="CA47" s="87"/>
      <c r="CB47" s="87"/>
      <c r="CC47" s="87"/>
      <c r="CD47" s="87"/>
      <c r="CE47" s="87"/>
    </row>
    <row r="48" spans="1:83" x14ac:dyDescent="0.25">
      <c r="A48" s="18"/>
      <c r="B48" s="19"/>
      <c r="C48" s="19"/>
      <c r="D48" s="111" t="str">
        <f t="shared" si="0"/>
        <v>Тройник: Ø20x20x20 - 3 шт., Ø25x25x25 - 2 шт., Ø32x32x32 - 2 шт.,</v>
      </c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Y48" s="87"/>
      <c r="BZ48" s="87"/>
      <c r="CA48" s="87"/>
      <c r="CB48" s="87"/>
      <c r="CC48" s="87"/>
      <c r="CD48" s="87"/>
      <c r="CE48" s="87"/>
    </row>
    <row r="49" spans="1:83" x14ac:dyDescent="0.25">
      <c r="A49" s="18"/>
      <c r="B49" s="19"/>
      <c r="C49" s="19"/>
      <c r="D49" s="111" t="str">
        <f t="shared" si="0"/>
        <v>Тройник переходной Ø32x20x32 - 4 шт.,</v>
      </c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Y49" s="87"/>
      <c r="BZ49" s="87"/>
      <c r="CA49" s="87"/>
      <c r="CB49" s="87"/>
      <c r="CC49" s="87"/>
      <c r="CD49" s="87"/>
      <c r="CE49" s="87"/>
    </row>
    <row r="50" spans="1:83" x14ac:dyDescent="0.25">
      <c r="A50" s="18"/>
      <c r="B50" s="19"/>
      <c r="C50" s="19"/>
      <c r="D50" s="111" t="str">
        <f t="shared" si="0"/>
        <v>Муфта переходная: Ø32x25 - 2 шт., Ø32x20 - 2 шт., Ø25x20 - 2 шт.</v>
      </c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Y50" s="87"/>
      <c r="BZ50" s="87"/>
      <c r="CA50" s="87"/>
      <c r="CB50" s="87"/>
      <c r="CC50" s="87"/>
      <c r="CD50" s="87"/>
      <c r="CE50" s="87"/>
    </row>
    <row r="51" spans="1:83" x14ac:dyDescent="0.25">
      <c r="A51" s="8"/>
      <c r="B51" s="8"/>
      <c r="C51" s="8"/>
      <c r="D51" s="112" t="s">
        <v>25</v>
      </c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Y51" s="87"/>
      <c r="BZ51" s="87"/>
      <c r="CA51" s="87"/>
      <c r="CB51" s="87"/>
      <c r="CC51" s="87"/>
      <c r="CD51" s="87"/>
      <c r="CE51" s="87"/>
    </row>
    <row r="52" spans="1:83" x14ac:dyDescent="0.25">
      <c r="A52" s="8" t="s">
        <v>26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33"/>
      <c r="Y52" s="117" t="s">
        <v>120</v>
      </c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Y52" s="87"/>
      <c r="BZ52" s="87"/>
      <c r="CA52" s="87"/>
      <c r="CB52" s="87"/>
      <c r="CC52" s="87"/>
      <c r="CD52" s="87"/>
      <c r="CE52" s="87"/>
    </row>
    <row r="53" spans="1:8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0"/>
      <c r="Y53" s="65" t="s">
        <v>27</v>
      </c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Y53" s="87"/>
      <c r="BZ53" s="87"/>
      <c r="CA53" s="87"/>
      <c r="CB53" s="87"/>
      <c r="CC53" s="87"/>
      <c r="CD53" s="87"/>
      <c r="CE53" s="87"/>
    </row>
    <row r="54" spans="1:83" x14ac:dyDescent="0.25">
      <c r="A54" s="8" t="s">
        <v>28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7"/>
      <c r="AG54" s="7"/>
      <c r="AH54" s="7"/>
      <c r="AI54" s="7"/>
      <c r="AJ54" s="71" t="s">
        <v>29</v>
      </c>
      <c r="AK54" s="71"/>
      <c r="AL54" s="71"/>
      <c r="AM54" s="71"/>
      <c r="AN54" s="71"/>
      <c r="AO54" s="71"/>
      <c r="AP54" s="71"/>
      <c r="AQ54" s="71"/>
      <c r="AR54" s="71"/>
      <c r="AS54" s="71"/>
      <c r="AT54" s="72" t="s">
        <v>72</v>
      </c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Y54" s="87"/>
      <c r="BZ54" s="87"/>
      <c r="CA54" s="87"/>
      <c r="CB54" s="87"/>
      <c r="CC54" s="87"/>
      <c r="CD54" s="87"/>
      <c r="CE54" s="87"/>
    </row>
    <row r="55" spans="1:83" ht="13.8" customHeight="1" x14ac:dyDescent="0.25">
      <c r="A55" s="10" t="s">
        <v>30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55"/>
      <c r="O55" s="55"/>
      <c r="P55" s="55"/>
      <c r="Q55" s="73" t="str">
        <f>U35</f>
        <v>ПП2020РД-1.2-61.17-ОВ3.СО изм. 1 лист 3</v>
      </c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57"/>
      <c r="BY55" s="87"/>
      <c r="BZ55" s="87"/>
      <c r="CA55" s="87"/>
      <c r="CB55" s="87"/>
      <c r="CC55" s="87"/>
      <c r="CD55" s="87"/>
      <c r="CE55" s="87"/>
    </row>
    <row r="56" spans="1:83" x14ac:dyDescent="0.25">
      <c r="A56" s="8"/>
      <c r="B56" s="8"/>
      <c r="C56" s="8"/>
      <c r="D56" s="10" t="s">
        <v>31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1"/>
      <c r="X56" s="8"/>
      <c r="Y56" s="32"/>
      <c r="Z56" s="32"/>
      <c r="AA56" s="74" t="str">
        <f>AK40</f>
        <v>Паспорт, техническое описание и инструкция по эксплуатации</v>
      </c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Y56" s="87"/>
      <c r="BZ56" s="87"/>
      <c r="CA56" s="87"/>
      <c r="CB56" s="87"/>
      <c r="CC56" s="87"/>
      <c r="CD56" s="87"/>
      <c r="CE56" s="87"/>
    </row>
    <row r="57" spans="1:83" x14ac:dyDescent="0.25">
      <c r="A57" s="69" t="str">
        <f>A41</f>
        <v>б/н от 24.11.2023, Свидетельство о государственной регистрации № RU.23.KK.08.013.E.000022.01.17 от 23.01.2017,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</row>
    <row r="58" spans="1:83" x14ac:dyDescent="0.25">
      <c r="A58" s="69" t="str">
        <f>A42</f>
        <v>Информационное письмо Исх. № б/н от 19.05.2023, Паспорт, техническое описание и инструкция по эксплуатации б/н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</row>
    <row r="59" spans="1:83" x14ac:dyDescent="0.25">
      <c r="A59" s="69" t="str">
        <f>A43</f>
        <v>от 26.10.2023, Сертификат соответствия № какой из?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</row>
    <row r="60" spans="1:83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76" t="s">
        <v>32</v>
      </c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Y60" t="s">
        <v>84</v>
      </c>
    </row>
    <row r="61" spans="1:83" x14ac:dyDescent="0.25">
      <c r="A61" s="8" t="s">
        <v>33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23"/>
      <c r="BY61" t="s">
        <v>85</v>
      </c>
    </row>
    <row r="62" spans="1:83" x14ac:dyDescent="0.25">
      <c r="A62" s="34"/>
      <c r="B62" s="8"/>
      <c r="C62" s="8"/>
      <c r="D62" s="8" t="s">
        <v>34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7"/>
      <c r="X62" s="7"/>
      <c r="Y62" s="7"/>
      <c r="Z62" s="7"/>
      <c r="AA62" s="34"/>
      <c r="AB62" s="7"/>
      <c r="AC62" s="34"/>
      <c r="AD62" s="77" t="s">
        <v>35</v>
      </c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</row>
    <row r="63" spans="1:83" ht="13.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78" t="s">
        <v>36</v>
      </c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</row>
    <row r="64" spans="1:83" ht="13.8" customHeight="1" x14ac:dyDescent="0.25">
      <c r="A64" s="10" t="s">
        <v>37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28"/>
      <c r="W64" s="35"/>
      <c r="X64" s="29"/>
      <c r="Y64" s="75" t="str">
        <f>U35</f>
        <v>ПП2020РД-1.2-61.17-ОВ3.СО изм. 1 лист 3</v>
      </c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</row>
    <row r="65" spans="1:77" x14ac:dyDescent="0.25">
      <c r="A65" s="8" t="s">
        <v>38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34"/>
      <c r="M65" s="24"/>
      <c r="N65" s="70" t="s">
        <v>156</v>
      </c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</row>
    <row r="66" spans="1:7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</row>
    <row r="67" spans="1:77" x14ac:dyDescent="0.25">
      <c r="A67" s="8" t="s">
        <v>39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8" spans="1:77" x14ac:dyDescent="0.25">
      <c r="A68" s="8" t="s">
        <v>12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9" t="str">
        <f>BJ21</f>
        <v>Журавлев Ю.С.</v>
      </c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8"/>
      <c r="AP68" s="8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8"/>
      <c r="BG68" s="8"/>
      <c r="BH68" s="68">
        <f>AE19</f>
        <v>45337</v>
      </c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12"/>
    </row>
    <row r="69" spans="1:7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65" t="s">
        <v>59</v>
      </c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30"/>
      <c r="AP69" s="30"/>
      <c r="AQ69" s="65" t="s">
        <v>40</v>
      </c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30"/>
      <c r="BG69" s="30"/>
      <c r="BH69" s="65" t="s">
        <v>41</v>
      </c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26"/>
    </row>
    <row r="70" spans="1:77" x14ac:dyDescent="0.25">
      <c r="A70" s="8" t="s">
        <v>42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2"/>
    </row>
    <row r="71" spans="1:77" x14ac:dyDescent="0.25">
      <c r="A71" s="8" t="s">
        <v>43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9" t="str">
        <f>BJ23</f>
        <v>Халыгов Э. А.</v>
      </c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8"/>
      <c r="AP71" s="8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8"/>
      <c r="BG71" s="8"/>
      <c r="BH71" s="68">
        <f>BH68</f>
        <v>45337</v>
      </c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12"/>
      <c r="BY71" t="s">
        <v>86</v>
      </c>
    </row>
    <row r="72" spans="1:77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65" t="s">
        <v>59</v>
      </c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30"/>
      <c r="AP72" s="30"/>
      <c r="AQ72" s="65" t="s">
        <v>40</v>
      </c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30"/>
      <c r="BG72" s="30"/>
      <c r="BH72" s="65" t="s">
        <v>41</v>
      </c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12"/>
    </row>
    <row r="73" spans="1:77" ht="16.2" customHeight="1" x14ac:dyDescent="0.25">
      <c r="A73" s="8" t="s">
        <v>39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2"/>
      <c r="BY73" t="s">
        <v>87</v>
      </c>
    </row>
    <row r="74" spans="1:77" x14ac:dyDescent="0.25">
      <c r="A74" s="8" t="s">
        <v>44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66" t="str">
        <f>BJ25</f>
        <v>Тюкин Е.В.</v>
      </c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8"/>
      <c r="AP74" s="8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8"/>
      <c r="BG74" s="8"/>
      <c r="BH74" s="68">
        <f>BH68</f>
        <v>45337</v>
      </c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12"/>
      <c r="BY74" t="s">
        <v>88</v>
      </c>
    </row>
    <row r="75" spans="1:7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65" t="s">
        <v>59</v>
      </c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30"/>
      <c r="AP75" s="30"/>
      <c r="AQ75" s="65" t="s">
        <v>40</v>
      </c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30"/>
      <c r="BG75" s="30"/>
      <c r="BH75" s="65" t="s">
        <v>41</v>
      </c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12"/>
    </row>
    <row r="76" spans="1:77" x14ac:dyDescent="0.25">
      <c r="A76" s="13"/>
      <c r="B76" s="13"/>
      <c r="C76" s="13"/>
      <c r="D76" s="7"/>
      <c r="E76" s="7"/>
      <c r="F76" s="7"/>
      <c r="G76" s="7"/>
      <c r="H76" s="7"/>
      <c r="I76" s="7"/>
      <c r="J76" s="7"/>
      <c r="K76" s="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2"/>
    </row>
    <row r="77" spans="1:77" ht="13.8" customHeight="1" x14ac:dyDescent="0.25">
      <c r="A77" s="61" t="s">
        <v>107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13"/>
      <c r="AN77" s="13"/>
      <c r="AO77" s="8"/>
      <c r="AP77" s="8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8"/>
      <c r="BG77" s="8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12"/>
    </row>
    <row r="78" spans="1:77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10"/>
      <c r="AN78" s="10"/>
      <c r="AO78" s="8"/>
      <c r="AP78" s="8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8"/>
      <c r="BG78" s="8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12"/>
    </row>
    <row r="79" spans="1:77" ht="16.8" customHeight="1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12"/>
    </row>
  </sheetData>
  <mergeCells count="92">
    <mergeCell ref="A15:BT15"/>
    <mergeCell ref="A16:BT16"/>
    <mergeCell ref="A30:BT30"/>
    <mergeCell ref="A29:BT29"/>
    <mergeCell ref="A18:BT18"/>
    <mergeCell ref="AE19:AT19"/>
    <mergeCell ref="S21:BI21"/>
    <mergeCell ref="BJ21:BT21"/>
    <mergeCell ref="T22:BJ22"/>
    <mergeCell ref="S23:BI23"/>
    <mergeCell ref="BJ23:BT23"/>
    <mergeCell ref="T24:BJ24"/>
    <mergeCell ref="S25:BI25"/>
    <mergeCell ref="BJ25:BT25"/>
    <mergeCell ref="T26:BJ26"/>
    <mergeCell ref="X75:AN75"/>
    <mergeCell ref="AQ75:BE75"/>
    <mergeCell ref="BH75:BS75"/>
    <mergeCell ref="A77:AL79"/>
    <mergeCell ref="AQ77:BE77"/>
    <mergeCell ref="BH77:BS77"/>
    <mergeCell ref="AQ78:BE78"/>
    <mergeCell ref="BH78:BS78"/>
    <mergeCell ref="X72:AN72"/>
    <mergeCell ref="AQ72:BE72"/>
    <mergeCell ref="BH72:BS72"/>
    <mergeCell ref="X74:AN74"/>
    <mergeCell ref="AQ74:BE74"/>
    <mergeCell ref="BH74:BS74"/>
    <mergeCell ref="X69:AN69"/>
    <mergeCell ref="AQ69:BE69"/>
    <mergeCell ref="BH69:BS69"/>
    <mergeCell ref="X71:AN71"/>
    <mergeCell ref="AQ71:BE71"/>
    <mergeCell ref="BH71:BS71"/>
    <mergeCell ref="X68:AN68"/>
    <mergeCell ref="AQ68:BE68"/>
    <mergeCell ref="BH68:BS68"/>
    <mergeCell ref="Y53:BT53"/>
    <mergeCell ref="AJ54:AS54"/>
    <mergeCell ref="AT54:BT54"/>
    <mergeCell ref="Q55:BT55"/>
    <mergeCell ref="AA56:BT56"/>
    <mergeCell ref="A57:BT57"/>
    <mergeCell ref="V60:BT60"/>
    <mergeCell ref="AD62:BT62"/>
    <mergeCell ref="J63:BT63"/>
    <mergeCell ref="Y64:BT64"/>
    <mergeCell ref="N65:BT65"/>
    <mergeCell ref="A58:BT58"/>
    <mergeCell ref="A59:BT59"/>
    <mergeCell ref="A38:BT38"/>
    <mergeCell ref="AK39:BT39"/>
    <mergeCell ref="AK40:BT40"/>
    <mergeCell ref="A41:BT41"/>
    <mergeCell ref="BY41:CE56"/>
    <mergeCell ref="A44:BT44"/>
    <mergeCell ref="A45:BT45"/>
    <mergeCell ref="D46:BT46"/>
    <mergeCell ref="D51:BT51"/>
    <mergeCell ref="Y52:BT52"/>
    <mergeCell ref="D47:BT47"/>
    <mergeCell ref="D48:BT48"/>
    <mergeCell ref="D49:BT49"/>
    <mergeCell ref="D50:BT50"/>
    <mergeCell ref="A42:BT42"/>
    <mergeCell ref="A43:BT43"/>
    <mergeCell ref="A34:BT34"/>
    <mergeCell ref="U35:BT35"/>
    <mergeCell ref="BY35:CD37"/>
    <mergeCell ref="P36:BT36"/>
    <mergeCell ref="U37:BT37"/>
    <mergeCell ref="A32:BT32"/>
    <mergeCell ref="A33:BT33"/>
    <mergeCell ref="BY27:CE28"/>
    <mergeCell ref="E28:BT28"/>
    <mergeCell ref="O27:BP27"/>
    <mergeCell ref="A31:BT31"/>
    <mergeCell ref="A13:BT13"/>
    <mergeCell ref="A14:BT14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</mergeCells>
  <phoneticPr fontId="21" type="noConversion"/>
  <dataValidations count="4">
    <dataValidation type="list" showInputMessage="1" showErrorMessage="1" sqref="G7:H7" xr:uid="{00000000-0002-0000-0300-000000000000}">
      <formula1>"1,2"</formula1>
    </dataValidation>
    <dataValidation type="list" allowBlank="1" showInputMessage="1" showErrorMessage="1" sqref="F6:H6 F3:H3" xr:uid="{00000000-0002-0000-0300-000001000000}">
      <formula1>"I.I,I.II,II,III,IV,V,V.I,V.II"</formula1>
    </dataValidation>
    <dataValidation type="list" allowBlank="1" showInputMessage="1" showErrorMessage="1" sqref="N27" xr:uid="{00000000-0002-0000-0300-000002000000}">
      <formula1>"выборочный,сплошной"</formula1>
    </dataValidation>
    <dataValidation type="list" errorStyle="information" allowBlank="1" showInputMessage="1" sqref="O27:BP27" xr:uid="{00000000-0002-0000-03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4" fitToHeight="0" orientation="portrait" blackAndWhite="1" r:id="rId1"/>
  <rowBreaks count="2" manualBreakCount="2">
    <brk id="64" max="71" man="1"/>
    <brk id="79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300-000004000000}">
          <x14:formula1>
            <xm:f>'Лист общих данных'!$B$6:$B$12</xm:f>
          </x14:formula1>
          <xm:sqref>S37:U37</xm:sqref>
        </x14:dataValidation>
        <x14:dataValidation type="list" errorStyle="information" allowBlank="1" showInputMessage="1" xr:uid="{00000000-0002-0000-0300-000005000000}">
          <x14:formula1>
            <xm:f>'Лист общих данных'!$C$6:$C$12</xm:f>
          </x14:formula1>
          <xm:sqref>T35:U35</xm:sqref>
        </x14:dataValidation>
        <x14:dataValidation type="list" allowBlank="1" showInputMessage="1" showErrorMessage="1" xr:uid="{00000000-0002-0000-0300-000006000000}">
          <x14:formula1>
            <xm:f>подписанты!$B$3:$B$4</xm:f>
          </x14:formula1>
          <xm:sqref>BJ21:BT21</xm:sqref>
        </x14:dataValidation>
        <x14:dataValidation type="list" allowBlank="1" showInputMessage="1" showErrorMessage="1" xr:uid="{00000000-0002-0000-0300-000007000000}">
          <x14:formula1>
            <xm:f>подписанты!$B$5:$B$7</xm:f>
          </x14:formula1>
          <xm:sqref>BJ23:BT23</xm:sqref>
        </x14:dataValidation>
        <x14:dataValidation type="list" allowBlank="1" showInputMessage="1" showErrorMessage="1" xr:uid="{00000000-0002-0000-0300-000008000000}">
          <x14:formula1>
            <xm:f>подписанты!$B$8:$B$9</xm:f>
          </x14:formula1>
          <xm:sqref>BJ25:BT25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CE68"/>
  <sheetViews>
    <sheetView view="pageBreakPreview" zoomScale="85" zoomScaleNormal="100" zoomScaleSheetLayoutView="85" workbookViewId="0">
      <selection activeCell="N54" sqref="N54:BT54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5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124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80" t="s">
        <v>157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</row>
    <row r="13" spans="1:75" ht="16.2" customHeight="1" x14ac:dyDescent="0.25">
      <c r="A13" s="115" t="s">
        <v>125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</row>
    <row r="14" spans="1:75" ht="12" customHeight="1" x14ac:dyDescent="0.25">
      <c r="A14" s="97" t="s">
        <v>46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98">
        <v>45337</v>
      </c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45337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ht="13.8" customHeight="1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01" t="str">
        <f>VLOOKUP(BJ17,подписанты!$B$3:$C$11,2,FALSE)</f>
        <v>Ведущий инженер МТО АО «Газстройпроект»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0" t="s">
        <v>77</v>
      </c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1" t="s">
        <v>13</v>
      </c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65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ht="13.8" customHeight="1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1" t="str">
        <f>VLOOKUP(BJ19,подписанты!$B$3:$C$11,2,FALSE)</f>
        <v>Инженер отдела технического надзора АО «Газстройпроект»</v>
      </c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0" t="s">
        <v>68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01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2" t="s">
        <v>91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91" t="s">
        <v>13</v>
      </c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65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6" t="s">
        <v>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8" t="s">
        <v>17</v>
      </c>
      <c r="BR23" s="13"/>
      <c r="BS23" s="13"/>
      <c r="BT23" s="13"/>
      <c r="BY23" s="87" t="s">
        <v>80</v>
      </c>
      <c r="BZ23" s="87"/>
      <c r="CA23" s="87"/>
      <c r="CB23" s="87"/>
      <c r="CC23" s="87"/>
      <c r="CD23" s="87"/>
      <c r="CE23" s="87"/>
    </row>
    <row r="24" spans="1:83" ht="13.8" customHeight="1" x14ac:dyDescent="0.25">
      <c r="A24" s="8"/>
      <c r="B24" s="8"/>
      <c r="C24" s="8"/>
      <c r="D24" s="8"/>
      <c r="E24" s="96" t="s">
        <v>47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Y24" s="87"/>
      <c r="BZ24" s="87"/>
      <c r="CA24" s="87"/>
      <c r="CB24" s="87"/>
      <c r="CC24" s="87"/>
      <c r="CD24" s="87"/>
      <c r="CE24" s="87"/>
    </row>
    <row r="25" spans="1:83" ht="16.2" customHeight="1" x14ac:dyDescent="0.25">
      <c r="A25" s="80" t="s">
        <v>158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Y25" s="58"/>
      <c r="BZ25" s="58"/>
      <c r="CA25" s="58"/>
      <c r="CB25" s="58"/>
      <c r="CC25" s="58"/>
      <c r="CD25" s="58"/>
      <c r="CE25" s="58"/>
    </row>
    <row r="26" spans="1:83" ht="16.2" customHeight="1" x14ac:dyDescent="0.25">
      <c r="A26" s="80" t="s">
        <v>159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Y26" s="58"/>
      <c r="BZ26" s="58"/>
      <c r="CA26" s="58"/>
      <c r="CB26" s="58"/>
      <c r="CC26" s="58"/>
      <c r="CD26" s="58"/>
      <c r="CE26" s="58"/>
    </row>
    <row r="27" spans="1:83" x14ac:dyDescent="0.2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</row>
    <row r="28" spans="1:83" ht="13.8" customHeight="1" x14ac:dyDescent="0.25">
      <c r="A28" s="10" t="s">
        <v>18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6"/>
      <c r="S28" s="8"/>
      <c r="T28" s="55"/>
      <c r="U28" s="86" t="s">
        <v>123</v>
      </c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Y28" s="87" t="s">
        <v>81</v>
      </c>
      <c r="BZ28" s="87"/>
      <c r="CA28" s="87"/>
      <c r="CB28" s="87"/>
      <c r="CC28" s="87"/>
      <c r="CD28" s="87"/>
    </row>
    <row r="29" spans="1:8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83" t="s">
        <v>19</v>
      </c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Y29" s="87"/>
      <c r="BZ29" s="87"/>
      <c r="CA29" s="87"/>
      <c r="CB29" s="87"/>
      <c r="CC29" s="87"/>
      <c r="CD29" s="87"/>
    </row>
    <row r="30" spans="1:83" x14ac:dyDescent="0.25">
      <c r="A30" s="10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1"/>
      <c r="T30" s="21"/>
      <c r="U30" s="84" t="s">
        <v>51</v>
      </c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Y30" s="87"/>
      <c r="BZ30" s="87"/>
      <c r="CA30" s="87"/>
      <c r="CB30" s="87"/>
      <c r="CC30" s="87"/>
      <c r="CD30" s="87"/>
    </row>
    <row r="31" spans="1:83" x14ac:dyDescent="0.25">
      <c r="A31" s="91" t="s">
        <v>21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</row>
    <row r="32" spans="1:83" x14ac:dyDescent="0.25">
      <c r="A32" s="8"/>
      <c r="B32" s="8"/>
      <c r="C32" s="8"/>
      <c r="D32" s="8" t="s">
        <v>22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7"/>
      <c r="AH32" s="7"/>
      <c r="AI32" s="7"/>
      <c r="AJ32" s="7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</row>
    <row r="33" spans="1:83" ht="13.8" customHeight="1" x14ac:dyDescent="0.25">
      <c r="A33" s="8" t="s">
        <v>23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1"/>
      <c r="AJ33" s="8"/>
      <c r="AK33" s="93" t="s">
        <v>160</v>
      </c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Y33" s="44" t="s">
        <v>82</v>
      </c>
    </row>
    <row r="34" spans="1:83" x14ac:dyDescent="0.25">
      <c r="A34" s="94" t="s">
        <v>126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Y34" s="87"/>
      <c r="BZ34" s="87"/>
      <c r="CA34" s="87"/>
      <c r="CB34" s="87"/>
      <c r="CC34" s="87"/>
      <c r="CD34" s="87"/>
      <c r="CE34" s="87"/>
    </row>
    <row r="35" spans="1:83" x14ac:dyDescent="0.25">
      <c r="A35" s="94" t="s">
        <v>161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Y35" s="87"/>
      <c r="BZ35" s="87"/>
      <c r="CA35" s="87"/>
      <c r="CB35" s="87"/>
      <c r="CC35" s="87"/>
      <c r="CD35" s="87"/>
      <c r="CE35" s="87"/>
    </row>
    <row r="36" spans="1:83" x14ac:dyDescent="0.25">
      <c r="A36" s="65" t="s">
        <v>24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Y36" s="87"/>
      <c r="BZ36" s="87"/>
      <c r="CA36" s="87"/>
      <c r="CB36" s="87"/>
      <c r="CC36" s="87"/>
      <c r="CD36" s="87"/>
      <c r="CE36" s="87"/>
    </row>
    <row r="37" spans="1:83" x14ac:dyDescent="0.25">
      <c r="A37" s="88" t="s">
        <v>57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Y37" s="87"/>
      <c r="BZ37" s="87"/>
      <c r="CA37" s="87"/>
      <c r="CB37" s="87"/>
      <c r="CC37" s="87"/>
      <c r="CD37" s="87"/>
      <c r="CE37" s="87"/>
    </row>
    <row r="38" spans="1:83" x14ac:dyDescent="0.25">
      <c r="A38" s="18" t="s">
        <v>58</v>
      </c>
      <c r="B38" s="19"/>
      <c r="C38" s="19"/>
      <c r="D38" s="111" t="str">
        <f>A25</f>
        <v xml:space="preserve">Труба ПВХ гибкая гофрированная: Ø16 -  м, 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Y38" s="87"/>
      <c r="BZ38" s="87"/>
      <c r="CA38" s="87"/>
      <c r="CB38" s="87"/>
      <c r="CC38" s="87"/>
      <c r="CD38" s="87"/>
      <c r="CE38" s="87"/>
    </row>
    <row r="39" spans="1:83" x14ac:dyDescent="0.25">
      <c r="A39" s="18"/>
      <c r="B39" s="19"/>
      <c r="C39" s="19"/>
      <c r="D39" s="111" t="str">
        <f>A26</f>
        <v>Трубка капиллярная Ø6 -  м</v>
      </c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Y39" s="87"/>
      <c r="BZ39" s="87"/>
      <c r="CA39" s="87"/>
      <c r="CB39" s="87"/>
      <c r="CC39" s="87"/>
      <c r="CD39" s="87"/>
      <c r="CE39" s="87"/>
    </row>
    <row r="40" spans="1:83" ht="13.8" customHeight="1" x14ac:dyDescent="0.25">
      <c r="A40" s="8"/>
      <c r="B40" s="8"/>
      <c r="C40" s="8"/>
      <c r="D40" s="112" t="s">
        <v>25</v>
      </c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57"/>
      <c r="BY40" s="87"/>
      <c r="BZ40" s="87"/>
      <c r="CA40" s="87"/>
      <c r="CB40" s="87"/>
      <c r="CC40" s="87"/>
      <c r="CD40" s="87"/>
      <c r="CE40" s="87"/>
    </row>
    <row r="41" spans="1:83" x14ac:dyDescent="0.25">
      <c r="A41" s="8" t="s">
        <v>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33"/>
      <c r="Y41" s="109" t="s">
        <v>162</v>
      </c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Y41" s="87"/>
      <c r="BZ41" s="87"/>
      <c r="CA41" s="87"/>
      <c r="CB41" s="87"/>
      <c r="CC41" s="87"/>
      <c r="CD41" s="87"/>
      <c r="CE41" s="87"/>
    </row>
    <row r="42" spans="1:8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20"/>
      <c r="Y42" s="65" t="s">
        <v>27</v>
      </c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</row>
    <row r="43" spans="1:83" x14ac:dyDescent="0.25">
      <c r="A43" s="8" t="s">
        <v>28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7"/>
      <c r="AG43" s="7"/>
      <c r="AH43" s="7"/>
      <c r="AI43" s="7"/>
      <c r="AJ43" s="71" t="s">
        <v>29</v>
      </c>
      <c r="AK43" s="71"/>
      <c r="AL43" s="71"/>
      <c r="AM43" s="71"/>
      <c r="AN43" s="71"/>
      <c r="AO43" s="71"/>
      <c r="AP43" s="71"/>
      <c r="AQ43" s="71"/>
      <c r="AR43" s="71"/>
      <c r="AS43" s="71"/>
      <c r="AT43" s="72" t="s">
        <v>72</v>
      </c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</row>
    <row r="44" spans="1:83" x14ac:dyDescent="0.25">
      <c r="A44" s="10" t="s">
        <v>30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55"/>
      <c r="O44" s="55"/>
      <c r="P44" s="55"/>
      <c r="Q44" s="73" t="str">
        <f>U28</f>
        <v xml:space="preserve">ПП2020РД-1.2-61.17-ОВ3.СО изм.  лист </v>
      </c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</row>
    <row r="45" spans="1:83" x14ac:dyDescent="0.25">
      <c r="A45" s="8"/>
      <c r="B45" s="8"/>
      <c r="C45" s="8"/>
      <c r="D45" s="10" t="s">
        <v>31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1"/>
      <c r="X45" s="8"/>
      <c r="Y45" s="32"/>
      <c r="Z45" s="32"/>
      <c r="AA45" s="74" t="str">
        <f>AK33</f>
        <v>Паспорт качества № 92135 от 04.10.2023;</v>
      </c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Y45" t="s">
        <v>84</v>
      </c>
    </row>
    <row r="46" spans="1:83" x14ac:dyDescent="0.25">
      <c r="A46" s="69" t="str">
        <f>A34</f>
        <v>Сертификат соответствия №ЕАЭС RU C-RU.ПБ68.В.00559/21 с 04.10.2021 по 15.03.2026;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</row>
    <row r="47" spans="1:83" ht="13.8" customHeight="1" x14ac:dyDescent="0.25">
      <c r="A47" s="69" t="str">
        <f>A35</f>
        <v>Паспорт качества б/н от 28.11.2023, Сертификат соответствия № РОСС RU.АЖ49.Н01493 с 08.06.2021 по 07.06.2024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</row>
    <row r="48" spans="1:83" ht="13.8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76" t="s">
        <v>32</v>
      </c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</row>
    <row r="49" spans="1:77" x14ac:dyDescent="0.25">
      <c r="A49" s="8" t="s">
        <v>33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23"/>
    </row>
    <row r="50" spans="1:77" x14ac:dyDescent="0.25">
      <c r="A50" s="34"/>
      <c r="B50" s="8"/>
      <c r="C50" s="8"/>
      <c r="D50" s="8" t="s">
        <v>34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7"/>
      <c r="X50" s="7"/>
      <c r="Y50" s="7"/>
      <c r="Z50" s="7"/>
      <c r="AA50" s="34"/>
      <c r="AB50" s="7"/>
      <c r="AC50" s="34"/>
      <c r="AD50" s="77" t="s">
        <v>35</v>
      </c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</row>
    <row r="51" spans="1:77" x14ac:dyDescent="0.25">
      <c r="A51" s="8"/>
      <c r="B51" s="8"/>
      <c r="C51" s="8"/>
      <c r="D51" s="8"/>
      <c r="E51" s="8"/>
      <c r="F51" s="8"/>
      <c r="G51" s="8"/>
      <c r="H51" s="8"/>
      <c r="I51" s="8"/>
      <c r="J51" s="78" t="s">
        <v>36</v>
      </c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</row>
    <row r="52" spans="1:77" x14ac:dyDescent="0.25">
      <c r="A52" s="10" t="s">
        <v>37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28"/>
      <c r="W52" s="35"/>
      <c r="X52" s="29"/>
      <c r="Y52" s="75" t="str">
        <f>U28</f>
        <v xml:space="preserve">ПП2020РД-1.2-61.17-ОВ3.СО изм.  лист </v>
      </c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</row>
    <row r="53" spans="1:77" ht="13.8" customHeight="1" x14ac:dyDescent="0.25">
      <c r="A53" s="8" t="s">
        <v>38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34"/>
      <c r="M53" s="24"/>
      <c r="N53" s="70" t="s">
        <v>163</v>
      </c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</row>
    <row r="54" spans="1:77" ht="13.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34"/>
      <c r="M54" s="24"/>
      <c r="N54" s="70" t="s">
        <v>164</v>
      </c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</row>
    <row r="55" spans="1:7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</row>
    <row r="56" spans="1:77" x14ac:dyDescent="0.25">
      <c r="A56" s="8" t="s">
        <v>39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12"/>
      <c r="BY56" t="s">
        <v>86</v>
      </c>
    </row>
    <row r="57" spans="1:77" x14ac:dyDescent="0.25">
      <c r="A57" s="8" t="s">
        <v>12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9" t="str">
        <f>BJ17</f>
        <v>Журавлев Ю.С.</v>
      </c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8"/>
      <c r="AP57" s="8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8"/>
      <c r="BG57" s="8"/>
      <c r="BH57" s="68">
        <f>AE15</f>
        <v>45337</v>
      </c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12"/>
    </row>
    <row r="58" spans="1:77" ht="16.2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5" t="s">
        <v>59</v>
      </c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30"/>
      <c r="AP58" s="30"/>
      <c r="AQ58" s="65" t="s">
        <v>40</v>
      </c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30"/>
      <c r="BG58" s="30"/>
      <c r="BH58" s="65" t="s">
        <v>41</v>
      </c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26"/>
      <c r="BY58" t="s">
        <v>87</v>
      </c>
    </row>
    <row r="59" spans="1:77" x14ac:dyDescent="0.25">
      <c r="A59" s="8" t="s">
        <v>42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12"/>
      <c r="BY59" t="s">
        <v>88</v>
      </c>
    </row>
    <row r="60" spans="1:77" x14ac:dyDescent="0.25">
      <c r="A60" s="8" t="s">
        <v>43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9" t="str">
        <f>BJ19</f>
        <v>Халыгов Э. А.</v>
      </c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8"/>
      <c r="AP60" s="8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8"/>
      <c r="BG60" s="8"/>
      <c r="BH60" s="68">
        <f>BH57</f>
        <v>45337</v>
      </c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12"/>
    </row>
    <row r="61" spans="1:7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65" t="s">
        <v>59</v>
      </c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30"/>
      <c r="AP61" s="30"/>
      <c r="AQ61" s="65" t="s">
        <v>40</v>
      </c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30"/>
      <c r="BG61" s="30"/>
      <c r="BH61" s="65" t="s">
        <v>41</v>
      </c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12"/>
    </row>
    <row r="62" spans="1:77" ht="13.8" customHeight="1" x14ac:dyDescent="0.25">
      <c r="A62" s="8" t="s">
        <v>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7" x14ac:dyDescent="0.25">
      <c r="A63" s="8" t="s">
        <v>44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6" t="str">
        <f>BJ21</f>
        <v>Тюкин Е.В.</v>
      </c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8"/>
      <c r="AP63" s="8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8"/>
      <c r="BG63" s="8"/>
      <c r="BH63" s="68">
        <f>BH57</f>
        <v>45337</v>
      </c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12"/>
    </row>
    <row r="64" spans="1:77" ht="16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5" t="s">
        <v>59</v>
      </c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30"/>
      <c r="AP64" s="30"/>
      <c r="AQ64" s="65" t="s">
        <v>40</v>
      </c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30"/>
      <c r="BG64" s="30"/>
      <c r="BH64" s="65" t="s">
        <v>41</v>
      </c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12"/>
    </row>
    <row r="65" spans="1:72" x14ac:dyDescent="0.25">
      <c r="A65" s="13"/>
      <c r="B65" s="13"/>
      <c r="C65" s="13"/>
      <c r="D65" s="7"/>
      <c r="E65" s="7"/>
      <c r="F65" s="7"/>
      <c r="G65" s="7"/>
      <c r="H65" s="7"/>
      <c r="I65" s="7"/>
      <c r="J65" s="7"/>
      <c r="K65" s="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6" spans="1:72" x14ac:dyDescent="0.25">
      <c r="A66" s="61" t="s">
        <v>107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13"/>
      <c r="AN66" s="13"/>
      <c r="AO66" s="8"/>
      <c r="AP66" s="8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8"/>
      <c r="BG66" s="8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12"/>
    </row>
    <row r="67" spans="1:72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10"/>
      <c r="AN67" s="10"/>
      <c r="AO67" s="8"/>
      <c r="AP67" s="8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8"/>
      <c r="BG67" s="8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12"/>
    </row>
    <row r="68" spans="1:72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2"/>
    </row>
  </sheetData>
  <mergeCells count="82"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T22:BJ22"/>
    <mergeCell ref="O23:BP23"/>
    <mergeCell ref="A13:BT13"/>
    <mergeCell ref="A14:BT14"/>
    <mergeCell ref="AE15:AT15"/>
    <mergeCell ref="S17:BI17"/>
    <mergeCell ref="BJ17:BT17"/>
    <mergeCell ref="T18:BJ18"/>
    <mergeCell ref="S19:BI19"/>
    <mergeCell ref="BJ19:BT19"/>
    <mergeCell ref="T20:BJ20"/>
    <mergeCell ref="S21:BI21"/>
    <mergeCell ref="BJ21:BT21"/>
    <mergeCell ref="BY23:CE24"/>
    <mergeCell ref="E24:BT24"/>
    <mergeCell ref="A25:BT25"/>
    <mergeCell ref="A27:BT27"/>
    <mergeCell ref="U28:BT28"/>
    <mergeCell ref="BY28:CD30"/>
    <mergeCell ref="P29:BT29"/>
    <mergeCell ref="U30:BT30"/>
    <mergeCell ref="A26:BT26"/>
    <mergeCell ref="A31:BT31"/>
    <mergeCell ref="AK32:BT32"/>
    <mergeCell ref="AK33:BT33"/>
    <mergeCell ref="BY34:CE41"/>
    <mergeCell ref="A36:BT36"/>
    <mergeCell ref="A37:BT37"/>
    <mergeCell ref="D38:BT38"/>
    <mergeCell ref="A34:BT34"/>
    <mergeCell ref="A35:BT35"/>
    <mergeCell ref="V48:BT48"/>
    <mergeCell ref="D39:BT39"/>
    <mergeCell ref="D40:BT40"/>
    <mergeCell ref="Y41:BT41"/>
    <mergeCell ref="Y42:BT42"/>
    <mergeCell ref="AJ43:AS43"/>
    <mergeCell ref="AT43:BT43"/>
    <mergeCell ref="Q44:BT44"/>
    <mergeCell ref="AA45:BT45"/>
    <mergeCell ref="A46:BT46"/>
    <mergeCell ref="A47:BT47"/>
    <mergeCell ref="AD50:BT50"/>
    <mergeCell ref="J51:BT51"/>
    <mergeCell ref="Y52:BT52"/>
    <mergeCell ref="N53:BT53"/>
    <mergeCell ref="X57:AN57"/>
    <mergeCell ref="AQ57:BE57"/>
    <mergeCell ref="BH57:BS57"/>
    <mergeCell ref="N54:BT54"/>
    <mergeCell ref="X58:AN58"/>
    <mergeCell ref="AQ58:BE58"/>
    <mergeCell ref="BH58:BS58"/>
    <mergeCell ref="X60:AN60"/>
    <mergeCell ref="AQ60:BE60"/>
    <mergeCell ref="BH60:BS60"/>
    <mergeCell ref="X61:AN61"/>
    <mergeCell ref="AQ61:BE61"/>
    <mergeCell ref="BH61:BS61"/>
    <mergeCell ref="X63:AN63"/>
    <mergeCell ref="AQ63:BE63"/>
    <mergeCell ref="BH63:BS63"/>
    <mergeCell ref="X64:AN64"/>
    <mergeCell ref="AQ64:BE64"/>
    <mergeCell ref="BH64:BS64"/>
    <mergeCell ref="A66:AL68"/>
    <mergeCell ref="AQ66:BE66"/>
    <mergeCell ref="BH66:BS66"/>
    <mergeCell ref="AQ67:BE67"/>
    <mergeCell ref="BH67:BS67"/>
  </mergeCells>
  <dataValidations count="4">
    <dataValidation type="list" errorStyle="information" allowBlank="1" showInputMessage="1" sqref="O23:BP23" xr:uid="{00000000-0002-0000-0500-000000000000}">
      <formula1>"выборочный,сплошной"</formula1>
    </dataValidation>
    <dataValidation type="list" allowBlank="1" showInputMessage="1" showErrorMessage="1" sqref="N23" xr:uid="{00000000-0002-0000-0500-000001000000}">
      <formula1>"выборочный,сплошной"</formula1>
    </dataValidation>
    <dataValidation type="list" allowBlank="1" showInputMessage="1" showErrorMessage="1" sqref="F6:H6 F3:H3" xr:uid="{00000000-0002-0000-0500-000002000000}">
      <formula1>"I.I,I.II,II,III,IV,V,V.I,V.II"</formula1>
    </dataValidation>
    <dataValidation type="list" showInputMessage="1" showErrorMessage="1" sqref="G7:H7" xr:uid="{00000000-0002-0000-05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49" max="71" man="1"/>
    <brk id="68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5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5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5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500-000007000000}">
          <x14:formula1>
            <xm:f>'Лист общих данных'!$C$6:$C$12</xm:f>
          </x14:formula1>
          <xm:sqref>T28:U28</xm:sqref>
        </x14:dataValidation>
        <x14:dataValidation type="list" errorStyle="warning" allowBlank="1" showInputMessage="1" showErrorMessage="1" xr:uid="{00000000-0002-0000-0500-000008000000}">
          <x14:formula1>
            <xm:f>'Лист общих данных'!$B$6:$B$12</xm:f>
          </x14:formula1>
          <xm:sqref>S30:U30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CE75"/>
  <sheetViews>
    <sheetView view="pageBreakPreview" topLeftCell="A43" zoomScale="85" zoomScaleNormal="100" zoomScaleSheetLayoutView="85" workbookViewId="0">
      <selection activeCell="S23" sqref="S23:BI23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127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80" t="s">
        <v>128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</row>
    <row r="13" spans="1:72" ht="16.2" customHeight="1" x14ac:dyDescent="0.25">
      <c r="A13" s="80" t="s">
        <v>129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</row>
    <row r="14" spans="1:72" ht="16.2" customHeight="1" x14ac:dyDescent="0.25">
      <c r="A14" s="80" t="s">
        <v>130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</row>
    <row r="15" spans="1:72" ht="13.8" customHeight="1" x14ac:dyDescent="0.25">
      <c r="A15" s="80" t="s">
        <v>131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</row>
    <row r="16" spans="1:72" ht="12" customHeight="1" x14ac:dyDescent="0.25">
      <c r="A16" s="97" t="s">
        <v>46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3" t="s">
        <v>9</v>
      </c>
      <c r="AB17" s="8"/>
      <c r="AC17" s="8"/>
      <c r="AD17" s="8"/>
      <c r="AE17" s="98">
        <v>45337</v>
      </c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16"/>
      <c r="AV17" s="16"/>
      <c r="AW17" s="16"/>
      <c r="AX17" s="16"/>
      <c r="AY17" s="16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  <c r="BW17" s="54">
        <f>AE17</f>
        <v>45337</v>
      </c>
    </row>
    <row r="18" spans="1:83" x14ac:dyDescent="0.25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 t="s">
        <v>11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ht="13.8" customHeight="1" x14ac:dyDescent="0.25">
      <c r="A19" s="8" t="s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9" t="str">
        <f>VLOOKUP(BJ19,подписанты!$B$3:$C$11,2,FALSE)</f>
        <v>Ведущий инженер МТО АО «Газстройпроект»</v>
      </c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100" t="s">
        <v>77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27"/>
      <c r="BL20" s="27"/>
      <c r="BM20" s="27"/>
      <c r="BN20" s="27"/>
      <c r="BO20" s="27"/>
      <c r="BP20" s="17"/>
      <c r="BQ20" s="17"/>
      <c r="BR20" s="17"/>
      <c r="BS20" s="17"/>
      <c r="BT20" s="17"/>
    </row>
    <row r="21" spans="1:83" ht="13.8" customHeight="1" x14ac:dyDescent="0.25">
      <c r="A21" s="8" t="s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1" t="str">
        <f>VLOOKUP(BJ21,подписанты!$B$3:$C$11,2,FALSE)</f>
        <v>Инженер отдела технического надзора АО «Газстройпроект»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0" t="s">
        <v>68</v>
      </c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65" t="s">
        <v>13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83" ht="40.049999999999997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99" t="str">
        <f>VLOOKUP(BJ23,подписанты!$B$3:$C$11,2,FALSE)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102" t="s">
        <v>91</v>
      </c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5" t="s">
        <v>13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83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8"/>
      <c r="O25" s="66" t="s">
        <v>89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8" t="s">
        <v>17</v>
      </c>
      <c r="BR25" s="13"/>
      <c r="BS25" s="13"/>
      <c r="BT25" s="13"/>
      <c r="BY25" s="87" t="s">
        <v>80</v>
      </c>
      <c r="BZ25" s="87"/>
      <c r="CA25" s="87"/>
      <c r="CB25" s="87"/>
      <c r="CC25" s="87"/>
      <c r="CD25" s="87"/>
      <c r="CE25" s="87"/>
    </row>
    <row r="26" spans="1:83" ht="13.8" customHeight="1" x14ac:dyDescent="0.25">
      <c r="A26" s="8"/>
      <c r="B26" s="8"/>
      <c r="C26" s="8"/>
      <c r="D26" s="8"/>
      <c r="E26" s="96" t="s">
        <v>47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Y26" s="87"/>
      <c r="BZ26" s="87"/>
      <c r="CA26" s="87"/>
      <c r="CB26" s="87"/>
      <c r="CC26" s="87"/>
      <c r="CD26" s="87"/>
      <c r="CE26" s="87"/>
    </row>
    <row r="27" spans="1:83" ht="16.2" customHeight="1" x14ac:dyDescent="0.25">
      <c r="A27" s="80" t="s">
        <v>132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Y27" s="58"/>
      <c r="BZ27" s="58"/>
      <c r="CA27" s="58"/>
      <c r="CB27" s="58"/>
      <c r="CC27" s="58"/>
      <c r="CD27" s="58"/>
      <c r="CE27" s="58"/>
    </row>
    <row r="28" spans="1:83" ht="16.2" customHeight="1" x14ac:dyDescent="0.25">
      <c r="A28" s="80" t="s">
        <v>133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Y28" s="58"/>
      <c r="BZ28" s="58"/>
      <c r="CA28" s="58"/>
      <c r="CB28" s="58"/>
      <c r="CC28" s="58"/>
      <c r="CD28" s="58"/>
      <c r="CE28" s="58"/>
    </row>
    <row r="29" spans="1:83" x14ac:dyDescent="0.25">
      <c r="A29" s="80" t="s">
        <v>134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</row>
    <row r="30" spans="1:83" ht="13.8" customHeight="1" x14ac:dyDescent="0.25">
      <c r="A30" s="80" t="s">
        <v>135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Y30" s="87" t="s">
        <v>81</v>
      </c>
      <c r="BZ30" s="87"/>
      <c r="CA30" s="87"/>
      <c r="CB30" s="87"/>
      <c r="CC30" s="87"/>
      <c r="CD30" s="87"/>
    </row>
    <row r="31" spans="1:83" x14ac:dyDescent="0.2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</row>
    <row r="32" spans="1:83" x14ac:dyDescent="0.25">
      <c r="A32" s="10" t="s">
        <v>18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6"/>
      <c r="S32" s="8"/>
      <c r="T32" s="55"/>
      <c r="U32" s="86" t="s">
        <v>123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</row>
    <row r="33" spans="1:83" ht="13.8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83" t="s">
        <v>19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Y33" s="44" t="s">
        <v>82</v>
      </c>
    </row>
    <row r="34" spans="1:83" x14ac:dyDescent="0.25">
      <c r="A34" s="10" t="s">
        <v>20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1"/>
      <c r="T34" s="21"/>
      <c r="U34" s="84" t="s">
        <v>51</v>
      </c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Y34" s="87" t="s">
        <v>83</v>
      </c>
      <c r="BZ34" s="87"/>
      <c r="CA34" s="87"/>
      <c r="CB34" s="87"/>
      <c r="CC34" s="87"/>
      <c r="CD34" s="87"/>
      <c r="CE34" s="87"/>
    </row>
    <row r="35" spans="1:83" x14ac:dyDescent="0.25">
      <c r="A35" s="91" t="s">
        <v>21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Y35" s="87"/>
      <c r="BZ35" s="87"/>
      <c r="CA35" s="87"/>
      <c r="CB35" s="87"/>
      <c r="CC35" s="87"/>
      <c r="CD35" s="87"/>
      <c r="CE35" s="87"/>
    </row>
    <row r="36" spans="1:83" x14ac:dyDescent="0.25">
      <c r="A36" s="8"/>
      <c r="B36" s="8"/>
      <c r="C36" s="8"/>
      <c r="D36" s="8" t="s">
        <v>22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7"/>
      <c r="AH36" s="7"/>
      <c r="AI36" s="7"/>
      <c r="AJ36" s="7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Y36" s="87"/>
      <c r="BZ36" s="87"/>
      <c r="CA36" s="87"/>
      <c r="CB36" s="87"/>
      <c r="CC36" s="87"/>
      <c r="CD36" s="87"/>
      <c r="CE36" s="87"/>
    </row>
    <row r="37" spans="1:83" ht="13.8" customHeight="1" x14ac:dyDescent="0.25">
      <c r="A37" s="8" t="s">
        <v>23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1"/>
      <c r="AJ37" s="8"/>
      <c r="AK37" s="93" t="s">
        <v>165</v>
      </c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Y37" s="87"/>
      <c r="BZ37" s="87"/>
      <c r="CA37" s="87"/>
      <c r="CB37" s="87"/>
      <c r="CC37" s="87"/>
      <c r="CD37" s="87"/>
      <c r="CE37" s="87"/>
    </row>
    <row r="38" spans="1:83" x14ac:dyDescent="0.25">
      <c r="A38" s="82" t="s">
        <v>166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Y38" s="87"/>
      <c r="BZ38" s="87"/>
      <c r="CA38" s="87"/>
      <c r="CB38" s="87"/>
      <c r="CC38" s="87"/>
      <c r="CD38" s="87"/>
      <c r="CE38" s="87"/>
    </row>
    <row r="39" spans="1:83" x14ac:dyDescent="0.25">
      <c r="A39" s="82" t="s">
        <v>167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Y39" s="87"/>
      <c r="BZ39" s="87"/>
      <c r="CA39" s="87"/>
      <c r="CB39" s="87"/>
      <c r="CC39" s="87"/>
      <c r="CD39" s="87"/>
      <c r="CE39" s="87"/>
    </row>
    <row r="40" spans="1:83" x14ac:dyDescent="0.25">
      <c r="A40" s="82" t="s">
        <v>168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Y40" s="87"/>
      <c r="BZ40" s="87"/>
      <c r="CA40" s="87"/>
      <c r="CB40" s="87"/>
      <c r="CC40" s="87"/>
      <c r="CD40" s="87"/>
      <c r="CE40" s="87"/>
    </row>
    <row r="41" spans="1:83" ht="13.8" customHeight="1" x14ac:dyDescent="0.25">
      <c r="A41" s="65" t="s">
        <v>24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57"/>
      <c r="BY41" s="87"/>
      <c r="BZ41" s="87"/>
      <c r="CA41" s="87"/>
      <c r="CB41" s="87"/>
      <c r="CC41" s="87"/>
      <c r="CD41" s="87"/>
      <c r="CE41" s="87"/>
    </row>
    <row r="42" spans="1:83" x14ac:dyDescent="0.25">
      <c r="A42" s="88" t="s">
        <v>57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Y42" s="87"/>
      <c r="BZ42" s="87"/>
      <c r="CA42" s="87"/>
      <c r="CB42" s="87"/>
      <c r="CC42" s="87"/>
      <c r="CD42" s="87"/>
      <c r="CE42" s="87"/>
    </row>
    <row r="43" spans="1:83" x14ac:dyDescent="0.25">
      <c r="A43" s="18" t="s">
        <v>58</v>
      </c>
      <c r="B43" s="19"/>
      <c r="C43" s="19"/>
      <c r="D43" s="111" t="str">
        <f>A27</f>
        <v>Резиновая манжета 32/50 -  шт.,</v>
      </c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</row>
    <row r="44" spans="1:83" x14ac:dyDescent="0.25">
      <c r="A44" s="18"/>
      <c r="B44" s="19"/>
      <c r="C44" s="19"/>
      <c r="D44" s="111" t="str">
        <f t="shared" ref="D44:D46" si="0">A28</f>
        <v>Резиновая манжета 40/50 -  шт.,</v>
      </c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</row>
    <row r="45" spans="1:83" x14ac:dyDescent="0.25">
      <c r="A45" s="18"/>
      <c r="B45" s="19"/>
      <c r="C45" s="19"/>
      <c r="D45" s="111" t="str">
        <f t="shared" si="0"/>
        <v>Комперссионное соединение 110/50 -  шт.</v>
      </c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</row>
    <row r="46" spans="1:83" x14ac:dyDescent="0.25">
      <c r="A46" s="18"/>
      <c r="B46" s="19"/>
      <c r="C46" s="19"/>
      <c r="D46" s="111" t="str">
        <f t="shared" si="0"/>
        <v>Самоуплотняющийся фитинг -  шт.</v>
      </c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</row>
    <row r="47" spans="1:83" x14ac:dyDescent="0.25">
      <c r="A47" s="8"/>
      <c r="B47" s="8"/>
      <c r="C47" s="8"/>
      <c r="D47" s="112" t="s">
        <v>25</v>
      </c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</row>
    <row r="48" spans="1:83" x14ac:dyDescent="0.25">
      <c r="A48" s="8" t="s">
        <v>26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33"/>
      <c r="Y48" s="109" t="s">
        <v>114</v>
      </c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Y48" t="s">
        <v>84</v>
      </c>
    </row>
    <row r="49" spans="1:7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20"/>
      <c r="Y49" s="65" t="s">
        <v>27</v>
      </c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Y49" t="s">
        <v>85</v>
      </c>
    </row>
    <row r="50" spans="1:77" x14ac:dyDescent="0.25">
      <c r="A50" s="8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7"/>
      <c r="AG50" s="7"/>
      <c r="AH50" s="7"/>
      <c r="AI50" s="7"/>
      <c r="AJ50" s="71" t="s">
        <v>29</v>
      </c>
      <c r="AK50" s="71"/>
      <c r="AL50" s="71"/>
      <c r="AM50" s="71"/>
      <c r="AN50" s="71"/>
      <c r="AO50" s="71"/>
      <c r="AP50" s="71"/>
      <c r="AQ50" s="71"/>
      <c r="AR50" s="71"/>
      <c r="AS50" s="71"/>
      <c r="AT50" s="72" t="s">
        <v>72</v>
      </c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</row>
    <row r="51" spans="1:77" ht="13.8" customHeight="1" x14ac:dyDescent="0.25">
      <c r="A51" s="10" t="s">
        <v>30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55"/>
      <c r="O51" s="55"/>
      <c r="P51" s="55"/>
      <c r="Q51" s="73" t="str">
        <f>U32</f>
        <v xml:space="preserve">ПП2020РД-1.2-61.17-ОВ3.СО изм.  лист </v>
      </c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</row>
    <row r="52" spans="1:77" ht="13.8" customHeight="1" x14ac:dyDescent="0.25">
      <c r="A52" s="8"/>
      <c r="B52" s="8"/>
      <c r="C52" s="8"/>
      <c r="D52" s="10" t="s">
        <v>31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1"/>
      <c r="X52" s="8"/>
      <c r="Y52" s="32"/>
      <c r="Z52" s="32"/>
      <c r="AA52" s="74" t="str">
        <f>AK37</f>
        <v>Технический паспорт и руководство по эксплуатации б/н</v>
      </c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</row>
    <row r="53" spans="1:77" ht="13.8" customHeight="1" x14ac:dyDescent="0.25">
      <c r="A53" s="69" t="str">
        <f>A38</f>
        <v>от 07.11.2023, Информационное письмо исх. №1523/Л от 26.01.2022, Паспорт изделия б/н от 26.10.2023,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</row>
    <row r="54" spans="1:77" x14ac:dyDescent="0.25">
      <c r="A54" s="69" t="str">
        <f>A39</f>
        <v>Информационное письмо исх.№ОТК/109 от 10.09.2018, Паспорт б/н от 21.11.2023,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</row>
    <row r="55" spans="1:77" x14ac:dyDescent="0.25">
      <c r="A55" s="69" t="str">
        <f>A40</f>
        <v>Сертификат соответствия № РОСС RU.HE06.H12786 с 19.09.2023 по 18.09.2026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</row>
    <row r="56" spans="1:77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76" t="s">
        <v>32</v>
      </c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</row>
    <row r="57" spans="1:77" ht="13.8" customHeight="1" x14ac:dyDescent="0.25">
      <c r="A57" s="8" t="s">
        <v>33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23"/>
    </row>
    <row r="58" spans="1:77" x14ac:dyDescent="0.25">
      <c r="A58" s="34"/>
      <c r="B58" s="8"/>
      <c r="C58" s="8"/>
      <c r="D58" s="8" t="s">
        <v>34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7"/>
      <c r="X58" s="7"/>
      <c r="Y58" s="7"/>
      <c r="Z58" s="7"/>
      <c r="AA58" s="34"/>
      <c r="AB58" s="7"/>
      <c r="AC58" s="34"/>
      <c r="AD58" s="77" t="s">
        <v>35</v>
      </c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78" t="s">
        <v>36</v>
      </c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Y59" t="s">
        <v>86</v>
      </c>
    </row>
    <row r="60" spans="1:77" x14ac:dyDescent="0.25">
      <c r="A60" s="10" t="s">
        <v>37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28"/>
      <c r="W60" s="35"/>
      <c r="X60" s="29"/>
      <c r="Y60" s="75" t="str">
        <f>U32</f>
        <v xml:space="preserve">ПП2020РД-1.2-61.17-ОВ3.СО изм.  лист </v>
      </c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</row>
    <row r="61" spans="1:77" ht="16.2" customHeight="1" x14ac:dyDescent="0.25">
      <c r="A61" s="8" t="s">
        <v>38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34"/>
      <c r="M61" s="24"/>
      <c r="N61" s="70" t="s">
        <v>136</v>
      </c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Y61" t="s">
        <v>87</v>
      </c>
    </row>
    <row r="62" spans="1:7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Y62" t="s">
        <v>88</v>
      </c>
    </row>
    <row r="63" spans="1:77" x14ac:dyDescent="0.25">
      <c r="A63" s="8" t="s">
        <v>39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  <row r="64" spans="1:77" x14ac:dyDescent="0.25">
      <c r="A64" s="8" t="s">
        <v>12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9" t="str">
        <f>BJ19</f>
        <v>Журавлев Ю.С.</v>
      </c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8"/>
      <c r="AP64" s="8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8"/>
      <c r="BG64" s="8"/>
      <c r="BH64" s="68">
        <f>AE17</f>
        <v>45337</v>
      </c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12"/>
    </row>
    <row r="65" spans="1:72" ht="13.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65" t="s">
        <v>59</v>
      </c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30"/>
      <c r="AP65" s="30"/>
      <c r="AQ65" s="65" t="s">
        <v>40</v>
      </c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30"/>
      <c r="BG65" s="30"/>
      <c r="BH65" s="65" t="s">
        <v>41</v>
      </c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26"/>
    </row>
    <row r="66" spans="1:72" x14ac:dyDescent="0.25">
      <c r="A66" s="8" t="s">
        <v>42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2"/>
    </row>
    <row r="67" spans="1:72" ht="16.8" customHeight="1" x14ac:dyDescent="0.25">
      <c r="A67" s="8" t="s">
        <v>43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9" t="str">
        <f>BJ21</f>
        <v>Халыгов Э. А.</v>
      </c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8"/>
      <c r="AP67" s="8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8"/>
      <c r="BG67" s="8"/>
      <c r="BH67" s="68">
        <f>BH64</f>
        <v>45337</v>
      </c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12"/>
    </row>
    <row r="68" spans="1:7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65" t="s">
        <v>59</v>
      </c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30"/>
      <c r="AP68" s="30"/>
      <c r="AQ68" s="65" t="s">
        <v>40</v>
      </c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30"/>
      <c r="BG68" s="30"/>
      <c r="BH68" s="65" t="s">
        <v>41</v>
      </c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12"/>
    </row>
    <row r="69" spans="1:72" x14ac:dyDescent="0.25">
      <c r="A69" s="8" t="s">
        <v>39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2"/>
    </row>
    <row r="70" spans="1:72" x14ac:dyDescent="0.25">
      <c r="A70" s="8" t="s">
        <v>44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6" t="str">
        <f>BJ23</f>
        <v>Тюкин Е.В.</v>
      </c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8"/>
      <c r="AP70" s="8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8"/>
      <c r="BG70" s="8"/>
      <c r="BH70" s="68">
        <f>BH64</f>
        <v>45337</v>
      </c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12"/>
    </row>
    <row r="71" spans="1:7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65" t="s">
        <v>59</v>
      </c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30"/>
      <c r="AP71" s="30"/>
      <c r="AQ71" s="65" t="s">
        <v>40</v>
      </c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30"/>
      <c r="BG71" s="30"/>
      <c r="BH71" s="65" t="s">
        <v>41</v>
      </c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12"/>
    </row>
    <row r="72" spans="1:72" x14ac:dyDescent="0.25">
      <c r="A72" s="13"/>
      <c r="B72" s="13"/>
      <c r="C72" s="13"/>
      <c r="D72" s="7"/>
      <c r="E72" s="7"/>
      <c r="F72" s="7"/>
      <c r="G72" s="7"/>
      <c r="H72" s="7"/>
      <c r="I72" s="7"/>
      <c r="J72" s="7"/>
      <c r="K72" s="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2"/>
    </row>
    <row r="73" spans="1:72" x14ac:dyDescent="0.25">
      <c r="A73" s="61" t="s">
        <v>107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13"/>
      <c r="AN73" s="13"/>
      <c r="AO73" s="8"/>
      <c r="AP73" s="8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8"/>
      <c r="BG73" s="8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12"/>
    </row>
    <row r="74" spans="1:72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10"/>
      <c r="AN74" s="10"/>
      <c r="AO74" s="8"/>
      <c r="AP74" s="8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8"/>
      <c r="BG74" s="8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12"/>
    </row>
    <row r="75" spans="1:72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2"/>
    </row>
  </sheetData>
  <mergeCells count="89">
    <mergeCell ref="A3:E3"/>
    <mergeCell ref="F3:H3"/>
    <mergeCell ref="I3:K3"/>
    <mergeCell ref="A6:E6"/>
    <mergeCell ref="F6:H6"/>
    <mergeCell ref="I6:K6"/>
    <mergeCell ref="S19:BI19"/>
    <mergeCell ref="BJ19:BT19"/>
    <mergeCell ref="AH6:BT7"/>
    <mergeCell ref="G7:H7"/>
    <mergeCell ref="I7:O7"/>
    <mergeCell ref="AF9:AW9"/>
    <mergeCell ref="A10:BT10"/>
    <mergeCell ref="A12:BT12"/>
    <mergeCell ref="A13:BT13"/>
    <mergeCell ref="A14:BT14"/>
    <mergeCell ref="A15:BT15"/>
    <mergeCell ref="A16:BT16"/>
    <mergeCell ref="AE17:AT17"/>
    <mergeCell ref="A28:BT28"/>
    <mergeCell ref="A29:BT29"/>
    <mergeCell ref="T20:BJ20"/>
    <mergeCell ref="S21:BI21"/>
    <mergeCell ref="BJ21:BT21"/>
    <mergeCell ref="T22:BJ22"/>
    <mergeCell ref="S23:BI23"/>
    <mergeCell ref="BJ23:BT23"/>
    <mergeCell ref="T24:BJ24"/>
    <mergeCell ref="O25:BP25"/>
    <mergeCell ref="BY25:CE26"/>
    <mergeCell ref="E26:BT26"/>
    <mergeCell ref="A27:BT27"/>
    <mergeCell ref="D43:BT43"/>
    <mergeCell ref="A31:BT31"/>
    <mergeCell ref="U32:BT32"/>
    <mergeCell ref="BY30:CD30"/>
    <mergeCell ref="P33:BT33"/>
    <mergeCell ref="U34:BT34"/>
    <mergeCell ref="A35:BT35"/>
    <mergeCell ref="A30:BT30"/>
    <mergeCell ref="AK36:BT36"/>
    <mergeCell ref="AK37:BT37"/>
    <mergeCell ref="A38:BT38"/>
    <mergeCell ref="BY34:CE42"/>
    <mergeCell ref="A39:BT39"/>
    <mergeCell ref="A40:BT40"/>
    <mergeCell ref="A41:BT41"/>
    <mergeCell ref="A42:BT42"/>
    <mergeCell ref="D44:BT44"/>
    <mergeCell ref="D47:BT47"/>
    <mergeCell ref="Y48:BT48"/>
    <mergeCell ref="Y49:BT49"/>
    <mergeCell ref="AJ50:AS50"/>
    <mergeCell ref="AT50:BT50"/>
    <mergeCell ref="D45:BT45"/>
    <mergeCell ref="D46:BT46"/>
    <mergeCell ref="X64:AN64"/>
    <mergeCell ref="AQ64:BE64"/>
    <mergeCell ref="BH64:BS64"/>
    <mergeCell ref="Q51:BT51"/>
    <mergeCell ref="AA52:BT52"/>
    <mergeCell ref="A53:BT53"/>
    <mergeCell ref="A54:BT54"/>
    <mergeCell ref="A55:BT55"/>
    <mergeCell ref="V56:BT56"/>
    <mergeCell ref="AD58:BT58"/>
    <mergeCell ref="J59:BT59"/>
    <mergeCell ref="Y60:BT60"/>
    <mergeCell ref="N61:BT61"/>
    <mergeCell ref="X65:AN65"/>
    <mergeCell ref="AQ65:BE65"/>
    <mergeCell ref="BH65:BS65"/>
    <mergeCell ref="X67:AN67"/>
    <mergeCell ref="AQ67:BE67"/>
    <mergeCell ref="BH67:BS67"/>
    <mergeCell ref="X68:AN68"/>
    <mergeCell ref="AQ68:BE68"/>
    <mergeCell ref="BH68:BS68"/>
    <mergeCell ref="X70:AN70"/>
    <mergeCell ref="AQ70:BE70"/>
    <mergeCell ref="BH70:BS70"/>
    <mergeCell ref="X71:AN71"/>
    <mergeCell ref="AQ71:BE71"/>
    <mergeCell ref="BH71:BS71"/>
    <mergeCell ref="A73:AL75"/>
    <mergeCell ref="AQ73:BE73"/>
    <mergeCell ref="BH73:BS73"/>
    <mergeCell ref="AQ74:BE74"/>
    <mergeCell ref="BH74:BS74"/>
  </mergeCells>
  <dataValidations count="4">
    <dataValidation type="list" showInputMessage="1" showErrorMessage="1" sqref="G7:H7" xr:uid="{00000000-0002-0000-0600-000000000000}">
      <formula1>"1,2"</formula1>
    </dataValidation>
    <dataValidation type="list" allowBlank="1" showInputMessage="1" showErrorMessage="1" sqref="F6:H6 F3:H3" xr:uid="{00000000-0002-0000-0600-000001000000}">
      <formula1>"I.I,I.II,II,III,IV,V,V.I,V.II"</formula1>
    </dataValidation>
    <dataValidation type="list" allowBlank="1" showInputMessage="1" showErrorMessage="1" sqref="N25" xr:uid="{00000000-0002-0000-0600-000002000000}">
      <formula1>"выборочный,сплошной"</formula1>
    </dataValidation>
    <dataValidation type="list" errorStyle="information" allowBlank="1" showInputMessage="1" sqref="O25:BP25" xr:uid="{00000000-0002-0000-06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7" max="71" man="1"/>
    <brk id="75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600-000004000000}">
          <x14:formula1>
            <xm:f>'Лист общих данных'!$B$6:$B$12</xm:f>
          </x14:formula1>
          <xm:sqref>S34:U34</xm:sqref>
        </x14:dataValidation>
        <x14:dataValidation type="list" errorStyle="information" allowBlank="1" showInputMessage="1" xr:uid="{00000000-0002-0000-0600-000005000000}">
          <x14:formula1>
            <xm:f>'Лист общих данных'!$C$6:$C$12</xm:f>
          </x14:formula1>
          <xm:sqref>T32:U32</xm:sqref>
        </x14:dataValidation>
        <x14:dataValidation type="list" allowBlank="1" showInputMessage="1" showErrorMessage="1" xr:uid="{00000000-0002-0000-0600-000006000000}">
          <x14:formula1>
            <xm:f>подписанты!$B$3:$B$4</xm:f>
          </x14:formula1>
          <xm:sqref>BJ19:BT19</xm:sqref>
        </x14:dataValidation>
        <x14:dataValidation type="list" allowBlank="1" showInputMessage="1" showErrorMessage="1" xr:uid="{00000000-0002-0000-0600-000007000000}">
          <x14:formula1>
            <xm:f>подписанты!$B$5:$B$7</xm:f>
          </x14:formula1>
          <xm:sqref>BJ21:BT21</xm:sqref>
        </x14:dataValidation>
        <x14:dataValidation type="list" allowBlank="1" showInputMessage="1" showErrorMessage="1" xr:uid="{00000000-0002-0000-0600-000008000000}">
          <x14:formula1>
            <xm:f>подписанты!$B$8:$B$9</xm:f>
          </x14:formula1>
          <xm:sqref>BJ23:BT23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CE83"/>
  <sheetViews>
    <sheetView view="pageBreakPreview" topLeftCell="E43" zoomScaleNormal="100" zoomScaleSheetLayoutView="100" workbookViewId="0">
      <selection activeCell="S21" sqref="S21:BI21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3.2187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5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127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80" t="s">
        <v>179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</row>
    <row r="13" spans="1:75" ht="16.2" customHeight="1" x14ac:dyDescent="0.25">
      <c r="A13" s="115" t="s">
        <v>180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</row>
    <row r="14" spans="1:75" ht="12" customHeight="1" x14ac:dyDescent="0.25">
      <c r="A14" s="97" t="s">
        <v>46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98">
        <v>45337</v>
      </c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45337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ht="13.8" customHeight="1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01" t="str">
        <f>VLOOKUP(BJ17,подписанты!$B$3:$C$11,2,FALSE)</f>
        <v>Ведущий инженер МТО АО «Газстройпроект»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0" t="s">
        <v>77</v>
      </c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1" t="s">
        <v>13</v>
      </c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65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ht="13.8" customHeight="1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1" t="str">
        <f>VLOOKUP(BJ19,подписанты!$B$3:$C$11,2,FALSE)</f>
        <v>Инженер отдела технического надзора АО «Газстройпроект»</v>
      </c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0" t="s">
        <v>68</v>
      </c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01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2" t="s">
        <v>91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91" t="s">
        <v>13</v>
      </c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65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6" t="s">
        <v>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8" t="s">
        <v>17</v>
      </c>
      <c r="BR23" s="13"/>
      <c r="BS23" s="13"/>
      <c r="BT23" s="13"/>
      <c r="BY23" s="87" t="s">
        <v>80</v>
      </c>
      <c r="BZ23" s="87"/>
      <c r="CA23" s="87"/>
      <c r="CB23" s="87"/>
      <c r="CC23" s="87"/>
      <c r="CD23" s="87"/>
      <c r="CE23" s="87"/>
    </row>
    <row r="24" spans="1:83" ht="13.8" customHeight="1" x14ac:dyDescent="0.25">
      <c r="A24" s="8"/>
      <c r="B24" s="8"/>
      <c r="C24" s="8"/>
      <c r="D24" s="8"/>
      <c r="E24" s="96" t="s">
        <v>47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Y24" s="87"/>
      <c r="BZ24" s="87"/>
      <c r="CA24" s="87"/>
      <c r="CB24" s="87"/>
      <c r="CC24" s="87"/>
      <c r="CD24" s="87"/>
      <c r="CE24" s="87"/>
    </row>
    <row r="25" spans="1:83" ht="16.2" customHeight="1" x14ac:dyDescent="0.25">
      <c r="A25" s="80" t="s">
        <v>182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Y25" s="58"/>
      <c r="BZ25" s="58"/>
      <c r="CA25" s="58"/>
      <c r="CB25" s="58"/>
      <c r="CC25" s="58"/>
      <c r="CD25" s="58"/>
      <c r="CE25" s="58"/>
    </row>
    <row r="26" spans="1:83" ht="16.2" customHeight="1" x14ac:dyDescent="0.25">
      <c r="A26" s="80" t="s">
        <v>183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Y26" s="58"/>
      <c r="BZ26" s="58"/>
      <c r="CA26" s="58"/>
      <c r="CB26" s="58"/>
      <c r="CC26" s="58"/>
      <c r="CD26" s="58"/>
      <c r="CE26" s="58"/>
    </row>
    <row r="27" spans="1:83" ht="16.2" customHeight="1" x14ac:dyDescent="0.25">
      <c r="A27" s="115" t="s">
        <v>181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Y27" s="58"/>
      <c r="BZ27" s="58"/>
      <c r="CA27" s="58"/>
      <c r="CB27" s="58"/>
      <c r="CC27" s="58"/>
      <c r="CD27" s="58"/>
      <c r="CE27" s="58"/>
    </row>
    <row r="28" spans="1:83" x14ac:dyDescent="0.2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</row>
    <row r="29" spans="1:83" x14ac:dyDescent="0.25">
      <c r="A29" s="10" t="s">
        <v>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6"/>
      <c r="S29" s="8"/>
      <c r="T29" s="55"/>
      <c r="U29" s="86" t="s">
        <v>123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</row>
    <row r="30" spans="1:83" ht="13.8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83" t="s">
        <v>19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Y30" s="44" t="s">
        <v>82</v>
      </c>
    </row>
    <row r="31" spans="1:83" x14ac:dyDescent="0.25">
      <c r="A31" s="10" t="s">
        <v>20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1"/>
      <c r="T31" s="21"/>
      <c r="U31" s="84" t="s">
        <v>51</v>
      </c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Y31" s="87" t="s">
        <v>83</v>
      </c>
      <c r="BZ31" s="87"/>
      <c r="CA31" s="87"/>
      <c r="CB31" s="87"/>
      <c r="CC31" s="87"/>
      <c r="CD31" s="87"/>
      <c r="CE31" s="87"/>
    </row>
    <row r="32" spans="1:83" x14ac:dyDescent="0.25">
      <c r="A32" s="91" t="s">
        <v>21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Y32" s="87"/>
      <c r="BZ32" s="87"/>
      <c r="CA32" s="87"/>
      <c r="CB32" s="87"/>
      <c r="CC32" s="87"/>
      <c r="CD32" s="87"/>
      <c r="CE32" s="87"/>
    </row>
    <row r="33" spans="1:83" x14ac:dyDescent="0.25">
      <c r="A33" s="8"/>
      <c r="B33" s="8"/>
      <c r="C33" s="8"/>
      <c r="D33" s="8" t="s">
        <v>22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G33" s="7"/>
      <c r="AH33" s="7"/>
      <c r="AI33" s="7"/>
      <c r="AJ33" s="7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Y33" s="87"/>
      <c r="BZ33" s="87"/>
      <c r="CA33" s="87"/>
      <c r="CB33" s="87"/>
      <c r="CC33" s="87"/>
      <c r="CD33" s="87"/>
      <c r="CE33" s="87"/>
    </row>
    <row r="34" spans="1:83" ht="13.8" customHeight="1" x14ac:dyDescent="0.25">
      <c r="A34" s="8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1"/>
      <c r="AJ34" s="8"/>
      <c r="AK34" s="93" t="s">
        <v>184</v>
      </c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Y34" s="87"/>
      <c r="BZ34" s="87"/>
      <c r="CA34" s="87"/>
      <c r="CB34" s="87"/>
      <c r="CC34" s="87"/>
      <c r="CD34" s="87"/>
      <c r="CE34" s="87"/>
    </row>
    <row r="35" spans="1:83" x14ac:dyDescent="0.25">
      <c r="A35" s="82" t="s">
        <v>185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Y35" s="87"/>
      <c r="BZ35" s="87"/>
      <c r="CA35" s="87"/>
      <c r="CB35" s="87"/>
      <c r="CC35" s="87"/>
      <c r="CD35" s="87"/>
      <c r="CE35" s="87"/>
    </row>
    <row r="36" spans="1:83" x14ac:dyDescent="0.25">
      <c r="A36" s="94" t="s">
        <v>186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Y36" s="87"/>
      <c r="BZ36" s="87"/>
      <c r="CA36" s="87"/>
      <c r="CB36" s="87"/>
      <c r="CC36" s="87"/>
      <c r="CD36" s="87"/>
      <c r="CE36" s="87"/>
    </row>
    <row r="37" spans="1:83" x14ac:dyDescent="0.25">
      <c r="A37" s="94" t="s">
        <v>187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Y37" s="87"/>
      <c r="BZ37" s="87"/>
      <c r="CA37" s="87"/>
      <c r="CB37" s="87"/>
      <c r="CC37" s="87"/>
      <c r="CD37" s="87"/>
      <c r="CE37" s="87"/>
    </row>
    <row r="38" spans="1:83" x14ac:dyDescent="0.25">
      <c r="A38" s="94" t="s">
        <v>188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Y38" s="87"/>
      <c r="BZ38" s="87"/>
      <c r="CA38" s="87"/>
      <c r="CB38" s="87"/>
      <c r="CC38" s="87"/>
      <c r="CD38" s="87"/>
      <c r="CE38" s="87"/>
    </row>
    <row r="39" spans="1:83" x14ac:dyDescent="0.25">
      <c r="A39" s="94" t="s">
        <v>189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Y39" s="87"/>
      <c r="BZ39" s="87"/>
      <c r="CA39" s="87"/>
      <c r="CB39" s="87"/>
      <c r="CC39" s="87"/>
      <c r="CD39" s="87"/>
      <c r="CE39" s="87"/>
    </row>
    <row r="40" spans="1:83" x14ac:dyDescent="0.25">
      <c r="A40" s="94" t="s">
        <v>190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Y40" s="87"/>
      <c r="BZ40" s="87"/>
      <c r="CA40" s="87"/>
      <c r="CB40" s="87"/>
      <c r="CC40" s="87"/>
      <c r="CD40" s="87"/>
      <c r="CE40" s="87"/>
    </row>
    <row r="41" spans="1:83" x14ac:dyDescent="0.25">
      <c r="A41" s="94" t="s">
        <v>193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Y41" s="87"/>
      <c r="BZ41" s="87"/>
      <c r="CA41" s="87"/>
      <c r="CB41" s="87"/>
      <c r="CC41" s="87"/>
      <c r="CD41" s="87"/>
      <c r="CE41" s="87"/>
    </row>
    <row r="42" spans="1:83" x14ac:dyDescent="0.25">
      <c r="A42" s="94" t="s">
        <v>191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Y42" s="87"/>
      <c r="BZ42" s="87"/>
      <c r="CA42" s="87"/>
      <c r="CB42" s="87"/>
      <c r="CC42" s="87"/>
      <c r="CD42" s="87"/>
      <c r="CE42" s="87"/>
    </row>
    <row r="43" spans="1:83" x14ac:dyDescent="0.25">
      <c r="A43" s="94" t="s">
        <v>192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Y43" s="87"/>
      <c r="BZ43" s="87"/>
      <c r="CA43" s="87"/>
      <c r="CB43" s="87"/>
      <c r="CC43" s="87"/>
      <c r="CD43" s="87"/>
      <c r="CE43" s="87"/>
    </row>
    <row r="44" spans="1:83" ht="13.8" customHeight="1" x14ac:dyDescent="0.25">
      <c r="A44" s="65" t="s">
        <v>24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57"/>
      <c r="BY44" s="87"/>
      <c r="BZ44" s="87"/>
      <c r="CA44" s="87"/>
      <c r="CB44" s="87"/>
      <c r="CC44" s="87"/>
      <c r="CD44" s="87"/>
      <c r="CE44" s="87"/>
    </row>
    <row r="45" spans="1:83" x14ac:dyDescent="0.25">
      <c r="A45" s="88" t="s">
        <v>57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Y45" s="87"/>
      <c r="BZ45" s="87"/>
      <c r="CA45" s="87"/>
      <c r="CB45" s="87"/>
      <c r="CC45" s="87"/>
      <c r="CD45" s="87"/>
      <c r="CE45" s="87"/>
    </row>
    <row r="46" spans="1:83" x14ac:dyDescent="0.25">
      <c r="A46" s="18" t="s">
        <v>58</v>
      </c>
      <c r="B46" s="19"/>
      <c r="C46" s="19"/>
      <c r="D46" s="111" t="str">
        <f>A25</f>
        <v xml:space="preserve">Трубная изоляция K-Flex: 9хФ6 -  м; 9хФ10 -  м; 9хФ12 -  м; 13хФ15х2 -  м; 13хФ18х2 -  м; </v>
      </c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</row>
    <row r="47" spans="1:83" ht="13.8" customHeight="1" x14ac:dyDescent="0.25">
      <c r="A47" s="18"/>
      <c r="B47" s="19"/>
      <c r="C47" s="19"/>
      <c r="D47" s="111" t="str">
        <f>A26</f>
        <v>13хФ22х2 -  м; 13хФ28х2 -  м;</v>
      </c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</row>
    <row r="48" spans="1:83" x14ac:dyDescent="0.25">
      <c r="A48" s="18"/>
      <c r="B48" s="19"/>
      <c r="C48" s="19"/>
      <c r="D48" s="111" t="str">
        <f>A27</f>
        <v>Трубная изоляция Unionflex: 6хФ20х2 -  м; 6хФ25х2 -  м; 6хФ32х2 -  м</v>
      </c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</row>
    <row r="49" spans="1:77" x14ac:dyDescent="0.25">
      <c r="A49" s="8"/>
      <c r="B49" s="8"/>
      <c r="C49" s="8"/>
      <c r="D49" s="112" t="s">
        <v>25</v>
      </c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</row>
    <row r="50" spans="1:77" x14ac:dyDescent="0.25">
      <c r="A50" s="8" t="s">
        <v>26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33"/>
      <c r="Y50" s="109" t="s">
        <v>114</v>
      </c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Y50" t="s">
        <v>84</v>
      </c>
    </row>
    <row r="51" spans="1:7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20"/>
      <c r="Y51" s="65" t="s">
        <v>27</v>
      </c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Y51" t="s">
        <v>85</v>
      </c>
    </row>
    <row r="52" spans="1:77" x14ac:dyDescent="0.25">
      <c r="A52" s="8" t="s">
        <v>28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7"/>
      <c r="AG52" s="7"/>
      <c r="AH52" s="7"/>
      <c r="AI52" s="7"/>
      <c r="AJ52" s="71" t="s">
        <v>29</v>
      </c>
      <c r="AK52" s="71"/>
      <c r="AL52" s="71"/>
      <c r="AM52" s="71"/>
      <c r="AN52" s="71"/>
      <c r="AO52" s="71"/>
      <c r="AP52" s="71"/>
      <c r="AQ52" s="71"/>
      <c r="AR52" s="71"/>
      <c r="AS52" s="71"/>
      <c r="AT52" s="72" t="s">
        <v>72</v>
      </c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</row>
    <row r="53" spans="1:77" ht="13.8" customHeight="1" x14ac:dyDescent="0.25">
      <c r="A53" s="10" t="s">
        <v>30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55"/>
      <c r="O53" s="55"/>
      <c r="P53" s="55"/>
      <c r="Q53" s="73" t="str">
        <f>U29</f>
        <v xml:space="preserve">ПП2020РД-1.2-61.17-ОВ3.СО изм.  лист </v>
      </c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</row>
    <row r="54" spans="1:77" ht="13.8" customHeight="1" x14ac:dyDescent="0.25">
      <c r="A54" s="8"/>
      <c r="B54" s="8"/>
      <c r="C54" s="8"/>
      <c r="D54" s="10" t="s">
        <v>31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1"/>
      <c r="X54" s="8"/>
      <c r="Y54" s="32"/>
      <c r="Z54" s="32"/>
      <c r="AA54" s="74" t="str">
        <f>AK34</f>
        <v>Паспорт № 5178500 - R0906515708 от 03.07.2023;</v>
      </c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</row>
    <row r="55" spans="1:77" ht="13.8" customHeight="1" x14ac:dyDescent="0.25">
      <c r="A55" s="69" t="str">
        <f t="shared" ref="A55:A63" si="0">A35</f>
        <v>Паспорт № 5178500 - R09010596708 от 10.07.2023; Паспорт № 5178500 - R09012719043 от 12.07.2023;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</row>
    <row r="56" spans="1:77" x14ac:dyDescent="0.25">
      <c r="A56" s="69" t="str">
        <f t="shared" si="0"/>
        <v>Паспорт № 5178500 - R13015215607 от 24.07.2023; Паспорт № 5178500 - R13018214308 от 26.07.2023;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</row>
    <row r="57" spans="1:77" x14ac:dyDescent="0.25">
      <c r="A57" s="69" t="str">
        <f t="shared" si="0"/>
        <v xml:space="preserve">Паспорт № 5178500 - R13022435608 от 12.07.2023; Паспорт № 5178500 - R13028435708 от 12.07.2023; 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</row>
    <row r="58" spans="1:77" x14ac:dyDescent="0.25">
      <c r="A58" s="69" t="str">
        <f t="shared" si="0"/>
        <v>Экспертное заключение № 77.01.12.П.002501.07.17 от 07.07.2017;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</row>
    <row r="59" spans="1:77" x14ac:dyDescent="0.25">
      <c r="A59" s="69" t="str">
        <f t="shared" si="0"/>
        <v>Сертификат соответствия № RU C-RU.ПБ09.В.00294/21 с 17.12.2021 по 16.12.2026;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</row>
    <row r="60" spans="1:77" x14ac:dyDescent="0.25">
      <c r="A60" s="69" t="str">
        <f t="shared" si="0"/>
        <v>Информационное письмо № 201 от 30.09.2014;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</row>
    <row r="61" spans="1:77" x14ac:dyDescent="0.25">
      <c r="A61" s="69" t="str">
        <f t="shared" si="0"/>
        <v>Паспорт качества № 547 04.12.2023; Паспорт качества № 553 07.12.2023; Паспорт качества № 568 11.12.2023;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</row>
    <row r="62" spans="1:77" x14ac:dyDescent="0.25">
      <c r="A62" s="69" t="str">
        <f t="shared" si="0"/>
        <v>Сертификат соответствия № АПБ.RU.ОС002/4.Н.01563 с 29.09.2021 по 28.09.2024;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</row>
    <row r="63" spans="1:77" x14ac:dyDescent="0.25">
      <c r="A63" s="69" t="str">
        <f t="shared" si="0"/>
        <v>Сертификат соответствия № RU C-RU.ПБ09.В.00463/23 с 03.11.2023 по 02.11.2028.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</row>
    <row r="64" spans="1:77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76" t="s">
        <v>32</v>
      </c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</row>
    <row r="65" spans="1:77" ht="13.8" customHeight="1" x14ac:dyDescent="0.25">
      <c r="A65" s="8" t="s">
        <v>33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23"/>
    </row>
    <row r="66" spans="1:77" x14ac:dyDescent="0.25">
      <c r="A66" s="34"/>
      <c r="B66" s="8"/>
      <c r="C66" s="8"/>
      <c r="D66" s="8" t="s">
        <v>34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7"/>
      <c r="X66" s="7"/>
      <c r="Y66" s="7"/>
      <c r="Z66" s="7"/>
      <c r="AA66" s="34"/>
      <c r="AB66" s="7"/>
      <c r="AC66" s="34"/>
      <c r="AD66" s="77" t="s">
        <v>35</v>
      </c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</row>
    <row r="67" spans="1:77" x14ac:dyDescent="0.25">
      <c r="A67" s="8"/>
      <c r="B67" s="8"/>
      <c r="C67" s="8"/>
      <c r="D67" s="8"/>
      <c r="E67" s="8"/>
      <c r="F67" s="8"/>
      <c r="G67" s="8"/>
      <c r="H67" s="8"/>
      <c r="I67" s="8"/>
      <c r="J67" s="78" t="s">
        <v>36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Y67" t="s">
        <v>86</v>
      </c>
    </row>
    <row r="68" spans="1:77" x14ac:dyDescent="0.25">
      <c r="A68" s="10" t="s">
        <v>37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28"/>
      <c r="W68" s="35"/>
      <c r="X68" s="29"/>
      <c r="Y68" s="75" t="str">
        <f>U29</f>
        <v xml:space="preserve">ПП2020РД-1.2-61.17-ОВ3.СО изм.  лист </v>
      </c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</row>
    <row r="69" spans="1:77" ht="16.2" customHeight="1" x14ac:dyDescent="0.25">
      <c r="A69" s="8" t="s">
        <v>38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34"/>
      <c r="M69" s="24"/>
      <c r="N69" s="70" t="s">
        <v>194</v>
      </c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Y69" t="s">
        <v>87</v>
      </c>
    </row>
    <row r="70" spans="1:7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Y70" t="s">
        <v>88</v>
      </c>
    </row>
    <row r="71" spans="1:77" x14ac:dyDescent="0.25">
      <c r="A71" s="8" t="s">
        <v>39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2"/>
    </row>
    <row r="72" spans="1:77" x14ac:dyDescent="0.25">
      <c r="A72" s="8" t="s">
        <v>12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9" t="str">
        <f>BJ17</f>
        <v>Журавлев Ю.С.</v>
      </c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8"/>
      <c r="AP72" s="8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8"/>
      <c r="BG72" s="8"/>
      <c r="BH72" s="68">
        <f>AE15</f>
        <v>45337</v>
      </c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12"/>
    </row>
    <row r="73" spans="1:77" ht="13.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65" t="s">
        <v>59</v>
      </c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30"/>
      <c r="AP73" s="30"/>
      <c r="AQ73" s="65" t="s">
        <v>40</v>
      </c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30"/>
      <c r="BG73" s="30"/>
      <c r="BH73" s="65" t="s">
        <v>41</v>
      </c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26"/>
    </row>
    <row r="74" spans="1:77" x14ac:dyDescent="0.25">
      <c r="A74" s="8" t="s">
        <v>42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2"/>
    </row>
    <row r="75" spans="1:77" ht="16.8" customHeight="1" x14ac:dyDescent="0.25">
      <c r="A75" s="8" t="s">
        <v>43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9" t="str">
        <f>BJ19</f>
        <v>Халыгов Э. А.</v>
      </c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8"/>
      <c r="AP75" s="8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8"/>
      <c r="BG75" s="8"/>
      <c r="BH75" s="68">
        <f>BH72</f>
        <v>45337</v>
      </c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12"/>
    </row>
    <row r="76" spans="1:77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65" t="s">
        <v>59</v>
      </c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30"/>
      <c r="AP76" s="30"/>
      <c r="AQ76" s="65" t="s">
        <v>40</v>
      </c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30"/>
      <c r="BG76" s="30"/>
      <c r="BH76" s="65" t="s">
        <v>41</v>
      </c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12"/>
    </row>
    <row r="77" spans="1:77" x14ac:dyDescent="0.25">
      <c r="A77" s="8" t="s">
        <v>39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2"/>
    </row>
    <row r="78" spans="1:77" x14ac:dyDescent="0.25">
      <c r="A78" s="8" t="s">
        <v>44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66" t="str">
        <f>BJ21</f>
        <v>Тюкин Е.В.</v>
      </c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8"/>
      <c r="AP78" s="8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8"/>
      <c r="BG78" s="8"/>
      <c r="BH78" s="68">
        <f>BH72</f>
        <v>45337</v>
      </c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12"/>
    </row>
    <row r="79" spans="1:77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65" t="s">
        <v>59</v>
      </c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30"/>
      <c r="AP79" s="30"/>
      <c r="AQ79" s="65" t="s">
        <v>40</v>
      </c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30"/>
      <c r="BG79" s="30"/>
      <c r="BH79" s="65" t="s">
        <v>41</v>
      </c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12"/>
    </row>
    <row r="80" spans="1:77" x14ac:dyDescent="0.25">
      <c r="A80" s="13"/>
      <c r="B80" s="13"/>
      <c r="C80" s="13"/>
      <c r="D80" s="7"/>
      <c r="E80" s="7"/>
      <c r="F80" s="7"/>
      <c r="G80" s="7"/>
      <c r="H80" s="7"/>
      <c r="I80" s="7"/>
      <c r="J80" s="7"/>
      <c r="K80" s="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12"/>
    </row>
    <row r="81" spans="1:72" x14ac:dyDescent="0.25">
      <c r="A81" s="61" t="s">
        <v>107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13"/>
      <c r="AN81" s="13"/>
      <c r="AO81" s="8"/>
      <c r="AP81" s="8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8"/>
      <c r="BG81" s="8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12"/>
    </row>
    <row r="82" spans="1:72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10"/>
      <c r="AN82" s="10"/>
      <c r="AO82" s="8"/>
      <c r="AP82" s="8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8"/>
      <c r="BG82" s="8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12"/>
    </row>
    <row r="83" spans="1:72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12"/>
    </row>
  </sheetData>
  <mergeCells count="96"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3:BT13"/>
    <mergeCell ref="A14:BT14"/>
    <mergeCell ref="AE15:AT15"/>
    <mergeCell ref="S17:BI17"/>
    <mergeCell ref="BJ17:BT17"/>
    <mergeCell ref="BY23:CE24"/>
    <mergeCell ref="E24:BT24"/>
    <mergeCell ref="A25:BT25"/>
    <mergeCell ref="A27:BT27"/>
    <mergeCell ref="T18:BJ18"/>
    <mergeCell ref="S19:BI19"/>
    <mergeCell ref="BJ19:BT19"/>
    <mergeCell ref="T20:BJ20"/>
    <mergeCell ref="S21:BI21"/>
    <mergeCell ref="BJ21:BT21"/>
    <mergeCell ref="A28:BT28"/>
    <mergeCell ref="U29:BT29"/>
    <mergeCell ref="P30:BT30"/>
    <mergeCell ref="T22:BJ22"/>
    <mergeCell ref="O23:BP23"/>
    <mergeCell ref="A26:BT26"/>
    <mergeCell ref="U31:BT31"/>
    <mergeCell ref="BY31:CE45"/>
    <mergeCell ref="A32:BT32"/>
    <mergeCell ref="AK33:BT33"/>
    <mergeCell ref="AK34:BT34"/>
    <mergeCell ref="A35:BT35"/>
    <mergeCell ref="A36:BT36"/>
    <mergeCell ref="A37:BT37"/>
    <mergeCell ref="A44:BT44"/>
    <mergeCell ref="A45:BT45"/>
    <mergeCell ref="A38:BT38"/>
    <mergeCell ref="A39:BT39"/>
    <mergeCell ref="A40:BT40"/>
    <mergeCell ref="A41:BT41"/>
    <mergeCell ref="A42:BT42"/>
    <mergeCell ref="A43:BT43"/>
    <mergeCell ref="V64:BT64"/>
    <mergeCell ref="AD66:BT66"/>
    <mergeCell ref="J67:BT67"/>
    <mergeCell ref="Y68:BT68"/>
    <mergeCell ref="A60:BT60"/>
    <mergeCell ref="A61:BT61"/>
    <mergeCell ref="A62:BT62"/>
    <mergeCell ref="A63:BT63"/>
    <mergeCell ref="X79:AN79"/>
    <mergeCell ref="AQ79:BE79"/>
    <mergeCell ref="BH79:BS79"/>
    <mergeCell ref="X75:AN75"/>
    <mergeCell ref="AQ75:BE75"/>
    <mergeCell ref="BH75:BS75"/>
    <mergeCell ref="X76:AN76"/>
    <mergeCell ref="AQ76:BE76"/>
    <mergeCell ref="BH76:BS76"/>
    <mergeCell ref="X78:AN78"/>
    <mergeCell ref="AQ78:BE78"/>
    <mergeCell ref="BH78:BS78"/>
    <mergeCell ref="A56:BT56"/>
    <mergeCell ref="A57:BT57"/>
    <mergeCell ref="A81:AL83"/>
    <mergeCell ref="AQ81:BE81"/>
    <mergeCell ref="BH81:BS81"/>
    <mergeCell ref="AQ82:BE82"/>
    <mergeCell ref="BH82:BS82"/>
    <mergeCell ref="A58:BT58"/>
    <mergeCell ref="A59:BT59"/>
    <mergeCell ref="N69:BT69"/>
    <mergeCell ref="X72:AN72"/>
    <mergeCell ref="AQ72:BE72"/>
    <mergeCell ref="BH72:BS72"/>
    <mergeCell ref="X73:AN73"/>
    <mergeCell ref="AQ73:BE73"/>
    <mergeCell ref="BH73:BS73"/>
    <mergeCell ref="A55:BT55"/>
    <mergeCell ref="D46:BT46"/>
    <mergeCell ref="D47:BT47"/>
    <mergeCell ref="D48:BT48"/>
    <mergeCell ref="D49:BT49"/>
    <mergeCell ref="Y50:BT50"/>
    <mergeCell ref="Y51:BT51"/>
    <mergeCell ref="AJ52:AS52"/>
    <mergeCell ref="AT52:BT52"/>
    <mergeCell ref="Q53:BT53"/>
    <mergeCell ref="AA54:BT54"/>
  </mergeCells>
  <dataValidations count="4">
    <dataValidation type="list" errorStyle="information" allowBlank="1" showInputMessage="1" sqref="O23:BP23" xr:uid="{00000000-0002-0000-0700-000000000000}">
      <formula1>"выборочный,сплошной"</formula1>
    </dataValidation>
    <dataValidation type="list" allowBlank="1" showInputMessage="1" showErrorMessage="1" sqref="N23" xr:uid="{00000000-0002-0000-0700-000001000000}">
      <formula1>"выборочный,сплошной"</formula1>
    </dataValidation>
    <dataValidation type="list" allowBlank="1" showInputMessage="1" showErrorMessage="1" sqref="F6:H6 F3:H3" xr:uid="{00000000-0002-0000-0700-000002000000}">
      <formula1>"I.I,I.II,II,III,IV,V,V.I,V.II"</formula1>
    </dataValidation>
    <dataValidation type="list" showInputMessage="1" showErrorMessage="1" sqref="G7:H7" xr:uid="{00000000-0002-0000-07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5" fitToHeight="0" orientation="portrait" blackAndWhite="1" r:id="rId1"/>
  <rowBreaks count="2" manualBreakCount="2">
    <brk id="61" max="71" man="1"/>
    <brk id="8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7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7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700-000007000000}">
          <x14:formula1>
            <xm:f>'Лист общих данных'!$C$6:$C$12</xm:f>
          </x14:formula1>
          <xm:sqref>T29:U29</xm:sqref>
        </x14:dataValidation>
        <x14:dataValidation type="list" errorStyle="warning" allowBlank="1" showInputMessage="1" showErrorMessage="1" xr:uid="{00000000-0002-0000-0700-000008000000}">
          <x14:formula1>
            <xm:f>'Лист общих данных'!$B$6:$B$12</xm:f>
          </x14:formula1>
          <xm:sqref>S31:U31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E69"/>
  <sheetViews>
    <sheetView view="pageBreakPreview" zoomScale="85" zoomScaleNormal="100" zoomScaleSheetLayoutView="85" workbookViewId="0">
      <selection activeCell="A35" sqref="A35:BT35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2" t="s">
        <v>4</v>
      </c>
      <c r="B3" s="62"/>
      <c r="C3" s="62"/>
      <c r="D3" s="62"/>
      <c r="E3" s="62"/>
      <c r="F3" s="108" t="s">
        <v>5</v>
      </c>
      <c r="G3" s="108"/>
      <c r="H3" s="108"/>
      <c r="I3" s="105" t="s">
        <v>6</v>
      </c>
      <c r="J3" s="105"/>
      <c r="K3" s="10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ht="13.8" customHeight="1" x14ac:dyDescent="0.25">
      <c r="A6" s="62"/>
      <c r="B6" s="62"/>
      <c r="C6" s="62"/>
      <c r="D6" s="62"/>
      <c r="E6" s="62"/>
      <c r="F6" s="108"/>
      <c r="G6" s="108"/>
      <c r="H6" s="108"/>
      <c r="I6" s="105"/>
      <c r="J6" s="105"/>
      <c r="K6" s="10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5" x14ac:dyDescent="0.25">
      <c r="A7" s="8"/>
      <c r="B7" s="8"/>
      <c r="C7" s="8"/>
      <c r="D7" s="8"/>
      <c r="E7" s="8"/>
      <c r="F7" s="8"/>
      <c r="G7" s="104"/>
      <c r="H7" s="104"/>
      <c r="I7" s="105"/>
      <c r="J7" s="105"/>
      <c r="K7" s="105"/>
      <c r="L7" s="105"/>
      <c r="M7" s="105"/>
      <c r="N7" s="105"/>
      <c r="O7" s="10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169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110" t="s">
        <v>170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</row>
    <row r="13" spans="1:75" ht="12" customHeight="1" x14ac:dyDescent="0.25">
      <c r="A13" s="97" t="s">
        <v>46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</row>
    <row r="14" spans="1:7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</v>
      </c>
      <c r="AB14" s="8"/>
      <c r="AC14" s="8"/>
      <c r="AD14" s="8"/>
      <c r="AE14" s="98">
        <v>45337</v>
      </c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16"/>
      <c r="AV14" s="16"/>
      <c r="AW14" s="16"/>
      <c r="AX14" s="16"/>
      <c r="AY14" s="16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  <c r="BW14" s="54">
        <f>AE14</f>
        <v>45337</v>
      </c>
    </row>
    <row r="15" spans="1:75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 t="s">
        <v>11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</row>
    <row r="16" spans="1:75" ht="13.8" customHeight="1" x14ac:dyDescent="0.25">
      <c r="A16" s="8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01" t="str">
        <f>VLOOKUP(BJ16,подписанты!$B$3:$C$11,2,FALSE)</f>
        <v>Ведущий инженер МТО АО «Газстройпроект»</v>
      </c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0" t="s">
        <v>77</v>
      </c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1" t="s">
        <v>13</v>
      </c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65"/>
      <c r="BK17" s="27"/>
      <c r="BL17" s="27"/>
      <c r="BM17" s="27"/>
      <c r="BN17" s="27"/>
      <c r="BO17" s="27"/>
      <c r="BP17" s="17"/>
      <c r="BQ17" s="17"/>
      <c r="BR17" s="17"/>
      <c r="BS17" s="17"/>
      <c r="BT17" s="17"/>
    </row>
    <row r="18" spans="1:83" ht="13.8" customHeight="1" x14ac:dyDescent="0.25">
      <c r="A18" s="8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01" t="str">
        <f>VLOOKUP(BJ18,подписанты!$B$3:$C$11,2,FALSE)</f>
        <v>Инженер отдела технического надзора АО «Газстройпроект»</v>
      </c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0" t="s">
        <v>68</v>
      </c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5" t="s">
        <v>13</v>
      </c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17"/>
      <c r="BL19" s="17"/>
      <c r="BM19" s="17"/>
      <c r="BN19" s="17"/>
      <c r="BO19" s="17"/>
      <c r="BP19" s="17"/>
      <c r="BQ19" s="17"/>
      <c r="BR19" s="17"/>
      <c r="BS19" s="17"/>
      <c r="BT19" s="17"/>
    </row>
    <row r="20" spans="1:83" ht="40.049999999999997" customHeight="1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01" t="str">
        <f>VLOOKUP(BJ20,подписанты!$B$3:$C$11,2,FALSE)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2" t="s">
        <v>91</v>
      </c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</row>
    <row r="21" spans="1:83" x14ac:dyDescent="0.25">
      <c r="A21" s="8"/>
      <c r="B21" s="8"/>
      <c r="C21" s="8"/>
      <c r="D21" s="8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91" t="s">
        <v>13</v>
      </c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65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83" x14ac:dyDescent="0.25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8"/>
      <c r="O22" s="66" t="s">
        <v>89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8" t="s">
        <v>17</v>
      </c>
      <c r="BR22" s="13"/>
      <c r="BS22" s="13"/>
      <c r="BT22" s="13"/>
      <c r="BY22" s="87" t="s">
        <v>80</v>
      </c>
      <c r="BZ22" s="87"/>
      <c r="CA22" s="87"/>
      <c r="CB22" s="87"/>
      <c r="CC22" s="87"/>
      <c r="CD22" s="87"/>
      <c r="CE22" s="87"/>
    </row>
    <row r="23" spans="1:83" ht="13.8" customHeight="1" x14ac:dyDescent="0.25">
      <c r="A23" s="8"/>
      <c r="B23" s="8"/>
      <c r="C23" s="8"/>
      <c r="D23" s="8"/>
      <c r="E23" s="96" t="s">
        <v>47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Y23" s="87"/>
      <c r="BZ23" s="87"/>
      <c r="CA23" s="87"/>
      <c r="CB23" s="87"/>
      <c r="CC23" s="87"/>
      <c r="CD23" s="87"/>
      <c r="CE23" s="87"/>
    </row>
    <row r="24" spans="1:83" ht="16.2" customHeight="1" x14ac:dyDescent="0.25">
      <c r="A24" s="80" t="s">
        <v>171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Y24" s="58"/>
      <c r="BZ24" s="58"/>
      <c r="CA24" s="58"/>
      <c r="CB24" s="58"/>
      <c r="CC24" s="58"/>
      <c r="CD24" s="58"/>
      <c r="CE24" s="58"/>
    </row>
    <row r="25" spans="1:83" x14ac:dyDescent="0.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</row>
    <row r="26" spans="1:83" x14ac:dyDescent="0.25">
      <c r="A26" s="10" t="s">
        <v>18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6"/>
      <c r="S26" s="8"/>
      <c r="T26" s="55"/>
      <c r="U26" s="86" t="s">
        <v>123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</row>
    <row r="27" spans="1:83" ht="13.8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83" t="s">
        <v>19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Y27" s="44" t="s">
        <v>82</v>
      </c>
    </row>
    <row r="28" spans="1:83" x14ac:dyDescent="0.25">
      <c r="A28" s="10" t="s">
        <v>20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1"/>
      <c r="T28" s="21"/>
      <c r="U28" s="84" t="s">
        <v>51</v>
      </c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Y28" s="87" t="s">
        <v>83</v>
      </c>
      <c r="BZ28" s="87"/>
      <c r="CA28" s="87"/>
      <c r="CB28" s="87"/>
      <c r="CC28" s="87"/>
      <c r="CD28" s="87"/>
      <c r="CE28" s="87"/>
    </row>
    <row r="29" spans="1:83" x14ac:dyDescent="0.25">
      <c r="A29" s="91" t="s">
        <v>21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Y29" s="87"/>
      <c r="BZ29" s="87"/>
      <c r="CA29" s="87"/>
      <c r="CB29" s="87"/>
      <c r="CC29" s="87"/>
      <c r="CD29" s="87"/>
      <c r="CE29" s="87"/>
    </row>
    <row r="30" spans="1:83" x14ac:dyDescent="0.25">
      <c r="A30" s="8"/>
      <c r="B30" s="8"/>
      <c r="C30" s="8"/>
      <c r="D30" s="8" t="s">
        <v>22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7"/>
      <c r="AH30" s="7"/>
      <c r="AI30" s="7"/>
      <c r="AJ30" s="7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Y30" s="87"/>
      <c r="BZ30" s="87"/>
      <c r="CA30" s="87"/>
      <c r="CB30" s="87"/>
      <c r="CC30" s="87"/>
      <c r="CD30" s="87"/>
      <c r="CE30" s="87"/>
    </row>
    <row r="31" spans="1:83" ht="13.8" customHeight="1" x14ac:dyDescent="0.25">
      <c r="A31" s="8" t="s">
        <v>23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1"/>
      <c r="AJ31" s="8"/>
      <c r="AK31" s="93" t="s">
        <v>177</v>
      </c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Y31" s="87"/>
      <c r="BZ31" s="87"/>
      <c r="CA31" s="87"/>
      <c r="CB31" s="87"/>
      <c r="CC31" s="87"/>
      <c r="CD31" s="87"/>
      <c r="CE31" s="87"/>
    </row>
    <row r="32" spans="1:83" x14ac:dyDescent="0.25">
      <c r="A32" s="82" t="s">
        <v>172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Y32" s="87"/>
      <c r="BZ32" s="87"/>
      <c r="CA32" s="87"/>
      <c r="CB32" s="87"/>
      <c r="CC32" s="87"/>
      <c r="CD32" s="87"/>
      <c r="CE32" s="87"/>
    </row>
    <row r="33" spans="1:83" x14ac:dyDescent="0.25">
      <c r="A33" s="82" t="s">
        <v>173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Y33" s="87"/>
      <c r="BZ33" s="87"/>
      <c r="CA33" s="87"/>
      <c r="CB33" s="87"/>
      <c r="CC33" s="87"/>
      <c r="CD33" s="87"/>
      <c r="CE33" s="87"/>
    </row>
    <row r="34" spans="1:83" x14ac:dyDescent="0.25">
      <c r="A34" s="82" t="s">
        <v>178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Y34" s="87"/>
      <c r="BZ34" s="87"/>
      <c r="CA34" s="87"/>
      <c r="CB34" s="87"/>
      <c r="CC34" s="87"/>
      <c r="CD34" s="87"/>
      <c r="CE34" s="87"/>
    </row>
    <row r="35" spans="1:83" x14ac:dyDescent="0.25">
      <c r="A35" s="82" t="s">
        <v>174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Y35" s="87"/>
      <c r="BZ35" s="87"/>
      <c r="CA35" s="87"/>
      <c r="CB35" s="87"/>
      <c r="CC35" s="87"/>
      <c r="CD35" s="87"/>
      <c r="CE35" s="87"/>
    </row>
    <row r="36" spans="1:83" ht="13.8" customHeight="1" x14ac:dyDescent="0.25">
      <c r="A36" s="65" t="s">
        <v>24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57"/>
      <c r="BY36" s="87"/>
      <c r="BZ36" s="87"/>
      <c r="CA36" s="87"/>
      <c r="CB36" s="87"/>
      <c r="CC36" s="87"/>
      <c r="CD36" s="87"/>
      <c r="CE36" s="87"/>
    </row>
    <row r="37" spans="1:83" x14ac:dyDescent="0.25">
      <c r="A37" s="88" t="s">
        <v>57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Y37" s="87"/>
      <c r="BZ37" s="87"/>
      <c r="CA37" s="87"/>
      <c r="CB37" s="87"/>
      <c r="CC37" s="87"/>
      <c r="CD37" s="87"/>
      <c r="CE37" s="87"/>
    </row>
    <row r="38" spans="1:83" x14ac:dyDescent="0.25">
      <c r="A38" s="18" t="s">
        <v>58</v>
      </c>
      <c r="B38" s="19"/>
      <c r="C38" s="19"/>
      <c r="D38" s="111" t="str">
        <f>A24</f>
        <v>Крепежные элементы -  кг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</row>
    <row r="39" spans="1:83" x14ac:dyDescent="0.25">
      <c r="A39" s="8"/>
      <c r="B39" s="8"/>
      <c r="C39" s="8"/>
      <c r="D39" s="112" t="s">
        <v>25</v>
      </c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</row>
    <row r="40" spans="1:83" x14ac:dyDescent="0.25">
      <c r="A40" s="8" t="s">
        <v>26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33"/>
      <c r="Y40" s="109" t="s">
        <v>114</v>
      </c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Y40" t="s">
        <v>84</v>
      </c>
    </row>
    <row r="41" spans="1:8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20"/>
      <c r="Y41" s="65" t="s">
        <v>27</v>
      </c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Y41" t="s">
        <v>85</v>
      </c>
    </row>
    <row r="42" spans="1:83" x14ac:dyDescent="0.25">
      <c r="A42" s="8" t="s">
        <v>28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7"/>
      <c r="AG42" s="7"/>
      <c r="AH42" s="7"/>
      <c r="AI42" s="7"/>
      <c r="AJ42" s="71" t="s">
        <v>29</v>
      </c>
      <c r="AK42" s="71"/>
      <c r="AL42" s="71"/>
      <c r="AM42" s="71"/>
      <c r="AN42" s="71"/>
      <c r="AO42" s="71"/>
      <c r="AP42" s="71"/>
      <c r="AQ42" s="71"/>
      <c r="AR42" s="71"/>
      <c r="AS42" s="71"/>
      <c r="AT42" s="72" t="s">
        <v>72</v>
      </c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</row>
    <row r="43" spans="1:83" ht="13.8" customHeight="1" x14ac:dyDescent="0.25">
      <c r="A43" s="10" t="s">
        <v>30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55"/>
      <c r="O43" s="55"/>
      <c r="P43" s="55"/>
      <c r="Q43" s="73" t="str">
        <f>U26</f>
        <v xml:space="preserve">ПП2020РД-1.2-61.17-ОВ3.СО изм.  лист </v>
      </c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</row>
    <row r="44" spans="1:83" ht="13.8" customHeight="1" x14ac:dyDescent="0.25">
      <c r="A44" s="8"/>
      <c r="B44" s="8"/>
      <c r="C44" s="8"/>
      <c r="D44" s="10" t="s">
        <v>31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1"/>
      <c r="X44" s="8"/>
      <c r="Y44" s="32"/>
      <c r="Z44" s="32"/>
      <c r="AA44" s="74" t="str">
        <f>AK31</f>
        <v>Сертификат качества № 312123-078 от 15.01.2024,</v>
      </c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</row>
    <row r="45" spans="1:83" ht="13.8" customHeight="1" x14ac:dyDescent="0.25">
      <c r="A45" s="69" t="str">
        <f>A32</f>
        <v>Сертификат соответствия №РОСС CN.АЖ49.Н04278 с 27.07.2023 по 26.07.2026,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</row>
    <row r="46" spans="1:83" x14ac:dyDescent="0.25">
      <c r="A46" s="69" t="str">
        <f t="shared" ref="A46:A48" si="0">A33</f>
        <v>Сертификат соответствия №РОСС CN.АЖ49.Н04313 с 07.08.2023 по 06.08.2026,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</row>
    <row r="47" spans="1:83" x14ac:dyDescent="0.25">
      <c r="A47" s="69" t="str">
        <f t="shared" si="0"/>
        <v>Паспорт изделия №080483 от 18.01.2024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</row>
    <row r="48" spans="1:83" x14ac:dyDescent="0.25">
      <c r="A48" s="69" t="str">
        <f t="shared" si="0"/>
        <v>Сертификат соответствия № РОСС RU.32001.04ИБФ1.ОСП18.25939 с 14.11.2022 по 13.11.2025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</row>
    <row r="49" spans="1:77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76" t="s">
        <v>32</v>
      </c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</row>
    <row r="50" spans="1:77" ht="13.8" customHeight="1" x14ac:dyDescent="0.25">
      <c r="A50" s="8" t="s">
        <v>33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23"/>
    </row>
    <row r="51" spans="1:77" x14ac:dyDescent="0.25">
      <c r="A51" s="34"/>
      <c r="B51" s="8"/>
      <c r="C51" s="8"/>
      <c r="D51" s="8" t="s">
        <v>34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7"/>
      <c r="X51" s="7"/>
      <c r="Y51" s="7"/>
      <c r="Z51" s="7"/>
      <c r="AA51" s="34"/>
      <c r="AB51" s="7"/>
      <c r="AC51" s="34"/>
      <c r="AD51" s="77" t="s">
        <v>35</v>
      </c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</row>
    <row r="52" spans="1:77" x14ac:dyDescent="0.25">
      <c r="A52" s="8"/>
      <c r="B52" s="8"/>
      <c r="C52" s="8"/>
      <c r="D52" s="8"/>
      <c r="E52" s="8"/>
      <c r="F52" s="8"/>
      <c r="G52" s="8"/>
      <c r="H52" s="8"/>
      <c r="I52" s="8"/>
      <c r="J52" s="78" t="s">
        <v>36</v>
      </c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Y52" t="s">
        <v>86</v>
      </c>
    </row>
    <row r="53" spans="1:77" x14ac:dyDescent="0.25">
      <c r="A53" s="10" t="s">
        <v>37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28"/>
      <c r="W53" s="35"/>
      <c r="X53" s="29"/>
      <c r="Y53" s="75" t="str">
        <f>U26</f>
        <v xml:space="preserve">ПП2020РД-1.2-61.17-ОВ3.СО изм.  лист </v>
      </c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</row>
    <row r="54" spans="1:77" ht="16.2" customHeight="1" x14ac:dyDescent="0.25">
      <c r="A54" s="8" t="s">
        <v>38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34"/>
      <c r="M54" s="24"/>
      <c r="N54" s="70" t="s">
        <v>175</v>
      </c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Y54" t="s">
        <v>87</v>
      </c>
    </row>
    <row r="55" spans="1:77" ht="16.2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34"/>
      <c r="M55" s="24"/>
      <c r="N55" s="70" t="s">
        <v>176</v>
      </c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</row>
    <row r="56" spans="1:7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Y56" t="s">
        <v>88</v>
      </c>
    </row>
    <row r="57" spans="1:77" x14ac:dyDescent="0.25">
      <c r="A57" s="8" t="s">
        <v>39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12"/>
    </row>
    <row r="58" spans="1:77" x14ac:dyDescent="0.25">
      <c r="A58" s="8" t="s">
        <v>12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9" t="str">
        <f>BJ16</f>
        <v>Журавлев Ю.С.</v>
      </c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8"/>
      <c r="AP58" s="8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8"/>
      <c r="BG58" s="8"/>
      <c r="BH58" s="68">
        <f>AE14</f>
        <v>45337</v>
      </c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12"/>
    </row>
    <row r="59" spans="1:77" ht="13.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65" t="s">
        <v>59</v>
      </c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30"/>
      <c r="AP59" s="30"/>
      <c r="AQ59" s="65" t="s">
        <v>40</v>
      </c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30"/>
      <c r="BG59" s="30"/>
      <c r="BH59" s="65" t="s">
        <v>41</v>
      </c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26"/>
    </row>
    <row r="60" spans="1:77" x14ac:dyDescent="0.25">
      <c r="A60" s="8" t="s">
        <v>42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ht="16.8" customHeight="1" x14ac:dyDescent="0.25">
      <c r="A61" s="8" t="s">
        <v>43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9" t="str">
        <f>BJ18</f>
        <v>Халыгов Э. А.</v>
      </c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8"/>
      <c r="AP61" s="8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8"/>
      <c r="BG61" s="8"/>
      <c r="BH61" s="68">
        <f>BH58</f>
        <v>45337</v>
      </c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12"/>
    </row>
    <row r="62" spans="1:7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65" t="s">
        <v>59</v>
      </c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30"/>
      <c r="AP62" s="30"/>
      <c r="AQ62" s="65" t="s">
        <v>40</v>
      </c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30"/>
      <c r="BG62" s="30"/>
      <c r="BH62" s="65" t="s">
        <v>41</v>
      </c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12"/>
    </row>
    <row r="63" spans="1:77" x14ac:dyDescent="0.25">
      <c r="A63" s="8" t="s">
        <v>39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  <row r="64" spans="1:77" x14ac:dyDescent="0.25">
      <c r="A64" s="8" t="s">
        <v>44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6" t="str">
        <f>BJ20</f>
        <v>Тюкин Е.В.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8"/>
      <c r="AP64" s="8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8"/>
      <c r="BG64" s="8"/>
      <c r="BH64" s="68">
        <f>BH58</f>
        <v>45337</v>
      </c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12"/>
    </row>
    <row r="65" spans="1:7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65" t="s">
        <v>59</v>
      </c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30"/>
      <c r="AP65" s="30"/>
      <c r="AQ65" s="65" t="s">
        <v>40</v>
      </c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30"/>
      <c r="BG65" s="30"/>
      <c r="BH65" s="65" t="s">
        <v>41</v>
      </c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12"/>
    </row>
    <row r="66" spans="1:72" x14ac:dyDescent="0.25">
      <c r="A66" s="13"/>
      <c r="B66" s="13"/>
      <c r="C66" s="13"/>
      <c r="D66" s="7"/>
      <c r="E66" s="7"/>
      <c r="F66" s="7"/>
      <c r="G66" s="7"/>
      <c r="H66" s="7"/>
      <c r="I66" s="7"/>
      <c r="J66" s="7"/>
      <c r="K66" s="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2"/>
    </row>
    <row r="67" spans="1:72" x14ac:dyDescent="0.25">
      <c r="A67" s="61" t="s">
        <v>107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13"/>
      <c r="AN67" s="13"/>
      <c r="AO67" s="8"/>
      <c r="AP67" s="8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8"/>
      <c r="BG67" s="8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12"/>
    </row>
    <row r="68" spans="1:72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10"/>
      <c r="AN68" s="10"/>
      <c r="AO68" s="8"/>
      <c r="AP68" s="8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8"/>
      <c r="BG68" s="8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12"/>
    </row>
    <row r="69" spans="1:72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2"/>
    </row>
  </sheetData>
  <mergeCells count="82">
    <mergeCell ref="A3:E3"/>
    <mergeCell ref="F3:H3"/>
    <mergeCell ref="I3:K3"/>
    <mergeCell ref="A6:E6"/>
    <mergeCell ref="F6:H6"/>
    <mergeCell ref="I6:K6"/>
    <mergeCell ref="A13:BT13"/>
    <mergeCell ref="AE14:AT14"/>
    <mergeCell ref="S16:BI16"/>
    <mergeCell ref="BJ16:BT16"/>
    <mergeCell ref="AH6:BT7"/>
    <mergeCell ref="G7:H7"/>
    <mergeCell ref="I7:O7"/>
    <mergeCell ref="AF9:AW9"/>
    <mergeCell ref="A10:BT10"/>
    <mergeCell ref="A12:BT12"/>
    <mergeCell ref="BY22:CE23"/>
    <mergeCell ref="E23:BT23"/>
    <mergeCell ref="A24:BT24"/>
    <mergeCell ref="T17:BJ17"/>
    <mergeCell ref="S18:BI18"/>
    <mergeCell ref="BJ18:BT18"/>
    <mergeCell ref="T19:BJ19"/>
    <mergeCell ref="S20:BI20"/>
    <mergeCell ref="BJ20:BT20"/>
    <mergeCell ref="A25:BT25"/>
    <mergeCell ref="U26:BT26"/>
    <mergeCell ref="P27:BT27"/>
    <mergeCell ref="T21:BJ21"/>
    <mergeCell ref="O22:BP22"/>
    <mergeCell ref="U28:BT28"/>
    <mergeCell ref="BY28:CE37"/>
    <mergeCell ref="A29:BT29"/>
    <mergeCell ref="AK30:BT30"/>
    <mergeCell ref="AK31:BT31"/>
    <mergeCell ref="A32:BT32"/>
    <mergeCell ref="A33:BT33"/>
    <mergeCell ref="A35:BT35"/>
    <mergeCell ref="A36:BT36"/>
    <mergeCell ref="A37:BT37"/>
    <mergeCell ref="A34:BT34"/>
    <mergeCell ref="A45:BT45"/>
    <mergeCell ref="A46:BT46"/>
    <mergeCell ref="A47:BT47"/>
    <mergeCell ref="D38:BT38"/>
    <mergeCell ref="D39:BT39"/>
    <mergeCell ref="Y40:BT40"/>
    <mergeCell ref="Y41:BT41"/>
    <mergeCell ref="AJ42:AS42"/>
    <mergeCell ref="AT42:BT42"/>
    <mergeCell ref="Q43:BT43"/>
    <mergeCell ref="AA44:BT44"/>
    <mergeCell ref="X65:AN65"/>
    <mergeCell ref="AQ65:BE65"/>
    <mergeCell ref="BH65:BS65"/>
    <mergeCell ref="X61:AN61"/>
    <mergeCell ref="AQ61:BE61"/>
    <mergeCell ref="BH61:BS61"/>
    <mergeCell ref="X62:AN62"/>
    <mergeCell ref="AQ62:BE62"/>
    <mergeCell ref="BH62:BS62"/>
    <mergeCell ref="N55:BT55"/>
    <mergeCell ref="A48:BT48"/>
    <mergeCell ref="X64:AN64"/>
    <mergeCell ref="AQ64:BE64"/>
    <mergeCell ref="BH64:BS64"/>
    <mergeCell ref="N54:BT54"/>
    <mergeCell ref="X58:AN58"/>
    <mergeCell ref="AQ58:BE58"/>
    <mergeCell ref="BH58:BS58"/>
    <mergeCell ref="X59:AN59"/>
    <mergeCell ref="AQ59:BE59"/>
    <mergeCell ref="BH59:BS59"/>
    <mergeCell ref="V49:BT49"/>
    <mergeCell ref="AD51:BT51"/>
    <mergeCell ref="J52:BT52"/>
    <mergeCell ref="Y53:BT53"/>
    <mergeCell ref="A67:AL69"/>
    <mergeCell ref="AQ67:BE67"/>
    <mergeCell ref="BH67:BS67"/>
    <mergeCell ref="AQ68:BE68"/>
    <mergeCell ref="BH68:BS68"/>
  </mergeCells>
  <dataValidations count="4">
    <dataValidation type="list" errorStyle="information" allowBlank="1" showInputMessage="1" sqref="O22:BP22" xr:uid="{00000000-0002-0000-0800-000000000000}">
      <formula1>"выборочный,сплошной"</formula1>
    </dataValidation>
    <dataValidation type="list" allowBlank="1" showInputMessage="1" showErrorMessage="1" sqref="N22" xr:uid="{00000000-0002-0000-0800-000001000000}">
      <formula1>"выборочный,сплошной"</formula1>
    </dataValidation>
    <dataValidation type="list" allowBlank="1" showInputMessage="1" showErrorMessage="1" sqref="F6:H6 F3:H3" xr:uid="{00000000-0002-0000-0800-000002000000}">
      <formula1>"I.I,I.II,II,III,IV,V,V.I,V.II"</formula1>
    </dataValidation>
    <dataValidation type="list" showInputMessage="1" showErrorMessage="1" sqref="G7:H7" xr:uid="{00000000-0002-0000-08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0" max="71" man="1"/>
    <brk id="69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4000000}">
          <x14:formula1>
            <xm:f>подписанты!$B$8:$B$9</xm:f>
          </x14:formula1>
          <xm:sqref>BJ20:BT20</xm:sqref>
        </x14:dataValidation>
        <x14:dataValidation type="list" allowBlank="1" showInputMessage="1" showErrorMessage="1" xr:uid="{00000000-0002-0000-0800-000005000000}">
          <x14:formula1>
            <xm:f>подписанты!$B$5:$B$7</xm:f>
          </x14:formula1>
          <xm:sqref>BJ18:BT18</xm:sqref>
        </x14:dataValidation>
        <x14:dataValidation type="list" allowBlank="1" showInputMessage="1" showErrorMessage="1" xr:uid="{00000000-0002-0000-0800-000006000000}">
          <x14:formula1>
            <xm:f>подписанты!$B$3:$B$4</xm:f>
          </x14:formula1>
          <xm:sqref>BJ16:BT16</xm:sqref>
        </x14:dataValidation>
        <x14:dataValidation type="list" errorStyle="information" allowBlank="1" showInputMessage="1" xr:uid="{00000000-0002-0000-0800-000007000000}">
          <x14:formula1>
            <xm:f>'Лист общих данных'!$C$6:$C$12</xm:f>
          </x14:formula1>
          <xm:sqref>T26:U26</xm:sqref>
        </x14:dataValidation>
        <x14:dataValidation type="list" errorStyle="warning" allowBlank="1" showInputMessage="1" showErrorMessage="1" xr:uid="{00000000-0002-0000-0800-000008000000}">
          <x14:formula1>
            <xm:f>'Лист общих данных'!$B$6:$B$12</xm:f>
          </x14:formula1>
          <xm:sqref>S28:U28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12"/>
  <sheetViews>
    <sheetView topLeftCell="B1" workbookViewId="0">
      <selection activeCell="C11" sqref="C11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109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  <c r="B11" s="53" t="s">
        <v>110</v>
      </c>
      <c r="C11" s="45" t="s">
        <v>78</v>
      </c>
    </row>
    <row r="12" spans="1:6" x14ac:dyDescent="0.25">
      <c r="A12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9</vt:i4>
      </vt:variant>
    </vt:vector>
  </HeadingPairs>
  <TitlesOfParts>
    <vt:vector size="20" baseType="lpstr">
      <vt:lpstr>120р медная труба, мкэш, теплои</vt:lpstr>
      <vt:lpstr>121р рефнет</vt:lpstr>
      <vt:lpstr>122р фреон</vt:lpstr>
      <vt:lpstr>121р помпа, сифон, нагреватель</vt:lpstr>
      <vt:lpstr>123р труба ппр, фитинги</vt:lpstr>
      <vt:lpstr>125р труба капиялрная</vt:lpstr>
      <vt:lpstr>126р</vt:lpstr>
      <vt:lpstr>127р изоляция</vt:lpstr>
      <vt:lpstr>128р крепежные элементы</vt:lpstr>
      <vt:lpstr>подписанты</vt:lpstr>
      <vt:lpstr>Лист общих данных</vt:lpstr>
      <vt:lpstr>'120р медная труба, мкэш, теплои'!Область_печати</vt:lpstr>
      <vt:lpstr>'121р помпа, сифон, нагреватель'!Область_печати</vt:lpstr>
      <vt:lpstr>'121р рефнет'!Область_печати</vt:lpstr>
      <vt:lpstr>'122р фреон'!Область_печати</vt:lpstr>
      <vt:lpstr>'123р труба ппр, фитинги'!Область_печати</vt:lpstr>
      <vt:lpstr>'125р труба капиялрная'!Область_печати</vt:lpstr>
      <vt:lpstr>'126р'!Область_печати</vt:lpstr>
      <vt:lpstr>'127р изоляция'!Область_печати</vt:lpstr>
      <vt:lpstr>'128р крепежные элементы'!Область_печати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2026-02-16T15:18:53Z</cp:lastPrinted>
  <dcterms:created xsi:type="dcterms:W3CDTF">2023-09-19T09:44:50Z</dcterms:created>
  <dcterms:modified xsi:type="dcterms:W3CDTF">2026-02-16T15:19:42Z</dcterms:modified>
</cp:coreProperties>
</file>