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5\"/>
    </mc:Choice>
  </mc:AlternateContent>
  <xr:revisionPtr revIDLastSave="0" documentId="13_ncr:1_{7B27F4A4-13A1-47D5-ADB3-0D85F9EC9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3р труба ппр, фитинги" sheetId="24" r:id="rId1"/>
    <sheet name="126р" sheetId="26" r:id="rId2"/>
    <sheet name="подписанты" sheetId="8" r:id="rId3"/>
    <sheet name="Лист общих данных" sheetId="2" r:id="rId4"/>
  </sheets>
  <definedNames>
    <definedName name="_xlnm.Print_Area" localSheetId="0">'123р труба ппр, фитинги'!$A$1:$BT$102</definedName>
    <definedName name="_xlnm.Print_Area" localSheetId="1">'126р'!$A$1:$BT$72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7" i="24" l="1"/>
  <c r="A78" i="24"/>
  <c r="A79" i="24"/>
  <c r="A80" i="24"/>
  <c r="A81" i="24"/>
  <c r="A76" i="24" l="1"/>
  <c r="D43" i="26" l="1"/>
  <c r="D44" i="26"/>
  <c r="D45" i="26"/>
  <c r="D42" i="26"/>
  <c r="X69" i="26"/>
  <c r="X66" i="26"/>
  <c r="BH63" i="26"/>
  <c r="BH66" i="26" s="1"/>
  <c r="X63" i="26"/>
  <c r="Y59" i="26"/>
  <c r="A54" i="26"/>
  <c r="A53" i="26"/>
  <c r="A52" i="26"/>
  <c r="AA51" i="26"/>
  <c r="Q50" i="26"/>
  <c r="S23" i="26"/>
  <c r="S21" i="26"/>
  <c r="S19" i="26"/>
  <c r="BW17" i="26"/>
  <c r="BH69" i="26" l="1"/>
  <c r="A75" i="24"/>
  <c r="X98" i="24"/>
  <c r="X95" i="24"/>
  <c r="BH92" i="24"/>
  <c r="BH95" i="24" s="1"/>
  <c r="X92" i="24"/>
  <c r="Y86" i="24"/>
  <c r="A74" i="24"/>
  <c r="AA73" i="24"/>
  <c r="Q72" i="24"/>
  <c r="S28" i="24"/>
  <c r="S26" i="24"/>
  <c r="S24" i="24"/>
  <c r="BW22" i="24"/>
  <c r="BH98" i="24" l="1"/>
</calcChain>
</file>

<file path=xl/sharedStrings.xml><?xml version="1.0" encoding="utf-8"?>
<sst xmlns="http://schemas.openxmlformats.org/spreadsheetml/2006/main" count="270" uniqueCount="163">
  <si>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</si>
  <si>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</si>
  <si>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</si>
  <si>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</si>
  <si>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</si>
  <si>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</si>
  <si>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</si>
  <si>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</si>
  <si>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</si>
  <si>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</si>
  <si>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</si>
  <si>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</si>
  <si>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</si>
  <si>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</si>
  <si>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</si>
  <si>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</si>
  <si>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</si>
  <si>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</si>
  <si>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</si>
  <si>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</si>
  <si>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</si>
  <si>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</si>
  <si>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</si>
  <si>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</si>
  <si>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</si>
  <si>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</si>
  <si>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</si>
  <si>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</si>
  <si>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</si>
  <si>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</si>
  <si>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</si>
  <si>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</si>
  <si>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</si>
  <si>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</si>
  <si>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</si>
  <si>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</si>
  <si>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</si>
  <si>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</si>
  <si>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</si>
  <si>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</si>
  <si>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</si>
  <si>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</si>
  <si>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</si>
  <si>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</si>
  <si>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</si>
  <si>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</si>
  <si>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</si>
  <si>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</si>
  <si>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</si>
  <si>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</si>
  <si>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</si>
  <si>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</si>
  <si>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</si>
  <si>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</si>
  <si>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</si>
  <si>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</si>
  <si>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</si>
  <si>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</si>
  <si>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</si>
  <si>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</si>
  <si>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</si>
  <si>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</si>
  <si>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</si>
  <si>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</si>
  <si>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</si>
  <si>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</si>
  <si>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</si>
  <si>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</si>
  <si>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</si>
  <si>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</si>
  <si>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</si>
  <si>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</si>
  <si>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</si>
  <si>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</si>
  <si>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</si>
  <si>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</si>
  <si>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</si>
  <si>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</si>
  <si>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</si>
  <si>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</si>
  <si>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</si>
  <si>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</si>
  <si>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</si>
  <si>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</si>
  <si>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</si>
  <si>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</si>
  <si>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</si>
  <si>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</si>
  <si>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</si>
  <si>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</si>
  <si>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</si>
  <si>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</si>
  <si>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</si>
  <si>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</si>
  <si>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</si>
  <si>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</si>
  <si>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</si>
  <si>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</si>
  <si>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</si>
  <si>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</si>
  <si>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</si>
  <si>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</si>
  <si>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</si>
  <si>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</si>
  <si>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</si>
  <si>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</si>
  <si>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</si>
  <si>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</si>
  <si>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Ведущий инженер отдела технического надзора АО «Газстройпроект»</t>
  </si>
  <si>
    <t>Тишаков ? ?</t>
  </si>
  <si>
    <t>н/п</t>
  </si>
  <si>
    <t xml:space="preserve">ПП2020РД-1.2-61.17-ОВ3.СО изм.  лист </t>
  </si>
  <si>
    <t>ГОСТ 17375-2001, ТР ТС 032/2013, ГОСТ 32415-2013, ТУ 2248-001-16965449-2016</t>
  </si>
  <si>
    <t>Технический паспорт и руководство по эксплуатации б/н</t>
  </si>
  <si>
    <t>от 07.11.2023, Информационное письмо исх. №1523/Л от 26.01.2022, Паспорт изделия б/н от 26.10.2023,</t>
  </si>
  <si>
    <t>Информационное письмо исх.№ОТК/109 от 10.09.2018, Паспорт б/н от 21.11.2023,</t>
  </si>
  <si>
    <t>Сертификат соответствия № РОСС RU.HE06.H12786 с 19.09.2023 по 18.09.2026</t>
  </si>
  <si>
    <t>Резиновая манжета Ø50/Ø32</t>
  </si>
  <si>
    <t>Комперссионное соединение Ø110/Ø50</t>
  </si>
  <si>
    <t>АИР 1.2-61.17-ОВ3/5</t>
  </si>
  <si>
    <t>АИР 1.2-61.17-ОВ3/6</t>
  </si>
  <si>
    <t>Труба PP-R SDR11: Ø20, Ø25, Ø32;</t>
  </si>
  <si>
    <t>Капиллярная трубка (шланг однослойный ПВХ) Ø6;</t>
  </si>
  <si>
    <t>Труба ПВХ гофрированная d16;</t>
  </si>
  <si>
    <r>
      <t>Отвод 90</t>
    </r>
    <r>
      <rPr>
        <b/>
        <sz val="11"/>
        <rFont val="Calibri"/>
        <family val="2"/>
        <charset val="204"/>
      </rPr>
      <t>°</t>
    </r>
    <r>
      <rPr>
        <b/>
        <sz val="11"/>
        <rFont val="Times New Roman"/>
        <family val="1"/>
        <charset val="204"/>
      </rPr>
      <t>: Ø20, Ø25, Ø32;</t>
    </r>
  </si>
  <si>
    <t>Отвод 45°: Ø20, Ø32;</t>
  </si>
  <si>
    <t>Тройник PPR: Ø20/Ø20/Ø20, Ø25/Ø20/Ø25, Ø32/Ø20/Ø32, Ø32/Ø32/Ø32;</t>
  </si>
  <si>
    <t>Переход PPR : Ø25/Ø20, Ø32/Ø20, Ø32/Ø25;</t>
  </si>
  <si>
    <t>Заглушка PPR Ø20.</t>
  </si>
  <si>
    <t>Труба PP-R SDR11: Ø20 - 21,4 м, Ø25 - 4,43 м, Ø32 - 28,4 м;</t>
  </si>
  <si>
    <t>Отвод 90°: Ø20 - 14 шт., Ø25 - 1 шт., Ø32 - 4 шт.;</t>
  </si>
  <si>
    <t>Отвод 45°: Ø20 - 2 шт., Ø32 - 3 шт.;</t>
  </si>
  <si>
    <t>Тройник PPR: Ø20/Ø20/Ø20 - 4 шт., Ø25/Ø20/Ø25 - 4 шт., Ø32/Ø20/Ø32 - 6 шт., Ø32/Ø32/Ø32 - 2 шт.;</t>
  </si>
  <si>
    <t>Переход PPR : Ø25/Ø20 - 2 шт., Ø32/Ø20 - 1 шт., Ø32/Ø25 -3 шт.;</t>
  </si>
  <si>
    <t xml:space="preserve">                                (паспорта,  сертификаты)</t>
  </si>
  <si>
    <t>Сертификат соответствия № РОСС RU.HA39.H00401/22 с 08.09.2022 г. по 07.09.2025 г.;</t>
  </si>
  <si>
    <t>Сертификат соответствия № РОСС RU.АЖ49.Н01493 с 08.06.2021 г. по 07.06.2024 г.;</t>
  </si>
  <si>
    <t>Технический паспорт изделия № ПС-42982 от 29.11.2023 г.;</t>
  </si>
  <si>
    <t>Паспорт качества № 91916 от 29.09.2023 г.;</t>
  </si>
  <si>
    <t>Сертификат соответствия № ЕАЭС RU C-RU.ПБ68.В.00559/21 с 04.10.2021 г. по 15.03.2026 г.;</t>
  </si>
  <si>
    <t>Паспорт,техническое описание и инструкция по эксплуатации б/н от 26.10.2023 г.;</t>
  </si>
  <si>
    <t>Декларация о соответствии № РОСС RU Д-RU.РА01.В.13131/23 с 13.04.2023 г. по 12.04.2026 г.;</t>
  </si>
  <si>
    <t>Свидетельство о государственной регистрации № RU.23.КК.08.013.Е.000022.01.17 от 23.01.2017 г.</t>
  </si>
  <si>
    <t xml:space="preserve">ГОСТ 32415-2013; ТУ 2248-003-78044889-2013; ГОСТ 30244-94; ГОСТ Р 30244-94; ГОСТ Р 30402-96; </t>
  </si>
  <si>
    <t xml:space="preserve">ГОСТ 12.1.044-89; ГОСТ Р 12.1.044-89; ГОСТ Р 51032-97; ТУ 2247-008-47022248-2002; ТР ЕАЭС 043/2017; </t>
  </si>
  <si>
    <t>ТУ 2248-001-16965449-2016; ТУ 2248-004-16965449-2016</t>
  </si>
  <si>
    <t>ПП2020РД-1.2-61.17-ОВ3, ПП2020РД-1.2-61.17-ОВ3.СО изм.2, л. 2-3</t>
  </si>
  <si>
    <t>Паспорт качества б/н от 19.12.2023 г.;</t>
  </si>
  <si>
    <t>труба PP-R: Ø20, Ø25, Ø32; капиллярная трубка Ø6; труба ПВХ Ø16;</t>
  </si>
  <si>
    <t xml:space="preserve">отвод 90°: Ø20, Ø25, Ø32; отвод 45°: Ø20, Ø32; </t>
  </si>
  <si>
    <t>тройник: Ø20/Ø20/Ø20, Ø25/Ø20/Ø25, Ø32/Ø20/Ø32, Ø32/Ø32/Ø32;</t>
  </si>
  <si>
    <t>переход : Ø25/Ø20, Ø32/Ø20, Ø32/Ø25; заглушка Ø20.</t>
  </si>
  <si>
    <t>Капиллярная трубка (шланг однослойный ПВХ) - 7,6 м;</t>
  </si>
  <si>
    <t>Труба ПВХ гофрированная - 7,6 м;</t>
  </si>
  <si>
    <t>Заглушка PPR - 11 шт.</t>
  </si>
  <si>
    <t>Труба PP-R SDR11;</t>
  </si>
  <si>
    <t>Капиллярная трубка (шланг однослойный ПВХ);</t>
  </si>
  <si>
    <t>Труба ПВХ гофрированная;</t>
  </si>
  <si>
    <t>Отвод 90°;</t>
  </si>
  <si>
    <t>Отвод 45°;</t>
  </si>
  <si>
    <t>Тройник PPR;</t>
  </si>
  <si>
    <t>Переход PPR;</t>
  </si>
  <si>
    <t>Заглушка PPR.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</si>
</sst>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6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  <scheme val="major"/>
    </font>
    <font>
      <b/>
      <sz val="11"/>
      <name val="Times New Roman"/>
      <family val="1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7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wrapText="1"/>
    </xf>
    <xf numFmtId="14" fontId="14" fillId="4" borderId="0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 vertical="top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3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6" fillId="2" borderId="0" xfId="1" applyFont="1" applyFill="1" applyAlignment="1">
      <alignment horizontal="righ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3" borderId="1" xfId="1" applyNumberFormat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0" fontId="24" fillId="4" borderId="1" xfId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4" fontId="14" fillId="2" borderId="2" xfId="1" applyNumberFormat="1" applyFont="1" applyFill="1" applyBorder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23" fillId="4" borderId="1" xfId="1" applyNumberFormat="1" applyFont="1" applyFill="1" applyBorder="1" applyAlignment="1">
      <alignment horizontal="left" vertical="center" wrapText="1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3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/>
    </xf>
    <xf numFmtId="0" fontId="12" fillId="3" borderId="1" xfId="1" applyFont="1" applyFill="1" applyBorder="1" applyAlignment="1">
      <alignment horizontal="right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4" borderId="1" xfId="1" applyNumberFormat="1" applyFont="1" applyFill="1" applyBorder="1" applyAlignment="1">
      <alignment horizontal="left" vertical="top" wrapText="1"/>
    </xf>
    <xf numFmtId="14" fontId="14" fillId="2" borderId="0" xfId="1" applyNumberFormat="1" applyFont="1" applyFill="1" applyAlignment="1">
      <alignment horizontal="center" wrapText="1"/>
    </xf>
    <xf numFmtId="164" fontId="14" fillId="4" borderId="1" xfId="1" applyNumberFormat="1" applyFont="1" applyFill="1" applyBorder="1" applyAlignment="1">
      <alignment horizontal="center"/>
    </xf>
    <xf numFmtId="0" fontId="22" fillId="4" borderId="3" xfId="1" applyFont="1" applyFill="1" applyBorder="1" applyAlignment="1">
      <alignment horizontal="left" wrapText="1"/>
    </xf>
    <xf numFmtId="0" fontId="12" fillId="0" borderId="0" xfId="1" applyFont="1" applyBorder="1" applyAlignment="1">
      <alignment horizontal="center"/>
    </xf>
    <xf numFmtId="0" fontId="22" fillId="4" borderId="1" xfId="1" applyFont="1" applyFill="1" applyBorder="1" applyAlignment="1">
      <alignment horizontal="left" wrapText="1"/>
    </xf>
    <xf numFmtId="0" fontId="12" fillId="3" borderId="0" xfId="1" applyFont="1" applyFill="1" applyAlignment="1">
      <alignment horizontal="left" wrapText="1"/>
    </xf>
    <xf numFmtId="14" fontId="22" fillId="3" borderId="1" xfId="1" applyNumberFormat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19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30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40</xdr:row>
      <xdr:rowOff>0</xdr:rowOff>
    </xdr:from>
    <xdr:to>
      <xdr:col>75</xdr:col>
      <xdr:colOff>521970</xdr:colOff>
      <xdr:row>42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45</xdr:row>
      <xdr:rowOff>0</xdr:rowOff>
    </xdr:from>
    <xdr:to>
      <xdr:col>75</xdr:col>
      <xdr:colOff>521970</xdr:colOff>
      <xdr:row>54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81</xdr:row>
      <xdr:rowOff>0</xdr:rowOff>
    </xdr:from>
    <xdr:to>
      <xdr:col>75</xdr:col>
      <xdr:colOff>521970</xdr:colOff>
      <xdr:row>82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671560" y="77647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94</xdr:row>
      <xdr:rowOff>0</xdr:rowOff>
    </xdr:from>
    <xdr:to>
      <xdr:col>75</xdr:col>
      <xdr:colOff>521970</xdr:colOff>
      <xdr:row>96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671560" y="96926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14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35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671560" y="633984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46</xdr:row>
      <xdr:rowOff>0</xdr:rowOff>
    </xdr:from>
    <xdr:to>
      <xdr:col>75</xdr:col>
      <xdr:colOff>521970</xdr:colOff>
      <xdr:row>47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671560" y="87934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57</xdr:row>
      <xdr:rowOff>0</xdr:rowOff>
    </xdr:from>
    <xdr:to>
      <xdr:col>75</xdr:col>
      <xdr:colOff>521970</xdr:colOff>
      <xdr:row>59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8671560" y="1089660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E103"/>
  <sheetViews>
    <sheetView tabSelected="1" view="pageBreakPreview" topLeftCell="A10" zoomScale="112" zoomScaleNormal="100" zoomScaleSheetLayoutView="85" workbookViewId="0">
      <selection activeCell="BW23" sqref="BW23"/>
    </sheetView>
  </sheetViews>
  <sheetFormatPr defaultRowHeight="13.8" x14ac:dyDescent="0.25"/>
  <cols>
    <col min="1" max="12" width="1.44140625" customWidth="1"/>
    <col min="13" max="13" width="2.33203125" customWidth="1"/>
    <col min="14" max="34" width="1.44140625" customWidth="1"/>
    <col min="35" max="36" width="2" customWidth="1"/>
    <col min="37" max="70" width="1.44140625" customWidth="1"/>
    <col min="71" max="71" width="6.5546875" customWidth="1"/>
    <col min="72" max="72" width="5.55468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8" t="s">
        <v>4</v>
      </c>
      <c r="B3" s="78"/>
      <c r="C3" s="78"/>
      <c r="D3" s="78"/>
      <c r="E3" s="78"/>
      <c r="F3" s="96" t="s">
        <v>5</v>
      </c>
      <c r="G3" s="96"/>
      <c r="H3" s="96"/>
      <c r="I3" s="97" t="s">
        <v>6</v>
      </c>
      <c r="J3" s="97"/>
      <c r="K3" s="9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8"/>
      <c r="B6" s="78"/>
      <c r="C6" s="78"/>
      <c r="D6" s="78"/>
      <c r="E6" s="78"/>
      <c r="F6" s="96"/>
      <c r="G6" s="96"/>
      <c r="H6" s="96"/>
      <c r="I6" s="97"/>
      <c r="J6" s="97"/>
      <c r="K6" s="9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8" t="s">
        <v>61</v>
      </c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</row>
    <row r="7" spans="1:72" x14ac:dyDescent="0.25">
      <c r="A7" s="8"/>
      <c r="B7" s="8"/>
      <c r="C7" s="8"/>
      <c r="D7" s="8"/>
      <c r="E7" s="8"/>
      <c r="F7" s="8"/>
      <c r="G7" s="99"/>
      <c r="H7" s="99"/>
      <c r="I7" s="97"/>
      <c r="J7" s="97"/>
      <c r="K7" s="97"/>
      <c r="L7" s="97"/>
      <c r="M7" s="97"/>
      <c r="N7" s="97"/>
      <c r="O7" s="9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0" t="s">
        <v>119</v>
      </c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1" t="s">
        <v>45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90" t="s">
        <v>121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</row>
    <row r="13" spans="1:72" ht="16.2" customHeight="1" x14ac:dyDescent="0.25">
      <c r="A13" s="102" t="s">
        <v>122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</row>
    <row r="14" spans="1:72" ht="16.2" customHeight="1" x14ac:dyDescent="0.25">
      <c r="A14" s="95" t="s">
        <v>123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</row>
    <row r="15" spans="1:72" ht="16.2" customHeight="1" x14ac:dyDescent="0.25">
      <c r="A15" s="90" t="s">
        <v>124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</row>
    <row r="16" spans="1:72" ht="16.2" customHeight="1" x14ac:dyDescent="0.25">
      <c r="A16" s="102" t="s">
        <v>125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</row>
    <row r="17" spans="1:83" ht="16.2" customHeight="1" x14ac:dyDescent="0.25">
      <c r="A17" s="102" t="s">
        <v>126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</row>
    <row r="18" spans="1:83" ht="16.2" customHeight="1" x14ac:dyDescent="0.25">
      <c r="A18" s="102" t="s">
        <v>127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</row>
    <row r="19" spans="1:83" ht="16.2" customHeight="1" x14ac:dyDescent="0.25">
      <c r="A19" s="102" t="s">
        <v>128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</row>
    <row r="20" spans="1:83" ht="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 spans="1:83" ht="12" customHeight="1" x14ac:dyDescent="0.25">
      <c r="A21" s="109" t="s">
        <v>46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3" t="s">
        <v>9</v>
      </c>
      <c r="AB22" s="8"/>
      <c r="AC22" s="8"/>
      <c r="AD22" s="8"/>
      <c r="AE22" s="110">
        <v>45337</v>
      </c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6"/>
      <c r="AV22" s="16"/>
      <c r="AW22" s="16"/>
      <c r="AX22" s="16"/>
      <c r="AY22" s="16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12"/>
      <c r="BW22" s="54">
        <f>AE22</f>
        <v>45337</v>
      </c>
    </row>
    <row r="23" spans="1:83" x14ac:dyDescent="0.25">
      <c r="A23" s="8" t="s">
        <v>10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 t="s">
        <v>11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12"/>
    </row>
    <row r="24" spans="1:83" ht="13.8" customHeight="1" x14ac:dyDescent="0.25">
      <c r="A24" s="8" t="s">
        <v>12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06" t="str">
        <f>VLOOKUP(BJ24,подписанты!$B$3:$C$11,2,FALSE)</f>
        <v>Ведущий инженер МТО АО «Газстройпроект»</v>
      </c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5" t="s">
        <v>77</v>
      </c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</row>
    <row r="25" spans="1:8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03" t="s">
        <v>13</v>
      </c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67"/>
      <c r="BK25" s="27"/>
      <c r="BL25" s="27"/>
      <c r="BM25" s="27"/>
      <c r="BN25" s="27"/>
      <c r="BO25" s="27"/>
      <c r="BP25" s="17"/>
      <c r="BQ25" s="17"/>
      <c r="BR25" s="17"/>
      <c r="BS25" s="17"/>
      <c r="BT25" s="17"/>
    </row>
    <row r="26" spans="1:83" ht="13.8" customHeight="1" x14ac:dyDescent="0.25">
      <c r="A26" s="8" t="s">
        <v>14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06" t="str">
        <f>VLOOKUP(BJ26,подписанты!$B$3:$C$11,2,FALSE)</f>
        <v>Инженер отдела технического надзора АО «Газстройпроект»</v>
      </c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5" t="s">
        <v>68</v>
      </c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</row>
    <row r="27" spans="1:8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67" t="s">
        <v>13</v>
      </c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spans="1:83" ht="40.049999999999997" customHeight="1" x14ac:dyDescent="0.25">
      <c r="A28" s="8" t="s">
        <v>15</v>
      </c>
      <c r="B28" s="8"/>
      <c r="C28" s="8"/>
      <c r="D28" s="8"/>
      <c r="E28" s="8"/>
      <c r="F28" s="8"/>
      <c r="G28" s="8"/>
      <c r="H28" s="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06" t="str">
        <f>VLOOKUP(BJ28,подписанты!$B$3:$C$11,2,FALSE)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7" t="s">
        <v>91</v>
      </c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</row>
    <row r="29" spans="1:83" x14ac:dyDescent="0.25">
      <c r="A29" s="8"/>
      <c r="B29" s="8"/>
      <c r="C29" s="8"/>
      <c r="D29" s="8"/>
      <c r="E29" s="8"/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3" t="s">
        <v>13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67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83" x14ac:dyDescent="0.25">
      <c r="A30" s="8" t="s">
        <v>16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8"/>
      <c r="O30" s="81" t="s">
        <v>89</v>
      </c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" t="s">
        <v>17</v>
      </c>
      <c r="BR30" s="13"/>
      <c r="BS30" s="13"/>
      <c r="BT30" s="13"/>
      <c r="BY30" s="82" t="s">
        <v>80</v>
      </c>
      <c r="BZ30" s="82"/>
      <c r="CA30" s="82"/>
      <c r="CB30" s="82"/>
      <c r="CC30" s="82"/>
      <c r="CD30" s="82"/>
      <c r="CE30" s="82"/>
    </row>
    <row r="31" spans="1:83" ht="13.8" customHeight="1" x14ac:dyDescent="0.25">
      <c r="A31" s="8"/>
      <c r="B31" s="8"/>
      <c r="C31" s="8"/>
      <c r="D31" s="8"/>
      <c r="E31" s="89" t="s">
        <v>47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Y31" s="82"/>
      <c r="BZ31" s="82"/>
      <c r="CA31" s="82"/>
      <c r="CB31" s="82"/>
      <c r="CC31" s="82"/>
      <c r="CD31" s="82"/>
      <c r="CE31" s="82"/>
    </row>
    <row r="32" spans="1:83" ht="16.2" customHeight="1" x14ac:dyDescent="0.25">
      <c r="A32" s="90" t="s">
        <v>129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Y32" s="58"/>
      <c r="BZ32" s="58"/>
      <c r="CA32" s="58"/>
      <c r="CB32" s="58"/>
      <c r="CC32" s="58"/>
      <c r="CD32" s="58"/>
      <c r="CE32" s="58"/>
    </row>
    <row r="33" spans="1:83" ht="16.2" customHeight="1" x14ac:dyDescent="0.25">
      <c r="A33" s="95" t="s">
        <v>152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Y33" s="58"/>
      <c r="BZ33" s="58"/>
      <c r="CA33" s="58"/>
      <c r="CB33" s="58"/>
      <c r="CC33" s="58"/>
      <c r="CD33" s="58"/>
      <c r="CE33" s="58"/>
    </row>
    <row r="34" spans="1:83" ht="16.2" customHeight="1" x14ac:dyDescent="0.25">
      <c r="A34" s="90" t="s">
        <v>153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Y34" s="58"/>
      <c r="BZ34" s="58"/>
      <c r="CA34" s="58"/>
      <c r="CB34" s="58"/>
      <c r="CC34" s="58"/>
      <c r="CD34" s="58"/>
      <c r="CE34" s="58"/>
    </row>
    <row r="35" spans="1:83" ht="16.2" customHeight="1" x14ac:dyDescent="0.25">
      <c r="A35" s="102" t="s">
        <v>130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Y35" s="58"/>
      <c r="BZ35" s="58"/>
      <c r="CA35" s="58"/>
      <c r="CB35" s="58"/>
      <c r="CC35" s="58"/>
      <c r="CD35" s="58"/>
      <c r="CE35" s="58"/>
    </row>
    <row r="36" spans="1:83" ht="16.2" customHeight="1" x14ac:dyDescent="0.25">
      <c r="A36" s="102" t="s">
        <v>131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Y36" s="58"/>
      <c r="BZ36" s="58"/>
      <c r="CA36" s="58"/>
      <c r="CB36" s="58"/>
      <c r="CC36" s="58"/>
      <c r="CD36" s="58"/>
      <c r="CE36" s="58"/>
    </row>
    <row r="37" spans="1:83" ht="16.2" customHeight="1" x14ac:dyDescent="0.25">
      <c r="A37" s="102" t="s">
        <v>132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Y37" s="60"/>
      <c r="BZ37" s="60"/>
      <c r="CA37" s="60"/>
      <c r="CB37" s="60"/>
      <c r="CC37" s="60"/>
      <c r="CD37" s="60"/>
      <c r="CE37" s="60"/>
    </row>
    <row r="38" spans="1:83" ht="16.2" customHeight="1" x14ac:dyDescent="0.25">
      <c r="A38" s="102" t="s">
        <v>133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Y38" s="60"/>
      <c r="BZ38" s="60"/>
      <c r="CA38" s="60"/>
      <c r="CB38" s="60"/>
      <c r="CC38" s="60"/>
      <c r="CD38" s="60"/>
      <c r="CE38" s="60"/>
    </row>
    <row r="39" spans="1:83" ht="16.2" customHeight="1" x14ac:dyDescent="0.25">
      <c r="A39" s="102" t="s">
        <v>154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Y39" s="60"/>
      <c r="BZ39" s="60"/>
      <c r="CA39" s="60"/>
      <c r="CB39" s="60"/>
      <c r="CC39" s="60"/>
      <c r="CD39" s="60"/>
      <c r="CE39" s="60"/>
    </row>
    <row r="40" spans="1:83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</row>
    <row r="41" spans="1:83" ht="13.8" customHeight="1" x14ac:dyDescent="0.25">
      <c r="A41" s="10" t="s">
        <v>18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56"/>
      <c r="S41" s="8"/>
      <c r="T41" s="55"/>
      <c r="U41" s="92" t="s">
        <v>146</v>
      </c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Y41" s="82" t="s">
        <v>81</v>
      </c>
      <c r="BZ41" s="82"/>
      <c r="CA41" s="82"/>
      <c r="CB41" s="82"/>
      <c r="CC41" s="82"/>
      <c r="CD41" s="82"/>
    </row>
    <row r="42" spans="1:8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3" t="s">
        <v>19</v>
      </c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Y42" s="82"/>
      <c r="BZ42" s="82"/>
      <c r="CA42" s="82"/>
      <c r="CB42" s="82"/>
      <c r="CC42" s="82"/>
      <c r="CD42" s="82"/>
    </row>
    <row r="43" spans="1:83" x14ac:dyDescent="0.25">
      <c r="A43" s="10" t="s">
        <v>20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21"/>
      <c r="T43" s="21"/>
      <c r="U43" s="94" t="s">
        <v>51</v>
      </c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Y43" s="82"/>
      <c r="BZ43" s="82"/>
      <c r="CA43" s="82"/>
      <c r="CB43" s="82"/>
      <c r="CC43" s="82"/>
      <c r="CD43" s="82"/>
    </row>
    <row r="44" spans="1:83" x14ac:dyDescent="0.25">
      <c r="A44" s="103" t="s">
        <v>21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</row>
    <row r="45" spans="1:83" x14ac:dyDescent="0.25">
      <c r="A45" s="8"/>
      <c r="B45" s="8"/>
      <c r="C45" s="8"/>
      <c r="D45" s="8" t="s">
        <v>22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AG45" s="7"/>
      <c r="AH45" s="7"/>
      <c r="AI45" s="7"/>
      <c r="AJ45" s="7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</row>
    <row r="46" spans="1:83" x14ac:dyDescent="0.25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1"/>
      <c r="AJ46" s="8"/>
      <c r="AK46" s="108" t="s">
        <v>137</v>
      </c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Y46" s="44" t="s">
        <v>82</v>
      </c>
    </row>
    <row r="47" spans="1:83" x14ac:dyDescent="0.25">
      <c r="A47" s="88" t="s">
        <v>135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Y47" s="82" t="s">
        <v>83</v>
      </c>
      <c r="BZ47" s="82"/>
      <c r="CA47" s="82"/>
      <c r="CB47" s="82"/>
      <c r="CC47" s="82"/>
      <c r="CD47" s="82"/>
      <c r="CE47" s="82"/>
    </row>
    <row r="48" spans="1:83" x14ac:dyDescent="0.25">
      <c r="A48" s="88" t="s">
        <v>147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Y48" s="82"/>
      <c r="BZ48" s="82"/>
      <c r="CA48" s="82"/>
      <c r="CB48" s="82"/>
      <c r="CC48" s="82"/>
      <c r="CD48" s="82"/>
      <c r="CE48" s="82"/>
    </row>
    <row r="49" spans="1:83" x14ac:dyDescent="0.25">
      <c r="A49" s="88" t="s">
        <v>136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Y49" s="82"/>
      <c r="BZ49" s="82"/>
      <c r="CA49" s="82"/>
      <c r="CB49" s="82"/>
      <c r="CC49" s="82"/>
      <c r="CD49" s="82"/>
      <c r="CE49" s="82"/>
    </row>
    <row r="50" spans="1:83" x14ac:dyDescent="0.25">
      <c r="A50" s="88" t="s">
        <v>138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Y50" s="82"/>
      <c r="BZ50" s="82"/>
      <c r="CA50" s="82"/>
      <c r="CB50" s="82"/>
      <c r="CC50" s="82"/>
      <c r="CD50" s="82"/>
      <c r="CE50" s="82"/>
    </row>
    <row r="51" spans="1:83" x14ac:dyDescent="0.25">
      <c r="A51" s="88" t="s">
        <v>139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Y51" s="82"/>
      <c r="BZ51" s="82"/>
      <c r="CA51" s="82"/>
      <c r="CB51" s="82"/>
      <c r="CC51" s="82"/>
      <c r="CD51" s="82"/>
      <c r="CE51" s="82"/>
    </row>
    <row r="52" spans="1:83" x14ac:dyDescent="0.25">
      <c r="A52" s="88" t="s">
        <v>140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Y52" s="82"/>
      <c r="BZ52" s="82"/>
      <c r="CA52" s="82"/>
      <c r="CB52" s="82"/>
      <c r="CC52" s="82"/>
      <c r="CD52" s="82"/>
      <c r="CE52" s="82"/>
    </row>
    <row r="53" spans="1:83" x14ac:dyDescent="0.25">
      <c r="A53" s="88" t="s">
        <v>141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Y53" s="82"/>
      <c r="BZ53" s="82"/>
      <c r="CA53" s="82"/>
      <c r="CB53" s="82"/>
      <c r="CC53" s="82"/>
      <c r="CD53" s="82"/>
      <c r="CE53" s="82"/>
    </row>
    <row r="54" spans="1:83" x14ac:dyDescent="0.25">
      <c r="A54" s="88" t="s">
        <v>142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Y54" s="82"/>
      <c r="BZ54" s="82"/>
      <c r="CA54" s="82"/>
      <c r="CB54" s="82"/>
      <c r="CC54" s="82"/>
      <c r="CD54" s="82"/>
      <c r="CE54" s="82"/>
    </row>
    <row r="55" spans="1:83" x14ac:dyDescent="0.25">
      <c r="A55" s="67" t="s">
        <v>24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Y55" s="82"/>
      <c r="BZ55" s="82"/>
      <c r="CA55" s="82"/>
      <c r="CB55" s="82"/>
      <c r="CC55" s="82"/>
      <c r="CD55" s="82"/>
      <c r="CE55" s="82"/>
    </row>
    <row r="56" spans="1:83" x14ac:dyDescent="0.25">
      <c r="A56" s="83" t="s">
        <v>57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Y56" s="82"/>
      <c r="BZ56" s="82"/>
      <c r="CA56" s="82"/>
      <c r="CB56" s="82"/>
      <c r="CC56" s="82"/>
      <c r="CD56" s="82"/>
      <c r="CE56" s="82"/>
    </row>
    <row r="57" spans="1:83" x14ac:dyDescent="0.25">
      <c r="A57" s="18" t="s">
        <v>58</v>
      </c>
      <c r="B57" s="19"/>
      <c r="C57" s="19"/>
      <c r="D57" s="84" t="s">
        <v>155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Y57" s="82"/>
      <c r="BZ57" s="82"/>
      <c r="CA57" s="82"/>
      <c r="CB57" s="82"/>
      <c r="CC57" s="82"/>
      <c r="CD57" s="82"/>
      <c r="CE57" s="82"/>
    </row>
    <row r="58" spans="1:83" s="57" customFormat="1" x14ac:dyDescent="0.25">
      <c r="A58" s="112"/>
      <c r="B58" s="112"/>
      <c r="C58" s="112"/>
      <c r="D58" s="84" t="s">
        <v>156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Y58" s="82"/>
      <c r="BZ58" s="82"/>
      <c r="CA58" s="82"/>
      <c r="CB58" s="82"/>
      <c r="CC58" s="82"/>
      <c r="CD58" s="82"/>
      <c r="CE58" s="82"/>
    </row>
    <row r="59" spans="1:83" s="57" customFormat="1" x14ac:dyDescent="0.25">
      <c r="A59" s="112"/>
      <c r="B59" s="112"/>
      <c r="C59" s="112"/>
      <c r="D59" s="84" t="s">
        <v>157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Y59" s="82"/>
      <c r="BZ59" s="82"/>
      <c r="CA59" s="82"/>
      <c r="CB59" s="82"/>
      <c r="CC59" s="82"/>
      <c r="CD59" s="82"/>
      <c r="CE59" s="82"/>
    </row>
    <row r="60" spans="1:83" s="57" customFormat="1" x14ac:dyDescent="0.25">
      <c r="A60" s="112"/>
      <c r="B60" s="112"/>
      <c r="C60" s="112"/>
      <c r="D60" s="84" t="s">
        <v>158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Y60" s="82"/>
      <c r="BZ60" s="82"/>
      <c r="CA60" s="82"/>
      <c r="CB60" s="82"/>
      <c r="CC60" s="82"/>
      <c r="CD60" s="82"/>
      <c r="CE60" s="82"/>
    </row>
    <row r="61" spans="1:83" s="57" customFormat="1" x14ac:dyDescent="0.25">
      <c r="A61" s="112"/>
      <c r="B61" s="112"/>
      <c r="C61" s="112"/>
      <c r="D61" s="84" t="s">
        <v>159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Y61" s="82"/>
      <c r="BZ61" s="82"/>
      <c r="CA61" s="82"/>
      <c r="CB61" s="82"/>
      <c r="CC61" s="82"/>
      <c r="CD61" s="82"/>
      <c r="CE61" s="82"/>
    </row>
    <row r="62" spans="1:83" s="57" customFormat="1" x14ac:dyDescent="0.25">
      <c r="A62" s="112"/>
      <c r="B62" s="112"/>
      <c r="C62" s="112"/>
      <c r="D62" s="84" t="s">
        <v>160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Y62" s="82"/>
      <c r="BZ62" s="82"/>
      <c r="CA62" s="82"/>
      <c r="CB62" s="82"/>
      <c r="CC62" s="82"/>
      <c r="CD62" s="82"/>
      <c r="CE62" s="82"/>
    </row>
    <row r="63" spans="1:83" s="57" customFormat="1" x14ac:dyDescent="0.25">
      <c r="A63" s="112"/>
      <c r="B63" s="112"/>
      <c r="C63" s="112"/>
      <c r="D63" s="84" t="s">
        <v>161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Y63" s="82"/>
      <c r="BZ63" s="82"/>
      <c r="CA63" s="82"/>
      <c r="CB63" s="82"/>
      <c r="CC63" s="82"/>
      <c r="CD63" s="82"/>
      <c r="CE63" s="82"/>
    </row>
    <row r="64" spans="1:83" s="57" customFormat="1" x14ac:dyDescent="0.25">
      <c r="A64" s="112"/>
      <c r="B64" s="112"/>
      <c r="C64" s="112"/>
      <c r="D64" s="84" t="s">
        <v>162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Y64" s="82"/>
      <c r="BZ64" s="82"/>
      <c r="CA64" s="82"/>
      <c r="CB64" s="82"/>
      <c r="CC64" s="82"/>
      <c r="CD64" s="82"/>
      <c r="CE64" s="82"/>
    </row>
    <row r="65" spans="1:83" x14ac:dyDescent="0.25">
      <c r="A65" s="8"/>
      <c r="B65" s="8"/>
      <c r="C65" s="8"/>
      <c r="D65" s="85" t="s">
        <v>25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Y65" s="82"/>
      <c r="BZ65" s="82"/>
      <c r="CA65" s="82"/>
      <c r="CB65" s="82"/>
      <c r="CC65" s="82"/>
      <c r="CD65" s="82"/>
      <c r="CE65" s="82"/>
    </row>
    <row r="66" spans="1:83" x14ac:dyDescent="0.25">
      <c r="A66" s="8" t="s">
        <v>26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33"/>
      <c r="Y66" s="86" t="s">
        <v>148</v>
      </c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Y66" s="82"/>
      <c r="BZ66" s="82"/>
      <c r="CA66" s="82"/>
      <c r="CB66" s="82"/>
      <c r="CC66" s="82"/>
      <c r="CD66" s="82"/>
      <c r="CE66" s="82"/>
    </row>
    <row r="67" spans="1:83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3"/>
      <c r="Y67" s="86" t="s">
        <v>149</v>
      </c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Y67" s="82"/>
      <c r="BZ67" s="82"/>
      <c r="CA67" s="82"/>
      <c r="CB67" s="82"/>
      <c r="CC67" s="82"/>
      <c r="CD67" s="82"/>
      <c r="CE67" s="82"/>
    </row>
    <row r="68" spans="1:83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63"/>
      <c r="Y68" s="86" t="s">
        <v>150</v>
      </c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Y68" s="82"/>
      <c r="BZ68" s="82"/>
      <c r="CA68" s="82"/>
      <c r="CB68" s="82"/>
      <c r="CC68" s="82"/>
      <c r="CD68" s="82"/>
      <c r="CE68" s="82"/>
    </row>
    <row r="69" spans="1:83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63"/>
      <c r="Y69" s="86" t="s">
        <v>151</v>
      </c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Y69" s="82"/>
      <c r="BZ69" s="82"/>
      <c r="CA69" s="82"/>
      <c r="CB69" s="82"/>
      <c r="CC69" s="82"/>
      <c r="CD69" s="82"/>
      <c r="CE69" s="82"/>
    </row>
    <row r="70" spans="1:8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20"/>
      <c r="Y70" s="67" t="s">
        <v>27</v>
      </c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Y70" s="82"/>
      <c r="BZ70" s="82"/>
      <c r="CA70" s="82"/>
      <c r="CB70" s="82"/>
      <c r="CC70" s="82"/>
      <c r="CD70" s="82"/>
      <c r="CE70" s="82"/>
    </row>
    <row r="71" spans="1:83" x14ac:dyDescent="0.25">
      <c r="A71" s="8" t="s">
        <v>28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7"/>
      <c r="AG71" s="7"/>
      <c r="AH71" s="7"/>
      <c r="AI71" s="7"/>
      <c r="AJ71" s="68" t="s">
        <v>29</v>
      </c>
      <c r="AK71" s="68"/>
      <c r="AL71" s="68"/>
      <c r="AM71" s="68"/>
      <c r="AN71" s="68"/>
      <c r="AO71" s="68"/>
      <c r="AP71" s="68"/>
      <c r="AQ71" s="68"/>
      <c r="AR71" s="68"/>
      <c r="AS71" s="68"/>
      <c r="AT71" s="69" t="s">
        <v>72</v>
      </c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Y71" s="82"/>
      <c r="BZ71" s="82"/>
      <c r="CA71" s="82"/>
      <c r="CB71" s="82"/>
      <c r="CC71" s="82"/>
      <c r="CD71" s="82"/>
      <c r="CE71" s="82"/>
    </row>
    <row r="72" spans="1:83" ht="13.8" customHeight="1" x14ac:dyDescent="0.25">
      <c r="A72" s="10" t="s">
        <v>30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55"/>
      <c r="O72" s="55"/>
      <c r="P72" s="55"/>
      <c r="Q72" s="70" t="str">
        <f>U41</f>
        <v>ПП2020РД-1.2-61.17-ОВ3, ПП2020РД-1.2-61.17-ОВ3.СО изм.2, л. 2-3</v>
      </c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57"/>
      <c r="BY72" s="82"/>
      <c r="BZ72" s="82"/>
      <c r="CA72" s="82"/>
      <c r="CB72" s="82"/>
      <c r="CC72" s="82"/>
      <c r="CD72" s="82"/>
      <c r="CE72" s="82"/>
    </row>
    <row r="73" spans="1:83" x14ac:dyDescent="0.25">
      <c r="A73" s="8"/>
      <c r="B73" s="8"/>
      <c r="C73" s="8"/>
      <c r="D73" s="10" t="s">
        <v>31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1"/>
      <c r="X73" s="8"/>
      <c r="Y73" s="32"/>
      <c r="Z73" s="32"/>
      <c r="AA73" s="71" t="str">
        <f>AK46</f>
        <v>Технический паспорт изделия № ПС-42982 от 29.11.2023 г.;</v>
      </c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Y73" s="82"/>
      <c r="BZ73" s="82"/>
      <c r="CA73" s="82"/>
      <c r="CB73" s="82"/>
      <c r="CC73" s="82"/>
      <c r="CD73" s="82"/>
      <c r="CE73" s="82"/>
    </row>
    <row r="74" spans="1:83" x14ac:dyDescent="0.25">
      <c r="A74" s="72" t="str">
        <f>A47</f>
        <v>Сертификат соответствия № РОСС RU.HA39.H00401/22 с 08.09.2022 г. по 07.09.2025 г.;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</row>
    <row r="75" spans="1:83" x14ac:dyDescent="0.25">
      <c r="A75" s="72" t="str">
        <f>A48</f>
        <v>Паспорт качества б/н от 19.12.2023 г.;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</row>
    <row r="76" spans="1:83" x14ac:dyDescent="0.25">
      <c r="A76" s="72" t="str">
        <f>A49</f>
        <v>Сертификат соответствия № РОСС RU.АЖ49.Н01493 с 08.06.2021 г. по 07.06.2024 г.;</v>
      </c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</row>
    <row r="77" spans="1:83" x14ac:dyDescent="0.25">
      <c r="A77" s="72" t="str">
        <f t="shared" ref="A77:A81" si="0">A50</f>
        <v>Паспорт качества № 91916 от 29.09.2023 г.;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</row>
    <row r="78" spans="1:83" x14ac:dyDescent="0.25">
      <c r="A78" s="72" t="str">
        <f t="shared" si="0"/>
        <v>Сертификат соответствия № ЕАЭС RU C-RU.ПБ68.В.00559/21 с 04.10.2021 г. по 15.03.2026 г.;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</row>
    <row r="79" spans="1:83" x14ac:dyDescent="0.25">
      <c r="A79" s="72" t="str">
        <f t="shared" si="0"/>
        <v>Паспорт,техническое описание и инструкция по эксплуатации б/н от 26.10.2023 г.;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</row>
    <row r="80" spans="1:83" x14ac:dyDescent="0.25">
      <c r="A80" s="72" t="str">
        <f t="shared" si="0"/>
        <v>Декларация о соответствии № РОСС RU Д-RU.РА01.В.13131/23 с 13.04.2023 г. по 12.04.2026 г.;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</row>
    <row r="81" spans="1:77" x14ac:dyDescent="0.25">
      <c r="A81" s="72" t="str">
        <f t="shared" si="0"/>
        <v>Свидетельство о государственной регистрации № RU.23.КК.08.013.Е.000022.01.17 от 23.01.2017 г.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</row>
    <row r="82" spans="1:77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73" t="s">
        <v>134</v>
      </c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Y82" t="s">
        <v>84</v>
      </c>
    </row>
    <row r="83" spans="1:77" x14ac:dyDescent="0.25">
      <c r="A83" s="8" t="s">
        <v>33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23"/>
      <c r="BY83" t="s">
        <v>85</v>
      </c>
    </row>
    <row r="84" spans="1:77" x14ac:dyDescent="0.25">
      <c r="A84" s="34"/>
      <c r="B84" s="8"/>
      <c r="C84" s="8"/>
      <c r="D84" s="8" t="s">
        <v>34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7"/>
      <c r="X84" s="7"/>
      <c r="Y84" s="7"/>
      <c r="Z84" s="7"/>
      <c r="AA84" s="34"/>
      <c r="AB84" s="7"/>
      <c r="AC84" s="34"/>
      <c r="AD84" s="74" t="s">
        <v>35</v>
      </c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</row>
    <row r="85" spans="1:77" ht="13.8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75" t="s">
        <v>36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</row>
    <row r="86" spans="1:77" ht="13.8" customHeight="1" x14ac:dyDescent="0.25">
      <c r="A86" s="10" t="s">
        <v>37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/>
      <c r="V86" s="28"/>
      <c r="W86" s="35"/>
      <c r="X86" s="29"/>
      <c r="Y86" s="76" t="str">
        <f>U41</f>
        <v>ПП2020РД-1.2-61.17-ОВ3, ПП2020РД-1.2-61.17-ОВ3.СО изм.2, л. 2-3</v>
      </c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</row>
    <row r="87" spans="1:77" x14ac:dyDescent="0.25">
      <c r="A87" s="8" t="s">
        <v>38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34"/>
      <c r="M87" s="24"/>
      <c r="N87" s="113" t="s">
        <v>143</v>
      </c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</row>
    <row r="88" spans="1:77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61"/>
      <c r="M88" s="24"/>
      <c r="N88" s="111" t="s">
        <v>144</v>
      </c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</row>
    <row r="89" spans="1:7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61"/>
      <c r="M89" s="24"/>
      <c r="N89" s="111" t="s">
        <v>145</v>
      </c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</row>
    <row r="90" spans="1:77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</row>
    <row r="91" spans="1:77" x14ac:dyDescent="0.25">
      <c r="A91" s="8" t="s">
        <v>39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12"/>
    </row>
    <row r="92" spans="1:77" x14ac:dyDescent="0.25">
      <c r="A92" s="8" t="s">
        <v>12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64" t="str">
        <f>BJ24</f>
        <v>Журавлев Ю.С.</v>
      </c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8"/>
      <c r="AP92" s="8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8"/>
      <c r="BG92" s="8"/>
      <c r="BH92" s="66">
        <f>AE22</f>
        <v>45337</v>
      </c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12"/>
    </row>
    <row r="93" spans="1:7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67" t="s">
        <v>59</v>
      </c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30"/>
      <c r="AP93" s="30"/>
      <c r="AQ93" s="67" t="s">
        <v>40</v>
      </c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30"/>
      <c r="BG93" s="30"/>
      <c r="BH93" s="67" t="s">
        <v>41</v>
      </c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26"/>
    </row>
    <row r="94" spans="1:77" x14ac:dyDescent="0.25">
      <c r="A94" s="8" t="s">
        <v>42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12"/>
    </row>
    <row r="95" spans="1:77" x14ac:dyDescent="0.25">
      <c r="A95" s="8" t="s">
        <v>43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64" t="str">
        <f>BJ26</f>
        <v>Халыгов Э. А.</v>
      </c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8"/>
      <c r="AP95" s="8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8"/>
      <c r="BG95" s="8"/>
      <c r="BH95" s="66">
        <f>BH92</f>
        <v>45337</v>
      </c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12"/>
      <c r="BY95" t="s">
        <v>86</v>
      </c>
    </row>
    <row r="96" spans="1:7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67" t="s">
        <v>59</v>
      </c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30"/>
      <c r="AP96" s="30"/>
      <c r="AQ96" s="67" t="s">
        <v>40</v>
      </c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30"/>
      <c r="BG96" s="30"/>
      <c r="BH96" s="67" t="s">
        <v>41</v>
      </c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12"/>
    </row>
    <row r="97" spans="1:77" ht="16.2" customHeight="1" x14ac:dyDescent="0.25">
      <c r="A97" s="8" t="s">
        <v>39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12"/>
      <c r="BY97" t="s">
        <v>87</v>
      </c>
    </row>
    <row r="98" spans="1:77" x14ac:dyDescent="0.25">
      <c r="A98" s="8" t="s">
        <v>44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1" t="str">
        <f>BJ28</f>
        <v>Тюкин Е.В.</v>
      </c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"/>
      <c r="AP98" s="8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8"/>
      <c r="BG98" s="8"/>
      <c r="BH98" s="66">
        <f>BH92</f>
        <v>45337</v>
      </c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12"/>
      <c r="BY98" t="s">
        <v>88</v>
      </c>
    </row>
    <row r="99" spans="1:77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67" t="s">
        <v>59</v>
      </c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30"/>
      <c r="AP99" s="30"/>
      <c r="AQ99" s="67" t="s">
        <v>40</v>
      </c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30"/>
      <c r="BG99" s="30"/>
      <c r="BH99" s="67" t="s">
        <v>41</v>
      </c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12"/>
    </row>
    <row r="100" spans="1:77" x14ac:dyDescent="0.25">
      <c r="A100" s="13"/>
      <c r="B100" s="13"/>
      <c r="C100" s="13"/>
      <c r="D100" s="7"/>
      <c r="E100" s="7"/>
      <c r="F100" s="7"/>
      <c r="G100" s="7"/>
      <c r="H100" s="7"/>
      <c r="I100" s="7"/>
      <c r="J100" s="7"/>
      <c r="K100" s="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12"/>
    </row>
    <row r="101" spans="1:77" ht="13.8" customHeight="1" x14ac:dyDescent="0.25">
      <c r="A101" s="77" t="s">
        <v>107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13"/>
      <c r="AN101" s="13"/>
      <c r="AO101" s="8"/>
      <c r="AP101" s="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8"/>
      <c r="BG101" s="8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79"/>
      <c r="BS101" s="79"/>
      <c r="BT101" s="12"/>
    </row>
    <row r="102" spans="1:77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10"/>
      <c r="AN102" s="10"/>
      <c r="AO102" s="8"/>
      <c r="AP102" s="8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"/>
      <c r="BG102" s="8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12"/>
    </row>
    <row r="103" spans="1:77" ht="16.8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12"/>
    </row>
  </sheetData>
  <mergeCells count="117">
    <mergeCell ref="AK46:BT46"/>
    <mergeCell ref="A47:BT47"/>
    <mergeCell ref="A17:BT17"/>
    <mergeCell ref="A18:BT18"/>
    <mergeCell ref="A21:BT21"/>
    <mergeCell ref="AE22:AT22"/>
    <mergeCell ref="S24:BI24"/>
    <mergeCell ref="BJ24:BT24"/>
    <mergeCell ref="T25:BJ25"/>
    <mergeCell ref="S26:BI26"/>
    <mergeCell ref="A16:BT16"/>
    <mergeCell ref="A19:BT19"/>
    <mergeCell ref="A37:BT37"/>
    <mergeCell ref="A38:BT38"/>
    <mergeCell ref="A39:BT39"/>
    <mergeCell ref="A35:BT35"/>
    <mergeCell ref="A36:BT36"/>
    <mergeCell ref="A44:BT44"/>
    <mergeCell ref="AK45:BT45"/>
    <mergeCell ref="BJ26:BT26"/>
    <mergeCell ref="T27:BJ27"/>
    <mergeCell ref="S28:BI28"/>
    <mergeCell ref="BJ28:BT28"/>
    <mergeCell ref="T29:BJ29"/>
    <mergeCell ref="A14:BT14"/>
    <mergeCell ref="A15:BT15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3:BT13"/>
    <mergeCell ref="BY30:CE31"/>
    <mergeCell ref="E31:BT31"/>
    <mergeCell ref="O30:BP30"/>
    <mergeCell ref="A34:BT34"/>
    <mergeCell ref="A40:BT40"/>
    <mergeCell ref="U41:BT41"/>
    <mergeCell ref="BY41:CD43"/>
    <mergeCell ref="P42:BT42"/>
    <mergeCell ref="U43:BT43"/>
    <mergeCell ref="A33:BT33"/>
    <mergeCell ref="A32:BT32"/>
    <mergeCell ref="BY47:CE73"/>
    <mergeCell ref="A55:BT55"/>
    <mergeCell ref="A56:BT56"/>
    <mergeCell ref="D57:BT57"/>
    <mergeCell ref="D65:BT65"/>
    <mergeCell ref="Y66:BT66"/>
    <mergeCell ref="D58:BT58"/>
    <mergeCell ref="D59:BT59"/>
    <mergeCell ref="D60:BT60"/>
    <mergeCell ref="D61:BT61"/>
    <mergeCell ref="A48:BT48"/>
    <mergeCell ref="A49:BT49"/>
    <mergeCell ref="A50:BT50"/>
    <mergeCell ref="A51:BT51"/>
    <mergeCell ref="A52:BT52"/>
    <mergeCell ref="A53:BT53"/>
    <mergeCell ref="A54:BT54"/>
    <mergeCell ref="Y67:BT67"/>
    <mergeCell ref="Y68:BT68"/>
    <mergeCell ref="Y69:BT69"/>
    <mergeCell ref="D62:BT62"/>
    <mergeCell ref="D63:BT63"/>
    <mergeCell ref="D64:BT64"/>
    <mergeCell ref="A58:C64"/>
    <mergeCell ref="A101:AL103"/>
    <mergeCell ref="AQ101:BE101"/>
    <mergeCell ref="BH101:BS101"/>
    <mergeCell ref="AQ102:BE102"/>
    <mergeCell ref="BH102:BS102"/>
    <mergeCell ref="X93:AN93"/>
    <mergeCell ref="AQ93:BE93"/>
    <mergeCell ref="BH93:BS93"/>
    <mergeCell ref="X95:AN95"/>
    <mergeCell ref="AQ95:BE95"/>
    <mergeCell ref="BH95:BS95"/>
    <mergeCell ref="X96:AN96"/>
    <mergeCell ref="AQ96:BE96"/>
    <mergeCell ref="BH96:BS96"/>
    <mergeCell ref="X98:AN98"/>
    <mergeCell ref="AQ98:BE98"/>
    <mergeCell ref="BH98:BS98"/>
    <mergeCell ref="X99:AN99"/>
    <mergeCell ref="AQ99:BE99"/>
    <mergeCell ref="BH99:BS99"/>
    <mergeCell ref="X92:AN92"/>
    <mergeCell ref="AQ92:BE92"/>
    <mergeCell ref="BH92:BS92"/>
    <mergeCell ref="Y70:BT70"/>
    <mergeCell ref="AJ71:AS71"/>
    <mergeCell ref="AT71:BT71"/>
    <mergeCell ref="Q72:BT72"/>
    <mergeCell ref="AA73:BT73"/>
    <mergeCell ref="A74:BT74"/>
    <mergeCell ref="V82:BT82"/>
    <mergeCell ref="AD84:BT84"/>
    <mergeCell ref="J85:BT85"/>
    <mergeCell ref="Y86:BT86"/>
    <mergeCell ref="N88:BT88"/>
    <mergeCell ref="N89:BT89"/>
    <mergeCell ref="A77:BT77"/>
    <mergeCell ref="A78:BT78"/>
    <mergeCell ref="A79:BT79"/>
    <mergeCell ref="A80:BT80"/>
    <mergeCell ref="A81:BT81"/>
    <mergeCell ref="N87:BT87"/>
    <mergeCell ref="A75:BT75"/>
    <mergeCell ref="A76:BT76"/>
  </mergeCells>
  <phoneticPr fontId="21" type="noConversion"/>
  <dataValidations count="4">
    <dataValidation type="list" showInputMessage="1" showErrorMessage="1" sqref="G7:H7" xr:uid="{00000000-0002-0000-0300-000000000000}">
      <formula1>"1,2"</formula1>
    </dataValidation>
    <dataValidation type="list" allowBlank="1" showInputMessage="1" showErrorMessage="1" sqref="F6:H6 F3:H3" xr:uid="{00000000-0002-0000-0300-000001000000}">
      <formula1>"I.I,I.II,II,III,IV,V,V.I,V.II"</formula1>
    </dataValidation>
    <dataValidation type="list" allowBlank="1" showInputMessage="1" showErrorMessage="1" sqref="N30" xr:uid="{00000000-0002-0000-0300-000002000000}">
      <formula1>"выборочный,сплошной"</formula1>
    </dataValidation>
    <dataValidation type="list" errorStyle="information" allowBlank="1" showInputMessage="1" sqref="O30:BP30" xr:uid="{00000000-0002-0000-03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4" fitToHeight="0" orientation="portrait" blackAndWhite="1" r:id="rId1"/>
  <rowBreaks count="2" manualBreakCount="2">
    <brk id="63" max="71" man="1"/>
    <brk id="10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300-000004000000}">
          <x14:formula1>
            <xm:f>'Лист общих данных'!$B$6:$B$12</xm:f>
          </x14:formula1>
          <xm:sqref>S43:U43</xm:sqref>
        </x14:dataValidation>
        <x14:dataValidation type="list" errorStyle="information" allowBlank="1" showInputMessage="1" xr:uid="{00000000-0002-0000-0300-000005000000}">
          <x14:formula1>
            <xm:f>'Лист общих данных'!$C$6:$C$12</xm:f>
          </x14:formula1>
          <xm:sqref>T41:U41</xm:sqref>
        </x14:dataValidation>
        <x14:dataValidation type="list" allowBlank="1" showInputMessage="1" showErrorMessage="1" xr:uid="{00000000-0002-0000-0300-000006000000}">
          <x14:formula1>
            <xm:f>подписанты!$B$3:$B$4</xm:f>
          </x14:formula1>
          <xm:sqref>BJ24:BT24</xm:sqref>
        </x14:dataValidation>
        <x14:dataValidation type="list" allowBlank="1" showInputMessage="1" showErrorMessage="1" xr:uid="{00000000-0002-0000-0300-000007000000}">
          <x14:formula1>
            <xm:f>подписанты!$B$5:$B$7</xm:f>
          </x14:formula1>
          <xm:sqref>BJ26:BT26</xm:sqref>
        </x14:dataValidation>
        <x14:dataValidation type="list" allowBlank="1" showInputMessage="1" showErrorMessage="1" xr:uid="{00000000-0002-0000-0300-000008000000}">
          <x14:formula1>
            <xm:f>подписанты!$B$8:$B$9</xm:f>
          </x14:formula1>
          <xm:sqref>BJ28:BT28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CE74"/>
  <sheetViews>
    <sheetView view="pageBreakPreview" topLeftCell="A4" zoomScale="85" zoomScaleNormal="100" zoomScaleSheetLayoutView="85" workbookViewId="0">
      <selection activeCell="BX3" sqref="BX3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8" t="s">
        <v>4</v>
      </c>
      <c r="B3" s="78"/>
      <c r="C3" s="78"/>
      <c r="D3" s="78"/>
      <c r="E3" s="78"/>
      <c r="F3" s="96" t="s">
        <v>5</v>
      </c>
      <c r="G3" s="96"/>
      <c r="H3" s="96"/>
      <c r="I3" s="97" t="s">
        <v>6</v>
      </c>
      <c r="J3" s="97"/>
      <c r="K3" s="9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8"/>
      <c r="B6" s="78"/>
      <c r="C6" s="78"/>
      <c r="D6" s="78"/>
      <c r="E6" s="78"/>
      <c r="F6" s="96"/>
      <c r="G6" s="96"/>
      <c r="H6" s="96"/>
      <c r="I6" s="97"/>
      <c r="J6" s="97"/>
      <c r="K6" s="9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8" t="s">
        <v>61</v>
      </c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</row>
    <row r="7" spans="1:72" x14ac:dyDescent="0.25">
      <c r="A7" s="8"/>
      <c r="B7" s="8"/>
      <c r="C7" s="8"/>
      <c r="D7" s="8"/>
      <c r="E7" s="8"/>
      <c r="F7" s="8"/>
      <c r="G7" s="99"/>
      <c r="H7" s="99"/>
      <c r="I7" s="97"/>
      <c r="J7" s="97"/>
      <c r="K7" s="97"/>
      <c r="L7" s="97"/>
      <c r="M7" s="97"/>
      <c r="N7" s="97"/>
      <c r="O7" s="9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0" t="s">
        <v>120</v>
      </c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1" t="s">
        <v>45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</row>
    <row r="13" spans="1:72" ht="16.2" customHeight="1" x14ac:dyDescent="0.25">
      <c r="A13" s="90" t="s">
        <v>118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</row>
    <row r="14" spans="1:72" ht="16.2" customHeight="1" x14ac:dyDescent="0.25">
      <c r="A14" s="90" t="s">
        <v>117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</row>
    <row r="15" spans="1:72" ht="16.2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</row>
    <row r="16" spans="1:72" ht="12" customHeight="1" x14ac:dyDescent="0.25">
      <c r="A16" s="109" t="s">
        <v>46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3" t="s">
        <v>9</v>
      </c>
      <c r="AB17" s="8"/>
      <c r="AC17" s="8"/>
      <c r="AD17" s="8"/>
      <c r="AE17" s="110">
        <v>45337</v>
      </c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6"/>
      <c r="AV17" s="16"/>
      <c r="AW17" s="16"/>
      <c r="AX17" s="16"/>
      <c r="AY17" s="16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  <c r="BW17" s="54">
        <f>AE17</f>
        <v>45337</v>
      </c>
    </row>
    <row r="18" spans="1:83" x14ac:dyDescent="0.25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 t="s">
        <v>11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ht="13.8" customHeight="1" x14ac:dyDescent="0.25">
      <c r="A19" s="8" t="s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14" t="str">
        <f>VLOOKUP(BJ19,подписанты!$B$3:$C$11,2,FALSE)</f>
        <v>Ведущий инженер МТО АО «Газстройпроект»</v>
      </c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05" t="s">
        <v>77</v>
      </c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27"/>
      <c r="BL20" s="27"/>
      <c r="BM20" s="27"/>
      <c r="BN20" s="27"/>
      <c r="BO20" s="27"/>
      <c r="BP20" s="17"/>
      <c r="BQ20" s="17"/>
      <c r="BR20" s="17"/>
      <c r="BS20" s="17"/>
      <c r="BT20" s="17"/>
    </row>
    <row r="21" spans="1:83" ht="13.8" customHeight="1" x14ac:dyDescent="0.25">
      <c r="A21" s="8" t="s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6" t="str">
        <f>VLOOKUP(BJ21,подписанты!$B$3:$C$11,2,FALSE)</f>
        <v>Инженер отдела технического надзора АО «Газстройпроект»</v>
      </c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5" t="s">
        <v>68</v>
      </c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67" t="s">
        <v>13</v>
      </c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83" ht="40.049999999999997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14" t="str">
        <f>VLOOKUP(BJ23,подписанты!$B$3:$C$11,2,FALSE)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07" t="s">
        <v>91</v>
      </c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7" t="s">
        <v>13</v>
      </c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83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8"/>
      <c r="O25" s="81" t="s">
        <v>89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" t="s">
        <v>17</v>
      </c>
      <c r="BR25" s="13"/>
      <c r="BS25" s="13"/>
      <c r="BT25" s="13"/>
      <c r="BY25" s="82" t="s">
        <v>80</v>
      </c>
      <c r="BZ25" s="82"/>
      <c r="CA25" s="82"/>
      <c r="CB25" s="82"/>
      <c r="CC25" s="82"/>
      <c r="CD25" s="82"/>
      <c r="CE25" s="82"/>
    </row>
    <row r="26" spans="1:83" ht="13.8" customHeight="1" x14ac:dyDescent="0.25">
      <c r="A26" s="8"/>
      <c r="B26" s="8"/>
      <c r="C26" s="8"/>
      <c r="D26" s="8"/>
      <c r="E26" s="89" t="s">
        <v>47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Y26" s="82"/>
      <c r="BZ26" s="82"/>
      <c r="CA26" s="82"/>
      <c r="CB26" s="82"/>
      <c r="CC26" s="82"/>
      <c r="CD26" s="82"/>
      <c r="CE26" s="82"/>
    </row>
    <row r="27" spans="1:83" ht="16.2" customHeight="1" x14ac:dyDescent="0.2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Y27" s="58"/>
      <c r="BZ27" s="58"/>
      <c r="CA27" s="58"/>
      <c r="CB27" s="58"/>
      <c r="CC27" s="58"/>
      <c r="CD27" s="58"/>
      <c r="CE27" s="58"/>
    </row>
    <row r="28" spans="1:83" ht="16.2" customHeight="1" x14ac:dyDescent="0.25">
      <c r="A28" s="90" t="s">
        <v>118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Y28" s="58"/>
      <c r="BZ28" s="58"/>
      <c r="CA28" s="58"/>
      <c r="CB28" s="58"/>
      <c r="CC28" s="58"/>
      <c r="CD28" s="58"/>
      <c r="CE28" s="58"/>
    </row>
    <row r="29" spans="1:83" x14ac:dyDescent="0.25">
      <c r="A29" s="90" t="s">
        <v>117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</row>
    <row r="30" spans="1:83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</row>
    <row r="31" spans="1:83" x14ac:dyDescent="0.25">
      <c r="A31" s="10" t="s">
        <v>18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6"/>
      <c r="S31" s="8"/>
      <c r="T31" s="55"/>
      <c r="U31" s="92" t="s">
        <v>111</v>
      </c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83" ht="13.8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3" t="s">
        <v>19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Y32" s="44" t="s">
        <v>82</v>
      </c>
    </row>
    <row r="33" spans="1:83" x14ac:dyDescent="0.25">
      <c r="A33" s="10" t="s">
        <v>20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1"/>
      <c r="T33" s="21"/>
      <c r="U33" s="94" t="s">
        <v>51</v>
      </c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Y33" s="82" t="s">
        <v>83</v>
      </c>
      <c r="BZ33" s="82"/>
      <c r="CA33" s="82"/>
      <c r="CB33" s="82"/>
      <c r="CC33" s="82"/>
      <c r="CD33" s="82"/>
      <c r="CE33" s="82"/>
    </row>
    <row r="34" spans="1:83" x14ac:dyDescent="0.25">
      <c r="A34" s="103" t="s">
        <v>21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Y34" s="82"/>
      <c r="BZ34" s="82"/>
      <c r="CA34" s="82"/>
      <c r="CB34" s="82"/>
      <c r="CC34" s="82"/>
      <c r="CD34" s="82"/>
      <c r="CE34" s="82"/>
    </row>
    <row r="35" spans="1:83" x14ac:dyDescent="0.25">
      <c r="A35" s="8"/>
      <c r="B35" s="8"/>
      <c r="C35" s="8"/>
      <c r="D35" s="8" t="s">
        <v>22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7"/>
      <c r="AH35" s="7"/>
      <c r="AI35" s="7"/>
      <c r="AJ35" s="7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Y35" s="82"/>
      <c r="BZ35" s="82"/>
      <c r="CA35" s="82"/>
      <c r="CB35" s="82"/>
      <c r="CC35" s="82"/>
      <c r="CD35" s="82"/>
      <c r="CE35" s="82"/>
    </row>
    <row r="36" spans="1:83" ht="13.8" customHeight="1" x14ac:dyDescent="0.25">
      <c r="A36" s="8" t="s">
        <v>23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1"/>
      <c r="AJ36" s="8"/>
      <c r="AK36" s="108" t="s">
        <v>113</v>
      </c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Y36" s="82"/>
      <c r="BZ36" s="82"/>
      <c r="CA36" s="82"/>
      <c r="CB36" s="82"/>
      <c r="CC36" s="82"/>
      <c r="CD36" s="82"/>
      <c r="CE36" s="82"/>
    </row>
    <row r="37" spans="1:83" x14ac:dyDescent="0.25">
      <c r="A37" s="88" t="s">
        <v>114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Y37" s="82"/>
      <c r="BZ37" s="82"/>
      <c r="CA37" s="82"/>
      <c r="CB37" s="82"/>
      <c r="CC37" s="82"/>
      <c r="CD37" s="82"/>
      <c r="CE37" s="82"/>
    </row>
    <row r="38" spans="1:83" x14ac:dyDescent="0.25">
      <c r="A38" s="88" t="s">
        <v>115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Y38" s="82"/>
      <c r="BZ38" s="82"/>
      <c r="CA38" s="82"/>
      <c r="CB38" s="82"/>
      <c r="CC38" s="82"/>
      <c r="CD38" s="82"/>
      <c r="CE38" s="82"/>
    </row>
    <row r="39" spans="1:83" x14ac:dyDescent="0.25">
      <c r="A39" s="88" t="s">
        <v>116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Y39" s="82"/>
      <c r="BZ39" s="82"/>
      <c r="CA39" s="82"/>
      <c r="CB39" s="82"/>
      <c r="CC39" s="82"/>
      <c r="CD39" s="82"/>
      <c r="CE39" s="82"/>
    </row>
    <row r="40" spans="1:83" ht="13.8" customHeight="1" x14ac:dyDescent="0.25">
      <c r="A40" s="67" t="s">
        <v>24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57"/>
      <c r="BY40" s="82"/>
      <c r="BZ40" s="82"/>
      <c r="CA40" s="82"/>
      <c r="CB40" s="82"/>
      <c r="CC40" s="82"/>
      <c r="CD40" s="82"/>
      <c r="CE40" s="82"/>
    </row>
    <row r="41" spans="1:83" x14ac:dyDescent="0.25">
      <c r="A41" s="83" t="s">
        <v>57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Y41" s="82"/>
      <c r="BZ41" s="82"/>
      <c r="CA41" s="82"/>
      <c r="CB41" s="82"/>
      <c r="CC41" s="82"/>
      <c r="CD41" s="82"/>
      <c r="CE41" s="82"/>
    </row>
    <row r="42" spans="1:83" x14ac:dyDescent="0.25">
      <c r="A42" s="18" t="s">
        <v>58</v>
      </c>
      <c r="B42" s="19"/>
      <c r="C42" s="19"/>
      <c r="D42" s="115">
        <f>A27</f>
        <v>0</v>
      </c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</row>
    <row r="43" spans="1:83" x14ac:dyDescent="0.25">
      <c r="A43" s="18"/>
      <c r="B43" s="19"/>
      <c r="C43" s="19"/>
      <c r="D43" s="115" t="str">
        <f>A28</f>
        <v>Комперссионное соединение Ø110/Ø50</v>
      </c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</row>
    <row r="44" spans="1:83" x14ac:dyDescent="0.25">
      <c r="A44" s="18"/>
      <c r="B44" s="19"/>
      <c r="C44" s="19"/>
      <c r="D44" s="115" t="str">
        <f>A29</f>
        <v>Резиновая манжета Ø50/Ø32</v>
      </c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</row>
    <row r="45" spans="1:83" x14ac:dyDescent="0.25">
      <c r="A45" s="18"/>
      <c r="B45" s="19"/>
      <c r="C45" s="19"/>
      <c r="D45" s="115" t="e">
        <f>#REF!</f>
        <v>#REF!</v>
      </c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</row>
    <row r="46" spans="1:83" x14ac:dyDescent="0.25">
      <c r="A46" s="8"/>
      <c r="B46" s="8"/>
      <c r="C46" s="8"/>
      <c r="D46" s="85" t="s">
        <v>25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</row>
    <row r="47" spans="1:83" x14ac:dyDescent="0.25">
      <c r="A47" s="8" t="s">
        <v>26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33"/>
      <c r="Y47" s="116" t="s">
        <v>110</v>
      </c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Y47" t="s">
        <v>84</v>
      </c>
    </row>
    <row r="48" spans="1:8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0"/>
      <c r="Y48" s="67" t="s">
        <v>27</v>
      </c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Y48" t="s">
        <v>85</v>
      </c>
    </row>
    <row r="49" spans="1:77" x14ac:dyDescent="0.25">
      <c r="A49" s="8" t="s">
        <v>28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7"/>
      <c r="AG49" s="7"/>
      <c r="AH49" s="7"/>
      <c r="AI49" s="7"/>
      <c r="AJ49" s="68" t="s">
        <v>29</v>
      </c>
      <c r="AK49" s="68"/>
      <c r="AL49" s="68"/>
      <c r="AM49" s="68"/>
      <c r="AN49" s="68"/>
      <c r="AO49" s="68"/>
      <c r="AP49" s="68"/>
      <c r="AQ49" s="68"/>
      <c r="AR49" s="68"/>
      <c r="AS49" s="68"/>
      <c r="AT49" s="69" t="s">
        <v>72</v>
      </c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</row>
    <row r="50" spans="1:77" ht="13.8" customHeight="1" x14ac:dyDescent="0.25">
      <c r="A50" s="10" t="s">
        <v>30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55"/>
      <c r="O50" s="55"/>
      <c r="P50" s="55"/>
      <c r="Q50" s="70" t="str">
        <f>U31</f>
        <v xml:space="preserve">ПП2020РД-1.2-61.17-ОВ3.СО изм.  лист </v>
      </c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</row>
    <row r="51" spans="1:77" ht="13.8" customHeight="1" x14ac:dyDescent="0.25">
      <c r="A51" s="8"/>
      <c r="B51" s="8"/>
      <c r="C51" s="8"/>
      <c r="D51" s="10" t="s">
        <v>31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1"/>
      <c r="X51" s="8"/>
      <c r="Y51" s="32"/>
      <c r="Z51" s="32"/>
      <c r="AA51" s="71" t="str">
        <f>AK36</f>
        <v>Технический паспорт и руководство по эксплуатации б/н</v>
      </c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</row>
    <row r="52" spans="1:77" ht="13.8" customHeight="1" x14ac:dyDescent="0.25">
      <c r="A52" s="72" t="str">
        <f>A37</f>
        <v>от 07.11.2023, Информационное письмо исх. №1523/Л от 26.01.2022, Паспорт изделия б/н от 26.10.2023,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</row>
    <row r="53" spans="1:77" x14ac:dyDescent="0.25">
      <c r="A53" s="72" t="str">
        <f>A38</f>
        <v>Информационное письмо исх.№ОТК/109 от 10.09.2018, Паспорт б/н от 21.11.2023,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</row>
    <row r="54" spans="1:77" x14ac:dyDescent="0.25">
      <c r="A54" s="72" t="str">
        <f>A39</f>
        <v>Сертификат соответствия № РОСС RU.HE06.H12786 с 19.09.2023 по 18.09.2026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</row>
    <row r="55" spans="1:77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73" t="s">
        <v>32</v>
      </c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</row>
    <row r="56" spans="1:77" ht="13.8" customHeight="1" x14ac:dyDescent="0.25">
      <c r="A56" s="8" t="s">
        <v>33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23"/>
    </row>
    <row r="57" spans="1:77" x14ac:dyDescent="0.25">
      <c r="A57" s="34"/>
      <c r="B57" s="8"/>
      <c r="C57" s="8"/>
      <c r="D57" s="8" t="s">
        <v>34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7"/>
      <c r="X57" s="7"/>
      <c r="Y57" s="7"/>
      <c r="Z57" s="7"/>
      <c r="AA57" s="34"/>
      <c r="AB57" s="7"/>
      <c r="AC57" s="34"/>
      <c r="AD57" s="74" t="s">
        <v>35</v>
      </c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</row>
    <row r="58" spans="1:77" x14ac:dyDescent="0.25">
      <c r="A58" s="8"/>
      <c r="B58" s="8"/>
      <c r="C58" s="8"/>
      <c r="D58" s="8"/>
      <c r="E58" s="8"/>
      <c r="F58" s="8"/>
      <c r="G58" s="8"/>
      <c r="H58" s="8"/>
      <c r="I58" s="8"/>
      <c r="J58" s="75" t="s">
        <v>36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Y58" t="s">
        <v>86</v>
      </c>
    </row>
    <row r="59" spans="1:77" x14ac:dyDescent="0.25">
      <c r="A59" s="10" t="s">
        <v>37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28"/>
      <c r="W59" s="35"/>
      <c r="X59" s="29"/>
      <c r="Y59" s="76" t="str">
        <f>U31</f>
        <v xml:space="preserve">ПП2020РД-1.2-61.17-ОВ3.СО изм.  лист </v>
      </c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</row>
    <row r="60" spans="1:77" ht="16.2" customHeight="1" x14ac:dyDescent="0.25">
      <c r="A60" s="8" t="s">
        <v>38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34"/>
      <c r="M60" s="24"/>
      <c r="N60" s="113" t="s">
        <v>112</v>
      </c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Y60" t="s">
        <v>87</v>
      </c>
    </row>
    <row r="61" spans="1:7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Y61" t="s">
        <v>88</v>
      </c>
    </row>
    <row r="62" spans="1:77" x14ac:dyDescent="0.25">
      <c r="A62" s="8" t="s">
        <v>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7" x14ac:dyDescent="0.25">
      <c r="A63" s="8" t="s">
        <v>12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4" t="str">
        <f>BJ19</f>
        <v>Журавлев Ю.С.</v>
      </c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8"/>
      <c r="AP63" s="8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8"/>
      <c r="BG63" s="8"/>
      <c r="BH63" s="66">
        <f>AE17</f>
        <v>45337</v>
      </c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12"/>
    </row>
    <row r="64" spans="1:77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7" t="s">
        <v>59</v>
      </c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30"/>
      <c r="AP64" s="30"/>
      <c r="AQ64" s="67" t="s">
        <v>40</v>
      </c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30"/>
      <c r="BG64" s="30"/>
      <c r="BH64" s="67" t="s">
        <v>41</v>
      </c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26"/>
    </row>
    <row r="65" spans="1:72" x14ac:dyDescent="0.25">
      <c r="A65" s="8" t="s">
        <v>42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6" spans="1:72" ht="16.8" customHeight="1" x14ac:dyDescent="0.25">
      <c r="A66" s="8" t="s">
        <v>43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64" t="str">
        <f>BJ21</f>
        <v>Халыгов Э. А.</v>
      </c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8"/>
      <c r="AP66" s="8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8"/>
      <c r="BG66" s="8"/>
      <c r="BH66" s="66">
        <f>BH63</f>
        <v>45337</v>
      </c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12"/>
    </row>
    <row r="67" spans="1:7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7" t="s">
        <v>59</v>
      </c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30"/>
      <c r="AP67" s="30"/>
      <c r="AQ67" s="67" t="s">
        <v>40</v>
      </c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30"/>
      <c r="BG67" s="30"/>
      <c r="BH67" s="67" t="s">
        <v>41</v>
      </c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12"/>
    </row>
    <row r="68" spans="1:72" x14ac:dyDescent="0.25">
      <c r="A68" s="8" t="s">
        <v>39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2"/>
    </row>
    <row r="69" spans="1:72" x14ac:dyDescent="0.25">
      <c r="A69" s="8" t="s">
        <v>44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1" t="str">
        <f>BJ23</f>
        <v>Тюкин Е.В.</v>
      </c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"/>
      <c r="AP69" s="8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8"/>
      <c r="BG69" s="8"/>
      <c r="BH69" s="66">
        <f>BH63</f>
        <v>45337</v>
      </c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12"/>
    </row>
    <row r="70" spans="1:7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7" t="s">
        <v>59</v>
      </c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30"/>
      <c r="AP70" s="30"/>
      <c r="AQ70" s="67" t="s">
        <v>40</v>
      </c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30"/>
      <c r="BG70" s="30"/>
      <c r="BH70" s="67" t="s">
        <v>41</v>
      </c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12"/>
    </row>
    <row r="71" spans="1:72" x14ac:dyDescent="0.25">
      <c r="A71" s="13"/>
      <c r="B71" s="13"/>
      <c r="C71" s="13"/>
      <c r="D71" s="7"/>
      <c r="E71" s="7"/>
      <c r="F71" s="7"/>
      <c r="G71" s="7"/>
      <c r="H71" s="7"/>
      <c r="I71" s="7"/>
      <c r="J71" s="7"/>
      <c r="K71" s="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2"/>
    </row>
    <row r="72" spans="1:72" x14ac:dyDescent="0.25">
      <c r="A72" s="77" t="s">
        <v>107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13"/>
      <c r="AN72" s="13"/>
      <c r="AO72" s="8"/>
      <c r="AP72" s="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8"/>
      <c r="BG72" s="8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12"/>
    </row>
    <row r="73" spans="1:72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10"/>
      <c r="AN73" s="10"/>
      <c r="AO73" s="8"/>
      <c r="AP73" s="8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"/>
      <c r="BG73" s="8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12"/>
    </row>
    <row r="74" spans="1:72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2"/>
    </row>
  </sheetData>
  <mergeCells count="86">
    <mergeCell ref="X70:AN70"/>
    <mergeCell ref="AQ70:BE70"/>
    <mergeCell ref="BH70:BS70"/>
    <mergeCell ref="A72:AL74"/>
    <mergeCell ref="AQ72:BE72"/>
    <mergeCell ref="BH72:BS72"/>
    <mergeCell ref="AQ73:BE73"/>
    <mergeCell ref="BH73:BS73"/>
    <mergeCell ref="X67:AN67"/>
    <mergeCell ref="AQ67:BE67"/>
    <mergeCell ref="BH67:BS67"/>
    <mergeCell ref="X69:AN69"/>
    <mergeCell ref="AQ69:BE69"/>
    <mergeCell ref="BH69:BS69"/>
    <mergeCell ref="N60:BT60"/>
    <mergeCell ref="X64:AN64"/>
    <mergeCell ref="AQ64:BE64"/>
    <mergeCell ref="BH64:BS64"/>
    <mergeCell ref="X66:AN66"/>
    <mergeCell ref="AQ66:BE66"/>
    <mergeCell ref="BH66:BS66"/>
    <mergeCell ref="AJ49:AS49"/>
    <mergeCell ref="AT49:BT49"/>
    <mergeCell ref="D44:BT44"/>
    <mergeCell ref="D45:BT45"/>
    <mergeCell ref="X63:AN63"/>
    <mergeCell ref="AQ63:BE63"/>
    <mergeCell ref="BH63:BS63"/>
    <mergeCell ref="Q50:BT50"/>
    <mergeCell ref="AA51:BT51"/>
    <mergeCell ref="A52:BT52"/>
    <mergeCell ref="A53:BT53"/>
    <mergeCell ref="A54:BT54"/>
    <mergeCell ref="V55:BT55"/>
    <mergeCell ref="AD57:BT57"/>
    <mergeCell ref="J58:BT58"/>
    <mergeCell ref="Y59:BT59"/>
    <mergeCell ref="A41:BT41"/>
    <mergeCell ref="D43:BT43"/>
    <mergeCell ref="D46:BT46"/>
    <mergeCell ref="Y47:BT47"/>
    <mergeCell ref="Y48:BT48"/>
    <mergeCell ref="BY25:CE26"/>
    <mergeCell ref="E26:BT26"/>
    <mergeCell ref="A27:BT27"/>
    <mergeCell ref="D42:BT42"/>
    <mergeCell ref="A30:BT30"/>
    <mergeCell ref="U31:BT31"/>
    <mergeCell ref="P32:BT32"/>
    <mergeCell ref="U33:BT33"/>
    <mergeCell ref="A34:BT34"/>
    <mergeCell ref="AK35:BT35"/>
    <mergeCell ref="AK36:BT36"/>
    <mergeCell ref="A37:BT37"/>
    <mergeCell ref="BY33:CE41"/>
    <mergeCell ref="A38:BT38"/>
    <mergeCell ref="A39:BT39"/>
    <mergeCell ref="A40:BT40"/>
    <mergeCell ref="A28:BT28"/>
    <mergeCell ref="A29:BT29"/>
    <mergeCell ref="T20:BJ20"/>
    <mergeCell ref="S21:BI21"/>
    <mergeCell ref="BJ21:BT21"/>
    <mergeCell ref="T22:BJ22"/>
    <mergeCell ref="S23:BI23"/>
    <mergeCell ref="BJ23:BT23"/>
    <mergeCell ref="T24:BJ24"/>
    <mergeCell ref="O25:BP25"/>
    <mergeCell ref="S19:BI19"/>
    <mergeCell ref="BJ19:BT19"/>
    <mergeCell ref="AH6:BT7"/>
    <mergeCell ref="G7:H7"/>
    <mergeCell ref="I7:O7"/>
    <mergeCell ref="AF9:AW9"/>
    <mergeCell ref="A10:BT10"/>
    <mergeCell ref="A12:BT12"/>
    <mergeCell ref="A13:BT13"/>
    <mergeCell ref="A14:BT14"/>
    <mergeCell ref="A16:BT16"/>
    <mergeCell ref="AE17:AT17"/>
    <mergeCell ref="A3:E3"/>
    <mergeCell ref="F3:H3"/>
    <mergeCell ref="I3:K3"/>
    <mergeCell ref="A6:E6"/>
    <mergeCell ref="F6:H6"/>
    <mergeCell ref="I6:K6"/>
  </mergeCells>
  <dataValidations count="4">
    <dataValidation type="list" showInputMessage="1" showErrorMessage="1" sqref="G7:H7" xr:uid="{00000000-0002-0000-0600-000000000000}">
      <formula1>"1,2"</formula1>
    </dataValidation>
    <dataValidation type="list" allowBlank="1" showInputMessage="1" showErrorMessage="1" sqref="F6:H6 F3:H3" xr:uid="{00000000-0002-0000-0600-000001000000}">
      <formula1>"I.I,I.II,II,III,IV,V,V.I,V.II"</formula1>
    </dataValidation>
    <dataValidation type="list" allowBlank="1" showInputMessage="1" showErrorMessage="1" sqref="N25" xr:uid="{00000000-0002-0000-0600-000002000000}">
      <formula1>"выборочный,сплошной"</formula1>
    </dataValidation>
    <dataValidation type="list" errorStyle="information" allowBlank="1" showInputMessage="1" sqref="O25:BP25" xr:uid="{00000000-0002-0000-06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6" max="71" man="1"/>
    <brk id="74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600-000004000000}">
          <x14:formula1>
            <xm:f>'Лист общих данных'!$B$6:$B$12</xm:f>
          </x14:formula1>
          <xm:sqref>S33:U33</xm:sqref>
        </x14:dataValidation>
        <x14:dataValidation type="list" errorStyle="information" allowBlank="1" showInputMessage="1" xr:uid="{00000000-0002-0000-0600-000005000000}">
          <x14:formula1>
            <xm:f>'Лист общих данных'!$C$6:$C$12</xm:f>
          </x14:formula1>
          <xm:sqref>T31:U31</xm:sqref>
        </x14:dataValidation>
        <x14:dataValidation type="list" allowBlank="1" showInputMessage="1" showErrorMessage="1" xr:uid="{00000000-0002-0000-0600-000006000000}">
          <x14:formula1>
            <xm:f>подписанты!$B$3:$B$4</xm:f>
          </x14:formula1>
          <xm:sqref>BJ19:BT19</xm:sqref>
        </x14:dataValidation>
        <x14:dataValidation type="list" allowBlank="1" showInputMessage="1" showErrorMessage="1" xr:uid="{00000000-0002-0000-0600-000007000000}">
          <x14:formula1>
            <xm:f>подписанты!$B$5:$B$7</xm:f>
          </x14:formula1>
          <xm:sqref>BJ21:BT21</xm:sqref>
        </x14:dataValidation>
        <x14:dataValidation type="list" allowBlank="1" showInputMessage="1" showErrorMessage="1" xr:uid="{00000000-0002-0000-0600-000008000000}">
          <x14:formula1>
            <xm:f>подписанты!$B$8:$B$9</xm:f>
          </x14:formula1>
          <xm:sqref>BJ23:BT23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12"/>
  <sheetViews>
    <sheetView topLeftCell="B1" workbookViewId="0">
      <selection activeCell="C11" sqref="C11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108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  <c r="B11" s="53" t="s">
        <v>109</v>
      </c>
      <c r="C11" s="45" t="s">
        <v>78</v>
      </c>
    </row>
    <row r="12" spans="1:6" x14ac:dyDescent="0.25">
      <c r="A12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123р труба ппр, фитинги</vt:lpstr>
      <vt:lpstr>126р</vt:lpstr>
      <vt:lpstr>подписанты</vt:lpstr>
      <vt:lpstr>Лист общих данных</vt:lpstr>
      <vt:lpstr>'123р труба ппр, фитинги'!Область_печати</vt:lpstr>
      <vt:lpstr>'126р'!Область_печати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2026-02-25T15:09:32Z</cp:lastPrinted>
  <dcterms:created xsi:type="dcterms:W3CDTF">2023-09-19T09:44:50Z</dcterms:created>
  <dcterms:modified xsi:type="dcterms:W3CDTF">2026-02-25T15:10:19Z</dcterms:modified>
</cp:coreProperties>
</file>