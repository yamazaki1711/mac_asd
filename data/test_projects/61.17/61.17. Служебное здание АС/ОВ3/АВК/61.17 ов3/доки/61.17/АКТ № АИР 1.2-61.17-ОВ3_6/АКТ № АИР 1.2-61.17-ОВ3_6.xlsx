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sha\Desktop\job\левашово\АКТЫ\Акты ОВ3\61.17\АКТ № АИР 1.2-61.17-ОВ3_6\"/>
    </mc:Choice>
  </mc:AlternateContent>
  <xr:revisionPtr revIDLastSave="0" documentId="13_ncr:1_{0BF3B7A7-3904-4B94-BCA3-61ECABB88EF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23р труба ппр, фитинги" sheetId="24" r:id="rId1"/>
    <sheet name="126р" sheetId="26" r:id="rId2"/>
    <sheet name="подписанты" sheetId="8" r:id="rId3"/>
    <sheet name="Лист общих данных" sheetId="2" r:id="rId4"/>
  </sheets>
  <definedNames>
    <definedName name="_xlnm.Print_Area" localSheetId="0">'123р труба ппр, фитинги'!$A$1:$BT$99</definedName>
    <definedName name="_xlnm.Print_Area" localSheetId="1">'126р'!$A$1:$BT$82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7" i="26" l="1"/>
  <c r="A61" i="26"/>
  <c r="A62" i="26"/>
  <c r="A63" i="26"/>
  <c r="A64" i="26"/>
  <c r="A74" i="24" l="1"/>
  <c r="A75" i="24"/>
  <c r="A76" i="24"/>
  <c r="A77" i="24"/>
  <c r="A78" i="24"/>
  <c r="D58" i="24"/>
  <c r="D62" i="24"/>
  <c r="D63" i="24"/>
  <c r="D64" i="24"/>
  <c r="A73" i="24" l="1"/>
  <c r="X79" i="26" l="1"/>
  <c r="X76" i="26"/>
  <c r="BH73" i="26"/>
  <c r="BH76" i="26" s="1"/>
  <c r="X73" i="26"/>
  <c r="Y69" i="26"/>
  <c r="A60" i="26"/>
  <c r="A59" i="26"/>
  <c r="A58" i="26"/>
  <c r="Q56" i="26"/>
  <c r="S23" i="26"/>
  <c r="S21" i="26"/>
  <c r="S19" i="26"/>
  <c r="BW17" i="26"/>
  <c r="BH79" i="26" l="1"/>
  <c r="A72" i="24"/>
  <c r="D59" i="24"/>
  <c r="D60" i="24"/>
  <c r="D61" i="24"/>
  <c r="X95" i="24"/>
  <c r="X92" i="24"/>
  <c r="BH89" i="24"/>
  <c r="BH92" i="24" s="1"/>
  <c r="X89" i="24"/>
  <c r="Y83" i="24"/>
  <c r="A71" i="24"/>
  <c r="AA70" i="24"/>
  <c r="Q69" i="24"/>
  <c r="D57" i="24"/>
  <c r="S28" i="24"/>
  <c r="S26" i="24"/>
  <c r="S24" i="24"/>
  <c r="BW22" i="24"/>
  <c r="BH95" i="24" l="1"/>
</calcChain>
</file>

<file path=xl/sharedStrings.xml><?xml version="1.0" encoding="utf-8"?>
<sst xmlns="http://schemas.openxmlformats.org/spreadsheetml/2006/main" count="272" uniqueCount="165">
  <si>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</si>
  <si>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</si>
  <si>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</si>
  <si>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</si>
  <si>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</si>
  <si>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</si>
  <si>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</si>
  <si>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</si>
  <si>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</si>
  <si>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</si>
  <si>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</si>
  <si>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</si>
  <si>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</si>
  <si>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</si>
  <si>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</si>
  <si>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</si>
  <si>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</si>
  <si>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</si>
  <si>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</si>
  <si>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</si>
  <si>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</si>
  <si>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</si>
  <si>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</si>
  <si>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</si>
  <si>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</si>
  <si>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</si>
  <si>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</si>
  <si>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</si>
  <si>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</si>
  <si>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</si>
  <si>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</si>
  <si>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</si>
  <si>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</si>
  <si>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</si>
  <si>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</si>
  <si>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</si>
  <si>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</si>
  <si>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</si>
  <si>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</si>
  <si>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</si>
  <si>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</si>
  <si>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</si>
  <si>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</si>
  <si>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</si>
  <si>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</si>
  <si>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</si>
  <si>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</si>
  <si>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</si>
  <si>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</si>
  <si>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</si>
  <si>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</si>
  <si>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</si>
  <si>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</si>
  <si>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</si>
  <si>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</si>
  <si>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</si>
  <si>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</si>
  <si>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</si>
  <si>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</si>
  <si>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</si>
  <si>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</si>
  <si>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</si>
  <si>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</si>
  <si>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>Кострова Н.Л.</t>
  </si>
  <si>
    <t>Руководитель группы МТО АО «Газстройпроект»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</si>
  <si>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</si>
  <si>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</si>
  <si>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</si>
  <si>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</si>
  <si>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</si>
  <si>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</si>
  <si>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</si>
  <si>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</si>
  <si>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</si>
  <si>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</si>
  <si>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</si>
  <si>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</si>
  <si>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</si>
  <si>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</si>
  <si>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</si>
  <si>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</si>
  <si>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Шифр РД, изм., листы, 
Учётный лист ЖАН, письмо ООО "Газпром Инвест", письмо ООО "Транссроймеханизации" - при наличии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</si>
  <si>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</si>
  <si>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</si>
  <si>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</si>
  <si>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</si>
  <si>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</si>
  <si>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</si>
  <si>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</si>
  <si>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</si>
  <si>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</si>
  <si>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</si>
  <si>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</si>
  <si>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</si>
  <si>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</si>
  <si>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</si>
  <si>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</si>
  <si>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</si>
  <si>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</si>
  <si>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</si>
  <si>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</si>
  <si>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</si>
  <si>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</si>
  <si>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</si>
  <si>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</si>
  <si>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</si>
  <si>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</si>
  <si>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</si>
  <si>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Ведущий инженер отдела технического надзора АО «Газстройпроект»</t>
  </si>
  <si>
    <t>Тишаков ? ?</t>
  </si>
  <si>
    <t>Ø20, Ø25, Ø32</t>
  </si>
  <si>
    <t>АИР 1.2-61.17-ОВ3/5</t>
  </si>
  <si>
    <t>АИР 1.2-61.17-ОВ3/6</t>
  </si>
  <si>
    <t>Труба PP-R SDR11: Ø20, Ø25, Ø32;</t>
  </si>
  <si>
    <t>Капиллярная трубка (шланг однослойный ПВХ) Ø6;</t>
  </si>
  <si>
    <t>Труба ПВХ гофрированная d16;</t>
  </si>
  <si>
    <r>
      <t>Отвод 90</t>
    </r>
    <r>
      <rPr>
        <b/>
        <sz val="11"/>
        <rFont val="Calibri"/>
        <family val="2"/>
        <charset val="204"/>
      </rPr>
      <t>°</t>
    </r>
    <r>
      <rPr>
        <b/>
        <sz val="11"/>
        <rFont val="Times New Roman"/>
        <family val="1"/>
        <charset val="204"/>
      </rPr>
      <t>: Ø20, Ø25, Ø32;</t>
    </r>
  </si>
  <si>
    <t>Отвод 45°: Ø20, Ø32;</t>
  </si>
  <si>
    <t>Тройник PPR: Ø20/Ø20/Ø20, Ø25/Ø20/Ø25, Ø32/Ø20/Ø32, Ø32/Ø32/Ø32;</t>
  </si>
  <si>
    <t>Переход PPR : Ø25/Ø20, Ø32/Ø20, Ø32/Ø25;</t>
  </si>
  <si>
    <t>Заглушка PPR Ø20.</t>
  </si>
  <si>
    <t>Труба PP-R SDR11: Ø20 - 21,4 м, Ø25 - 4,43 м, Ø32 - 28,4 м;</t>
  </si>
  <si>
    <t>Капиллярная трубка (шланг однослойный ПВХ) Ø6 - 7,6 м;</t>
  </si>
  <si>
    <t>Труба ПВХ гофрированная d16 - 7,6 м;</t>
  </si>
  <si>
    <t>Отвод 90°: Ø20 - 14 шт., Ø25 - 1 шт., Ø32 - 4 шт.;</t>
  </si>
  <si>
    <t>Отвод 45°: Ø20 - 2 шт., Ø32 - 3 шт.;</t>
  </si>
  <si>
    <t>Тройник PPR: Ø20/Ø20/Ø20 - 4 шт., Ø25/Ø20/Ø25 - 4 шт., Ø32/Ø20/Ø32 - 6 шт., Ø32/Ø32/Ø32 - 2 шт.;</t>
  </si>
  <si>
    <t>Переход PPR : Ø25/Ø20 - 2 шт., Ø32/Ø20 - 1 шт., Ø32/Ø25 -3 шт.;</t>
  </si>
  <si>
    <t>Заглушка PPR Ø20 - 11 шт.</t>
  </si>
  <si>
    <t xml:space="preserve">                                (паспорта,  сертификаты)</t>
  </si>
  <si>
    <t>Паспорт качества б/н от 19.12.2023 г.;</t>
  </si>
  <si>
    <t>Сертификат соответствия № РОСС RU.HA39.H00401/22 с 08.09.2022 г. по 07.09.2025 г.;</t>
  </si>
  <si>
    <t>Сертификат соответствия № РОСС RU.АЖ49.Н01493 с 08.06.2021 г. по 07.06.2024 г.;</t>
  </si>
  <si>
    <t>Технический паспорт изделия № ПС-42982 от 29.11.2023 г.;</t>
  </si>
  <si>
    <t>Паспорт качества № 91916 от 29.09.2023 г.;</t>
  </si>
  <si>
    <t>Сертификат соответствия № ЕАЭС RU C-RU.ПБ68.В.00559/21 с 04.10.2021 г. по 15.03.2026 г.;</t>
  </si>
  <si>
    <t>Паспорт,техническое описание и инструкция по эксплуатации б/н от 26.10.2023 г.;</t>
  </si>
  <si>
    <t>Декларация о соответствии № РОСС RU Д-RU.РА01.В.13131/23 с 13.04.2023 г. по 12.04.2026 г.;</t>
  </si>
  <si>
    <t>Свидетельство о государственной регистрации № RU.23.КК.08.013.Е.000022.01.17 от 23.01.2017 г.</t>
  </si>
  <si>
    <t xml:space="preserve">ГОСТ 32415-2013; ТУ 2248-003-78044889-2013; ГОСТ 30244-94; ГОСТ Р 30244-94; ГОСТ Р 30402-96; </t>
  </si>
  <si>
    <t xml:space="preserve">ГОСТ 12.1.044-89; ГОСТ Р 12.1.044-89; ГОСТ Р 51032-97; ТУ 2247-008-47022248-2002; ТР ЕАЭС 043/2017; </t>
  </si>
  <si>
    <t>ТУ 2248-001-16965449-2016; ТУ 2248-004-16965449-2016</t>
  </si>
  <si>
    <t>ПП2020РД-1.2-61.17-ОВ3, ПП2020РД-1.2-61.17-ОВ3.СО изм.2, л. 2-3</t>
  </si>
  <si>
    <t>Резиновая манжета Ø50/Ø32;</t>
  </si>
  <si>
    <t>Труба стальная электросварная (для гильз): 51х1,5 г/к, 76х1,5 г/к;</t>
  </si>
  <si>
    <t>Огнестойкая монтажная пена класс В1.</t>
  </si>
  <si>
    <t>ПП2020РД-1.2-61.17-ОВ3, ПП2020РД-1.2-61.17-ОВ3.СО изм. 2  лист 3</t>
  </si>
  <si>
    <t>Труба стальная электросварная (для гильз): 51х1,5 г/к - 7,5 м, 76х1,5 г/к - 0,6 м;</t>
  </si>
  <si>
    <t>Огнестойкая монтажная пена класс В1 - 3 л.</t>
  </si>
  <si>
    <t>Паспорт изделия б/н от 11.10.2023 г.;</t>
  </si>
  <si>
    <t>Информационное письмо Исх. № ОТК/109 от 10.09.2018 г.;</t>
  </si>
  <si>
    <t>Технический паспорт и руководство по эксплуатации б/н от 12.10.2023 г.;</t>
  </si>
  <si>
    <t>Информационное письмо Исх. № 1523/Л от 26.01.2022 г.;</t>
  </si>
  <si>
    <t>Сертификат качества № 20-009-008390-23 от 22.11.2023 г.;</t>
  </si>
  <si>
    <t>Сертификат соответствия № ЮАЧ1.RU.1406.H.00200 с 25.11.2022 г. по 24.11.2025 г.;</t>
  </si>
  <si>
    <t>Паспорт качества № 548 от 27.09.2023 г.;</t>
  </si>
  <si>
    <t>Сертификат соответствия № НСОПБ.PL.ЭО.ПР.179.Н.00388 с 03.08.2021 г. по 02.08.2026 г.</t>
  </si>
  <si>
    <t>ГОСТ 10705-80; ГОСТ 3262-75; ГОСТ 10704-91; ГОСТ 30247.1-94; ГОСТ 30247.0-94.</t>
  </si>
  <si>
    <t>Резиновая манжета - 3 шт.;</t>
  </si>
  <si>
    <t>Компрессионное соединение Ø110/Ø50;</t>
  </si>
  <si>
    <t>Компрессионное соединение - 3 шт.;</t>
  </si>
  <si>
    <t xml:space="preserve">компрессионное соединение Ø110/Ø50; манжета Ø50/Ø32; </t>
  </si>
  <si>
    <t>труба Ø51х1,5, Ø76х1,5.</t>
  </si>
  <si>
    <t>Компрессионное соединение;</t>
  </si>
  <si>
    <t>Резиновая манжета;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</si>
</sst>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6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  <font>
      <b/>
      <sz val="10"/>
      <name val="Times New Roman"/>
      <family val="1"/>
      <charset val="204"/>
    </font>
    <font>
      <b/>
      <sz val="11"/>
      <name val="Times New Roman"/>
      <family val="1"/>
      <charset val="204"/>
      <scheme val="major"/>
    </font>
    <font>
      <b/>
      <sz val="11"/>
      <name val="Times New Roman"/>
      <family val="1"/>
      <charset val="204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7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14" fontId="14" fillId="2" borderId="0" xfId="1" applyNumberFormat="1" applyFont="1" applyFill="1" applyAlignment="1">
      <alignment horizontal="center" vertical="center" wrapText="1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2" fillId="2" borderId="0" xfId="1" applyFont="1" applyFill="1" applyAlignment="1">
      <alignment horizontal="left" wrapText="1"/>
    </xf>
    <xf numFmtId="14" fontId="14" fillId="2" borderId="0" xfId="1" applyNumberFormat="1" applyFont="1" applyFill="1" applyBorder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horizontal="right"/>
    </xf>
    <xf numFmtId="0" fontId="16" fillId="2" borderId="2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0" fontId="16" fillId="2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4" fillId="2" borderId="0" xfId="1" applyFont="1" applyFill="1" applyAlignment="1">
      <alignment horizontal="left" vertical="top" wrapText="1"/>
    </xf>
    <xf numFmtId="0" fontId="12" fillId="2" borderId="0" xfId="1" applyFont="1" applyFill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165" fontId="12" fillId="3" borderId="1" xfId="1" applyNumberFormat="1" applyFont="1" applyFill="1" applyBorder="1" applyAlignment="1">
      <alignment horizontal="center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3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16" fillId="2" borderId="2" xfId="1" applyFont="1" applyFill="1" applyBorder="1" applyAlignment="1">
      <alignment horizontal="left" vertical="top"/>
    </xf>
    <xf numFmtId="0" fontId="11" fillId="3" borderId="0" xfId="1" applyFont="1" applyFill="1" applyAlignment="1">
      <alignment horizontal="left"/>
    </xf>
    <xf numFmtId="0" fontId="16" fillId="2" borderId="0" xfId="1" applyFont="1" applyFill="1" applyAlignment="1">
      <alignment horizontal="right" vertical="top" wrapText="1"/>
    </xf>
    <xf numFmtId="165" fontId="14" fillId="3" borderId="1" xfId="1" applyNumberFormat="1" applyFont="1" applyFill="1" applyBorder="1" applyAlignment="1">
      <alignment horizontal="left" vertical="top" wrapText="1"/>
    </xf>
    <xf numFmtId="0" fontId="22" fillId="4" borderId="1" xfId="1" applyFont="1" applyFill="1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14" fontId="14" fillId="3" borderId="1" xfId="1" applyNumberFormat="1" applyFont="1" applyFill="1" applyBorder="1" applyAlignment="1">
      <alignment horizontal="left" vertical="center" wrapText="1"/>
    </xf>
    <xf numFmtId="0" fontId="17" fillId="0" borderId="2" xfId="1" applyFont="1" applyBorder="1" applyAlignment="1">
      <alignment horizontal="center" vertical="top"/>
    </xf>
    <xf numFmtId="0" fontId="24" fillId="4" borderId="1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center" vertical="center" wrapText="1"/>
    </xf>
    <xf numFmtId="0" fontId="14" fillId="4" borderId="1" xfId="1" applyFont="1" applyFill="1" applyBorder="1" applyAlignment="1">
      <alignment horizontal="left"/>
    </xf>
    <xf numFmtId="0" fontId="16" fillId="2" borderId="0" xfId="1" applyFont="1" applyFill="1" applyAlignment="1">
      <alignment horizontal="center" vertical="center"/>
    </xf>
    <xf numFmtId="14" fontId="14" fillId="4" borderId="1" xfId="1" applyNumberFormat="1" applyFont="1" applyFill="1" applyBorder="1" applyAlignment="1">
      <alignment horizontal="left" vertical="center" wrapText="1"/>
    </xf>
    <xf numFmtId="14" fontId="14" fillId="2" borderId="2" xfId="1" applyNumberFormat="1" applyFont="1" applyFill="1" applyBorder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14" fontId="23" fillId="4" borderId="1" xfId="1" applyNumberFormat="1" applyFont="1" applyFill="1" applyBorder="1" applyAlignment="1">
      <alignment horizontal="left" vertical="center" wrapText="1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4" fontId="14" fillId="4" borderId="3" xfId="1" applyNumberFormat="1" applyFont="1" applyFill="1" applyBorder="1" applyAlignment="1">
      <alignment horizontal="left" vertical="center" wrapText="1"/>
    </xf>
    <xf numFmtId="0" fontId="11" fillId="2" borderId="0" xfId="1" applyFont="1" applyFill="1" applyAlignment="1">
      <alignment horizontal="center"/>
    </xf>
    <xf numFmtId="14" fontId="14" fillId="4" borderId="1" xfId="1" applyNumberFormat="1" applyFont="1" applyFill="1" applyBorder="1" applyAlignment="1">
      <alignment horizontal="left" vertical="top" wrapText="1"/>
    </xf>
    <xf numFmtId="14" fontId="14" fillId="2" borderId="0" xfId="1" applyNumberFormat="1" applyFont="1" applyFill="1" applyAlignment="1">
      <alignment horizontal="center" wrapText="1"/>
    </xf>
    <xf numFmtId="164" fontId="14" fillId="4" borderId="1" xfId="1" applyNumberFormat="1" applyFont="1" applyFill="1" applyBorder="1" applyAlignment="1">
      <alignment horizontal="center"/>
    </xf>
    <xf numFmtId="0" fontId="22" fillId="4" borderId="3" xfId="1" applyFont="1" applyFill="1" applyBorder="1" applyAlignment="1">
      <alignment horizontal="left" wrapText="1"/>
    </xf>
    <xf numFmtId="0" fontId="12" fillId="0" borderId="0" xfId="1" applyFont="1" applyBorder="1" applyAlignment="1">
      <alignment horizontal="center"/>
    </xf>
    <xf numFmtId="0" fontId="12" fillId="3" borderId="0" xfId="1" applyFont="1" applyFill="1" applyAlignment="1">
      <alignment horizontal="left" wrapText="1"/>
    </xf>
    <xf numFmtId="0" fontId="14" fillId="4" borderId="1" xfId="1" applyFont="1" applyFill="1" applyBorder="1" applyAlignment="1">
      <alignment horizontal="left" vertical="center" wrapText="1"/>
    </xf>
    <xf numFmtId="0" fontId="14" fillId="4" borderId="3" xfId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19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961120" y="1783080"/>
          <a:ext cx="1520190" cy="37147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29</xdr:row>
      <xdr:rowOff>0</xdr:rowOff>
    </xdr:from>
    <xdr:to>
      <xdr:col>75</xdr:col>
      <xdr:colOff>521970</xdr:colOff>
      <xdr:row>30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671560" y="405384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40</xdr:row>
      <xdr:rowOff>0</xdr:rowOff>
    </xdr:from>
    <xdr:to>
      <xdr:col>75</xdr:col>
      <xdr:colOff>521970</xdr:colOff>
      <xdr:row>42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671560" y="47853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45</xdr:row>
      <xdr:rowOff>0</xdr:rowOff>
    </xdr:from>
    <xdr:to>
      <xdr:col>75</xdr:col>
      <xdr:colOff>521970</xdr:colOff>
      <xdr:row>54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671560" y="5661660"/>
          <a:ext cx="152019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78</xdr:row>
      <xdr:rowOff>0</xdr:rowOff>
    </xdr:from>
    <xdr:to>
      <xdr:col>75</xdr:col>
      <xdr:colOff>521970</xdr:colOff>
      <xdr:row>79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671560" y="77647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91</xdr:row>
      <xdr:rowOff>0</xdr:rowOff>
    </xdr:from>
    <xdr:to>
      <xdr:col>75</xdr:col>
      <xdr:colOff>521970</xdr:colOff>
      <xdr:row>93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671560" y="969264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14</xdr:row>
      <xdr:rowOff>0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961120" y="1783080"/>
          <a:ext cx="1520190" cy="7829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24</xdr:row>
      <xdr:rowOff>0</xdr:rowOff>
    </xdr:from>
    <xdr:to>
      <xdr:col>75</xdr:col>
      <xdr:colOff>521970</xdr:colOff>
      <xdr:row>25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671560" y="4526280"/>
          <a:ext cx="152019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32</xdr:row>
      <xdr:rowOff>0</xdr:rowOff>
    </xdr:from>
    <xdr:to>
      <xdr:col>75</xdr:col>
      <xdr:colOff>521970</xdr:colOff>
      <xdr:row>36</xdr:row>
      <xdr:rowOff>38100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671560" y="6339840"/>
          <a:ext cx="1520190" cy="73914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51</xdr:row>
      <xdr:rowOff>0</xdr:rowOff>
    </xdr:from>
    <xdr:to>
      <xdr:col>75</xdr:col>
      <xdr:colOff>521970</xdr:colOff>
      <xdr:row>53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8671560" y="8793480"/>
          <a:ext cx="152019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67</xdr:row>
      <xdr:rowOff>0</xdr:rowOff>
    </xdr:from>
    <xdr:to>
      <xdr:col>75</xdr:col>
      <xdr:colOff>521970</xdr:colOff>
      <xdr:row>69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8671560" y="10896600"/>
          <a:ext cx="1520190" cy="41719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CE100"/>
  <sheetViews>
    <sheetView view="pageBreakPreview" zoomScale="85" zoomScaleNormal="100" zoomScaleSheetLayoutView="85" workbookViewId="0">
      <selection activeCell="BV25" sqref="BV25"/>
    </sheetView>
  </sheetViews>
  <sheetFormatPr defaultRowHeight="13.8" x14ac:dyDescent="0.25"/>
  <cols>
    <col min="1" max="12" width="1.44140625" customWidth="1"/>
    <col min="13" max="13" width="2.33203125" customWidth="1"/>
    <col min="14" max="34" width="1.44140625" customWidth="1"/>
    <col min="35" max="36" width="2" customWidth="1"/>
    <col min="37" max="70" width="1.44140625" customWidth="1"/>
    <col min="71" max="71" width="6.5546875" customWidth="1"/>
    <col min="72" max="72" width="5.55468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3" t="s">
        <v>4</v>
      </c>
      <c r="B3" s="73"/>
      <c r="C3" s="73"/>
      <c r="D3" s="73"/>
      <c r="E3" s="73"/>
      <c r="F3" s="101" t="s">
        <v>5</v>
      </c>
      <c r="G3" s="101"/>
      <c r="H3" s="101"/>
      <c r="I3" s="102" t="s">
        <v>6</v>
      </c>
      <c r="J3" s="102"/>
      <c r="K3" s="10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73"/>
      <c r="B6" s="73"/>
      <c r="C6" s="73"/>
      <c r="D6" s="73"/>
      <c r="E6" s="73"/>
      <c r="F6" s="101"/>
      <c r="G6" s="101"/>
      <c r="H6" s="101"/>
      <c r="I6" s="102"/>
      <c r="J6" s="102"/>
      <c r="K6" s="102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2" x14ac:dyDescent="0.25">
      <c r="A7" s="8"/>
      <c r="B7" s="8"/>
      <c r="C7" s="8"/>
      <c r="D7" s="8"/>
      <c r="E7" s="8"/>
      <c r="F7" s="8"/>
      <c r="G7" s="104"/>
      <c r="H7" s="104"/>
      <c r="I7" s="102"/>
      <c r="J7" s="102"/>
      <c r="K7" s="102"/>
      <c r="L7" s="102"/>
      <c r="M7" s="102"/>
      <c r="N7" s="102"/>
      <c r="O7" s="10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5" t="s">
        <v>111</v>
      </c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6" t="s">
        <v>45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95" t="s">
        <v>113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</row>
    <row r="13" spans="1:72" ht="16.2" customHeight="1" x14ac:dyDescent="0.25">
      <c r="A13" s="107" t="s">
        <v>114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7"/>
      <c r="BL13" s="107"/>
      <c r="BM13" s="107"/>
      <c r="BN13" s="107"/>
      <c r="BO13" s="107"/>
      <c r="BP13" s="107"/>
      <c r="BQ13" s="107"/>
      <c r="BR13" s="107"/>
      <c r="BS13" s="107"/>
      <c r="BT13" s="107"/>
    </row>
    <row r="14" spans="1:72" ht="16.2" customHeight="1" x14ac:dyDescent="0.25">
      <c r="A14" s="100" t="s">
        <v>115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</row>
    <row r="15" spans="1:72" ht="16.2" customHeight="1" x14ac:dyDescent="0.25">
      <c r="A15" s="95" t="s">
        <v>116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</row>
    <row r="16" spans="1:72" ht="16.2" customHeight="1" x14ac:dyDescent="0.25">
      <c r="A16" s="107" t="s">
        <v>117</v>
      </c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</row>
    <row r="17" spans="1:83" ht="16.2" customHeight="1" x14ac:dyDescent="0.25">
      <c r="A17" s="107" t="s">
        <v>118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</row>
    <row r="18" spans="1:83" ht="16.2" customHeight="1" x14ac:dyDescent="0.25">
      <c r="A18" s="107" t="s">
        <v>119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07"/>
      <c r="AT18" s="107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</row>
    <row r="19" spans="1:83" ht="16.2" customHeight="1" x14ac:dyDescent="0.25">
      <c r="A19" s="107" t="s">
        <v>120</v>
      </c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</row>
    <row r="20" spans="1:83" ht="9" customHeight="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</row>
    <row r="21" spans="1:83" ht="12" customHeight="1" x14ac:dyDescent="0.25">
      <c r="A21" s="110" t="s">
        <v>46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13" t="s">
        <v>9</v>
      </c>
      <c r="AB22" s="8"/>
      <c r="AC22" s="8"/>
      <c r="AD22" s="8"/>
      <c r="AE22" s="111">
        <v>45285</v>
      </c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6"/>
      <c r="AV22" s="16"/>
      <c r="AW22" s="16"/>
      <c r="AX22" s="16"/>
      <c r="AY22" s="16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12"/>
      <c r="BW22" s="54">
        <f>AE22</f>
        <v>45285</v>
      </c>
    </row>
    <row r="23" spans="1:83" x14ac:dyDescent="0.25">
      <c r="A23" s="8" t="s">
        <v>10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 t="s">
        <v>11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12"/>
    </row>
    <row r="24" spans="1:83" ht="13.8" customHeight="1" x14ac:dyDescent="0.25">
      <c r="A24" s="8" t="s">
        <v>12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66" t="str">
        <f>VLOOKUP(BJ24,подписанты!$B$3:$C$11,2,FALSE)</f>
        <v>Руководитель группы МТО АО «Газстройпроект»</v>
      </c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4" t="s">
        <v>63</v>
      </c>
      <c r="BK24" s="64"/>
      <c r="BL24" s="64"/>
      <c r="BM24" s="64"/>
      <c r="BN24" s="64"/>
      <c r="BO24" s="64"/>
      <c r="BP24" s="64"/>
      <c r="BQ24" s="64"/>
      <c r="BR24" s="64"/>
      <c r="BS24" s="64"/>
      <c r="BT24" s="64"/>
    </row>
    <row r="25" spans="1:83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68" t="s">
        <v>13</v>
      </c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5"/>
      <c r="BK25" s="27"/>
      <c r="BL25" s="27"/>
      <c r="BM25" s="27"/>
      <c r="BN25" s="27"/>
      <c r="BO25" s="27"/>
      <c r="BP25" s="17"/>
      <c r="BQ25" s="17"/>
      <c r="BR25" s="17"/>
      <c r="BS25" s="17"/>
      <c r="BT25" s="17"/>
    </row>
    <row r="26" spans="1:83" ht="13.8" customHeight="1" x14ac:dyDescent="0.25">
      <c r="A26" s="8" t="s">
        <v>14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66" t="str">
        <f>VLOOKUP(BJ26,подписанты!$B$3:$C$11,2,FALSE)</f>
        <v>Инженер отдела технического надзора АО «Газстройпроект»</v>
      </c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4" t="s">
        <v>68</v>
      </c>
      <c r="BK26" s="64"/>
      <c r="BL26" s="64"/>
      <c r="BM26" s="64"/>
      <c r="BN26" s="64"/>
      <c r="BO26" s="64"/>
      <c r="BP26" s="64"/>
      <c r="BQ26" s="64"/>
      <c r="BR26" s="64"/>
      <c r="BS26" s="64"/>
      <c r="BT26" s="64"/>
    </row>
    <row r="27" spans="1:83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65" t="s">
        <v>13</v>
      </c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17"/>
      <c r="BL27" s="17"/>
      <c r="BM27" s="17"/>
      <c r="BN27" s="17"/>
      <c r="BO27" s="17"/>
      <c r="BP27" s="17"/>
      <c r="BQ27" s="17"/>
      <c r="BR27" s="17"/>
      <c r="BS27" s="17"/>
      <c r="BT27" s="17"/>
    </row>
    <row r="28" spans="1:83" ht="40.049999999999997" customHeight="1" x14ac:dyDescent="0.25">
      <c r="A28" s="8" t="s">
        <v>15</v>
      </c>
      <c r="B28" s="8"/>
      <c r="C28" s="8"/>
      <c r="D28" s="8"/>
      <c r="E28" s="8"/>
      <c r="F28" s="8"/>
      <c r="G28" s="8"/>
      <c r="H28" s="8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66" t="str">
        <f>VLOOKUP(BJ28,подписанты!$B$3:$C$11,2,FALSE)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7" t="s">
        <v>91</v>
      </c>
      <c r="BK28" s="67"/>
      <c r="BL28" s="67"/>
      <c r="BM28" s="67"/>
      <c r="BN28" s="67"/>
      <c r="BO28" s="67"/>
      <c r="BP28" s="67"/>
      <c r="BQ28" s="67"/>
      <c r="BR28" s="67"/>
      <c r="BS28" s="67"/>
      <c r="BT28" s="67"/>
    </row>
    <row r="29" spans="1:83" x14ac:dyDescent="0.25">
      <c r="A29" s="8"/>
      <c r="B29" s="8"/>
      <c r="C29" s="8"/>
      <c r="D29" s="8"/>
      <c r="E29" s="8"/>
      <c r="F29" s="8"/>
      <c r="G29" s="8"/>
      <c r="H29" s="8"/>
      <c r="I29" s="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68" t="s">
        <v>13</v>
      </c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5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spans="1:83" x14ac:dyDescent="0.25">
      <c r="A30" s="8" t="s">
        <v>16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8"/>
      <c r="O30" s="69" t="s">
        <v>89</v>
      </c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8" t="s">
        <v>17</v>
      </c>
      <c r="BR30" s="13"/>
      <c r="BS30" s="13"/>
      <c r="BT30" s="13"/>
      <c r="BY30" s="87" t="s">
        <v>80</v>
      </c>
      <c r="BZ30" s="87"/>
      <c r="CA30" s="87"/>
      <c r="CB30" s="87"/>
      <c r="CC30" s="87"/>
      <c r="CD30" s="87"/>
      <c r="CE30" s="87"/>
    </row>
    <row r="31" spans="1:83" ht="13.8" customHeight="1" x14ac:dyDescent="0.25">
      <c r="A31" s="8"/>
      <c r="B31" s="8"/>
      <c r="C31" s="8"/>
      <c r="D31" s="8"/>
      <c r="E31" s="94" t="s">
        <v>47</v>
      </c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Y31" s="87"/>
      <c r="BZ31" s="87"/>
      <c r="CA31" s="87"/>
      <c r="CB31" s="87"/>
      <c r="CC31" s="87"/>
      <c r="CD31" s="87"/>
      <c r="CE31" s="87"/>
    </row>
    <row r="32" spans="1:83" ht="16.2" customHeight="1" x14ac:dyDescent="0.25">
      <c r="A32" s="95" t="s">
        <v>121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5"/>
      <c r="BQ32" s="95"/>
      <c r="BR32" s="95"/>
      <c r="BS32" s="95"/>
      <c r="BT32" s="95"/>
      <c r="BY32" s="58"/>
      <c r="BZ32" s="58"/>
      <c r="CA32" s="58"/>
      <c r="CB32" s="58"/>
      <c r="CC32" s="58"/>
      <c r="CD32" s="58"/>
      <c r="CE32" s="58"/>
    </row>
    <row r="33" spans="1:83" ht="16.2" customHeight="1" x14ac:dyDescent="0.25">
      <c r="A33" s="100" t="s">
        <v>122</v>
      </c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5"/>
      <c r="BQ33" s="95"/>
      <c r="BR33" s="95"/>
      <c r="BS33" s="95"/>
      <c r="BT33" s="95"/>
      <c r="BY33" s="58"/>
      <c r="BZ33" s="58"/>
      <c r="CA33" s="58"/>
      <c r="CB33" s="58"/>
      <c r="CC33" s="58"/>
      <c r="CD33" s="58"/>
      <c r="CE33" s="58"/>
    </row>
    <row r="34" spans="1:83" ht="16.2" customHeight="1" x14ac:dyDescent="0.25">
      <c r="A34" s="95" t="s">
        <v>123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5"/>
      <c r="BQ34" s="95"/>
      <c r="BR34" s="95"/>
      <c r="BS34" s="95"/>
      <c r="BT34" s="95"/>
      <c r="BY34" s="58"/>
      <c r="BZ34" s="58"/>
      <c r="CA34" s="58"/>
      <c r="CB34" s="58"/>
      <c r="CC34" s="58"/>
      <c r="CD34" s="58"/>
      <c r="CE34" s="58"/>
    </row>
    <row r="35" spans="1:83" ht="16.2" customHeight="1" x14ac:dyDescent="0.25">
      <c r="A35" s="107" t="s">
        <v>124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  <c r="BM35" s="107"/>
      <c r="BN35" s="107"/>
      <c r="BO35" s="107"/>
      <c r="BP35" s="107"/>
      <c r="BQ35" s="107"/>
      <c r="BR35" s="107"/>
      <c r="BS35" s="107"/>
      <c r="BT35" s="107"/>
      <c r="BY35" s="58"/>
      <c r="BZ35" s="58"/>
      <c r="CA35" s="58"/>
      <c r="CB35" s="58"/>
      <c r="CC35" s="58"/>
      <c r="CD35" s="58"/>
      <c r="CE35" s="58"/>
    </row>
    <row r="36" spans="1:83" ht="16.2" customHeight="1" x14ac:dyDescent="0.25">
      <c r="A36" s="107" t="s">
        <v>125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7"/>
      <c r="BK36" s="107"/>
      <c r="BL36" s="107"/>
      <c r="BM36" s="107"/>
      <c r="BN36" s="107"/>
      <c r="BO36" s="107"/>
      <c r="BP36" s="107"/>
      <c r="BQ36" s="107"/>
      <c r="BR36" s="107"/>
      <c r="BS36" s="107"/>
      <c r="BT36" s="107"/>
      <c r="BY36" s="58"/>
      <c r="BZ36" s="58"/>
      <c r="CA36" s="58"/>
      <c r="CB36" s="58"/>
      <c r="CC36" s="58"/>
      <c r="CD36" s="58"/>
      <c r="CE36" s="58"/>
    </row>
    <row r="37" spans="1:83" ht="16.2" customHeight="1" x14ac:dyDescent="0.25">
      <c r="A37" s="107" t="s">
        <v>126</v>
      </c>
      <c r="B37" s="107"/>
      <c r="C37" s="107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7"/>
      <c r="BK37" s="107"/>
      <c r="BL37" s="107"/>
      <c r="BM37" s="107"/>
      <c r="BN37" s="107"/>
      <c r="BO37" s="107"/>
      <c r="BP37" s="107"/>
      <c r="BQ37" s="107"/>
      <c r="BR37" s="107"/>
      <c r="BS37" s="107"/>
      <c r="BT37" s="107"/>
      <c r="BY37" s="60"/>
      <c r="BZ37" s="60"/>
      <c r="CA37" s="60"/>
      <c r="CB37" s="60"/>
      <c r="CC37" s="60"/>
      <c r="CD37" s="60"/>
      <c r="CE37" s="60"/>
    </row>
    <row r="38" spans="1:83" ht="16.2" customHeight="1" x14ac:dyDescent="0.25">
      <c r="A38" s="107" t="s">
        <v>127</v>
      </c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7"/>
      <c r="BF38" s="107"/>
      <c r="BG38" s="107"/>
      <c r="BH38" s="107"/>
      <c r="BI38" s="107"/>
      <c r="BJ38" s="107"/>
      <c r="BK38" s="107"/>
      <c r="BL38" s="107"/>
      <c r="BM38" s="107"/>
      <c r="BN38" s="107"/>
      <c r="BO38" s="107"/>
      <c r="BP38" s="107"/>
      <c r="BQ38" s="107"/>
      <c r="BR38" s="107"/>
      <c r="BS38" s="107"/>
      <c r="BT38" s="107"/>
      <c r="BY38" s="60"/>
      <c r="BZ38" s="60"/>
      <c r="CA38" s="60"/>
      <c r="CB38" s="60"/>
      <c r="CC38" s="60"/>
      <c r="CD38" s="60"/>
      <c r="CE38" s="60"/>
    </row>
    <row r="39" spans="1:83" ht="16.2" customHeight="1" x14ac:dyDescent="0.25">
      <c r="A39" s="107" t="s">
        <v>128</v>
      </c>
      <c r="B39" s="107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7"/>
      <c r="BK39" s="107"/>
      <c r="BL39" s="107"/>
      <c r="BM39" s="107"/>
      <c r="BN39" s="107"/>
      <c r="BO39" s="107"/>
      <c r="BP39" s="107"/>
      <c r="BQ39" s="107"/>
      <c r="BR39" s="107"/>
      <c r="BS39" s="107"/>
      <c r="BT39" s="107"/>
      <c r="BY39" s="60"/>
      <c r="BZ39" s="60"/>
      <c r="CA39" s="60"/>
      <c r="CB39" s="60"/>
      <c r="CC39" s="60"/>
      <c r="CD39" s="60"/>
      <c r="CE39" s="60"/>
    </row>
    <row r="40" spans="1:83" x14ac:dyDescent="0.25">
      <c r="A40" s="96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</row>
    <row r="41" spans="1:83" ht="13.8" customHeight="1" x14ac:dyDescent="0.25">
      <c r="A41" s="10" t="s">
        <v>18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56"/>
      <c r="S41" s="8"/>
      <c r="T41" s="55"/>
      <c r="U41" s="97" t="s">
        <v>142</v>
      </c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  <c r="BC41" s="97"/>
      <c r="BD41" s="97"/>
      <c r="BE41" s="97"/>
      <c r="BF41" s="97"/>
      <c r="BG41" s="97"/>
      <c r="BH41" s="97"/>
      <c r="BI41" s="97"/>
      <c r="BJ41" s="97"/>
      <c r="BK41" s="97"/>
      <c r="BL41" s="97"/>
      <c r="BM41" s="97"/>
      <c r="BN41" s="97"/>
      <c r="BO41" s="97"/>
      <c r="BP41" s="97"/>
      <c r="BQ41" s="97"/>
      <c r="BR41" s="97"/>
      <c r="BS41" s="97"/>
      <c r="BT41" s="97"/>
      <c r="BY41" s="87" t="s">
        <v>81</v>
      </c>
      <c r="BZ41" s="87"/>
      <c r="CA41" s="87"/>
      <c r="CB41" s="87"/>
      <c r="CC41" s="87"/>
      <c r="CD41" s="87"/>
    </row>
    <row r="42" spans="1:83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8" t="s">
        <v>19</v>
      </c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Y42" s="87"/>
      <c r="BZ42" s="87"/>
      <c r="CA42" s="87"/>
      <c r="CB42" s="87"/>
      <c r="CC42" s="87"/>
      <c r="CD42" s="87"/>
    </row>
    <row r="43" spans="1:83" x14ac:dyDescent="0.25">
      <c r="A43" s="10" t="s">
        <v>20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21"/>
      <c r="T43" s="21"/>
      <c r="U43" s="99" t="s">
        <v>51</v>
      </c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Y43" s="87"/>
      <c r="BZ43" s="87"/>
      <c r="CA43" s="87"/>
      <c r="CB43" s="87"/>
      <c r="CC43" s="87"/>
      <c r="CD43" s="87"/>
    </row>
    <row r="44" spans="1:83" x14ac:dyDescent="0.25">
      <c r="A44" s="68" t="s">
        <v>21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</row>
    <row r="45" spans="1:83" x14ac:dyDescent="0.25">
      <c r="A45" s="8"/>
      <c r="B45" s="8"/>
      <c r="C45" s="8"/>
      <c r="D45" s="8" t="s">
        <v>22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9"/>
      <c r="AG45" s="7"/>
      <c r="AH45" s="7"/>
      <c r="AI45" s="7"/>
      <c r="AJ45" s="7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  <c r="BA45" s="108"/>
      <c r="BB45" s="108"/>
      <c r="BC45" s="108"/>
      <c r="BD45" s="108"/>
      <c r="BE45" s="108"/>
      <c r="BF45" s="108"/>
      <c r="BG45" s="108"/>
      <c r="BH45" s="108"/>
      <c r="BI45" s="108"/>
      <c r="BJ45" s="108"/>
      <c r="BK45" s="108"/>
      <c r="BL45" s="108"/>
      <c r="BM45" s="108"/>
      <c r="BN45" s="108"/>
      <c r="BO45" s="108"/>
      <c r="BP45" s="108"/>
      <c r="BQ45" s="108"/>
      <c r="BR45" s="108"/>
      <c r="BS45" s="108"/>
      <c r="BT45" s="108"/>
    </row>
    <row r="46" spans="1:83" x14ac:dyDescent="0.25">
      <c r="A46" s="8" t="s">
        <v>23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31"/>
      <c r="AJ46" s="8"/>
      <c r="AK46" s="109" t="s">
        <v>133</v>
      </c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Y46" s="44" t="s">
        <v>82</v>
      </c>
    </row>
    <row r="47" spans="1:83" x14ac:dyDescent="0.25">
      <c r="A47" s="93" t="s">
        <v>131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Y47" s="87" t="s">
        <v>83</v>
      </c>
      <c r="BZ47" s="87"/>
      <c r="CA47" s="87"/>
      <c r="CB47" s="87"/>
      <c r="CC47" s="87"/>
      <c r="CD47" s="87"/>
      <c r="CE47" s="87"/>
    </row>
    <row r="48" spans="1:83" x14ac:dyDescent="0.25">
      <c r="A48" s="93" t="s">
        <v>130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Y48" s="87"/>
      <c r="BZ48" s="87"/>
      <c r="CA48" s="87"/>
      <c r="CB48" s="87"/>
      <c r="CC48" s="87"/>
      <c r="CD48" s="87"/>
      <c r="CE48" s="87"/>
    </row>
    <row r="49" spans="1:83" x14ac:dyDescent="0.25">
      <c r="A49" s="93" t="s">
        <v>132</v>
      </c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Y49" s="87"/>
      <c r="BZ49" s="87"/>
      <c r="CA49" s="87"/>
      <c r="CB49" s="87"/>
      <c r="CC49" s="87"/>
      <c r="CD49" s="87"/>
      <c r="CE49" s="87"/>
    </row>
    <row r="50" spans="1:83" x14ac:dyDescent="0.25">
      <c r="A50" s="93" t="s">
        <v>134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Y50" s="87"/>
      <c r="BZ50" s="87"/>
      <c r="CA50" s="87"/>
      <c r="CB50" s="87"/>
      <c r="CC50" s="87"/>
      <c r="CD50" s="87"/>
      <c r="CE50" s="87"/>
    </row>
    <row r="51" spans="1:83" x14ac:dyDescent="0.25">
      <c r="A51" s="93" t="s">
        <v>135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Y51" s="87"/>
      <c r="BZ51" s="87"/>
      <c r="CA51" s="87"/>
      <c r="CB51" s="87"/>
      <c r="CC51" s="87"/>
      <c r="CD51" s="87"/>
      <c r="CE51" s="87"/>
    </row>
    <row r="52" spans="1:83" x14ac:dyDescent="0.25">
      <c r="A52" s="93" t="s">
        <v>136</v>
      </c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Y52" s="87"/>
      <c r="BZ52" s="87"/>
      <c r="CA52" s="87"/>
      <c r="CB52" s="87"/>
      <c r="CC52" s="87"/>
      <c r="CD52" s="87"/>
      <c r="CE52" s="87"/>
    </row>
    <row r="53" spans="1:83" x14ac:dyDescent="0.25">
      <c r="A53" s="93" t="s">
        <v>137</v>
      </c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Y53" s="87"/>
      <c r="BZ53" s="87"/>
      <c r="CA53" s="87"/>
      <c r="CB53" s="87"/>
      <c r="CC53" s="87"/>
      <c r="CD53" s="87"/>
      <c r="CE53" s="87"/>
    </row>
    <row r="54" spans="1:83" x14ac:dyDescent="0.25">
      <c r="A54" s="93" t="s">
        <v>138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  <c r="BJ54" s="93"/>
      <c r="BK54" s="93"/>
      <c r="BL54" s="93"/>
      <c r="BM54" s="93"/>
      <c r="BN54" s="93"/>
      <c r="BO54" s="93"/>
      <c r="BP54" s="93"/>
      <c r="BQ54" s="93"/>
      <c r="BR54" s="93"/>
      <c r="BS54" s="93"/>
      <c r="BT54" s="93"/>
      <c r="BY54" s="87"/>
      <c r="BZ54" s="87"/>
      <c r="CA54" s="87"/>
      <c r="CB54" s="87"/>
      <c r="CC54" s="87"/>
      <c r="CD54" s="87"/>
      <c r="CE54" s="87"/>
    </row>
    <row r="55" spans="1:83" x14ac:dyDescent="0.25">
      <c r="A55" s="65" t="s">
        <v>24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Y55" s="87"/>
      <c r="BZ55" s="87"/>
      <c r="CA55" s="87"/>
      <c r="CB55" s="87"/>
      <c r="CC55" s="87"/>
      <c r="CD55" s="87"/>
      <c r="CE55" s="87"/>
    </row>
    <row r="56" spans="1:83" x14ac:dyDescent="0.25">
      <c r="A56" s="88" t="s">
        <v>57</v>
      </c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Y56" s="87"/>
      <c r="BZ56" s="87"/>
      <c r="CA56" s="87"/>
      <c r="CB56" s="87"/>
      <c r="CC56" s="87"/>
      <c r="CD56" s="87"/>
      <c r="CE56" s="87"/>
    </row>
    <row r="57" spans="1:83" x14ac:dyDescent="0.25">
      <c r="A57" s="18" t="s">
        <v>58</v>
      </c>
      <c r="B57" s="19"/>
      <c r="C57" s="19"/>
      <c r="D57" s="89" t="str">
        <f>A32</f>
        <v>Труба PP-R SDR11: Ø20 - 21,4 м, Ø25 - 4,43 м, Ø32 - 28,4 м;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Y57" s="87"/>
      <c r="BZ57" s="87"/>
      <c r="CA57" s="87"/>
      <c r="CB57" s="87"/>
      <c r="CC57" s="87"/>
      <c r="CD57" s="87"/>
      <c r="CE57" s="87"/>
    </row>
    <row r="58" spans="1:83" s="57" customFormat="1" x14ac:dyDescent="0.25">
      <c r="A58" s="113"/>
      <c r="B58" s="113"/>
      <c r="C58" s="113"/>
      <c r="D58" s="89" t="str">
        <f>A33</f>
        <v>Капиллярная трубка (шланг однослойный ПВХ) Ø6 - 7,6 м;</v>
      </c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Y58" s="87"/>
      <c r="BZ58" s="87"/>
      <c r="CA58" s="87"/>
      <c r="CB58" s="87"/>
      <c r="CC58" s="87"/>
      <c r="CD58" s="87"/>
      <c r="CE58" s="87"/>
    </row>
    <row r="59" spans="1:83" s="57" customFormat="1" x14ac:dyDescent="0.25">
      <c r="A59" s="113"/>
      <c r="B59" s="113"/>
      <c r="C59" s="113"/>
      <c r="D59" s="89" t="str">
        <f t="shared" ref="D59:D61" si="0">A34</f>
        <v>Труба ПВХ гофрированная d16 - 7,6 м;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Y59" s="87"/>
      <c r="BZ59" s="87"/>
      <c r="CA59" s="87"/>
      <c r="CB59" s="87"/>
      <c r="CC59" s="87"/>
      <c r="CD59" s="87"/>
      <c r="CE59" s="87"/>
    </row>
    <row r="60" spans="1:83" s="57" customFormat="1" x14ac:dyDescent="0.25">
      <c r="A60" s="113"/>
      <c r="B60" s="113"/>
      <c r="C60" s="113"/>
      <c r="D60" s="89" t="str">
        <f t="shared" si="0"/>
        <v>Отвод 90°: Ø20 - 14 шт., Ø25 - 1 шт., Ø32 - 4 шт.;</v>
      </c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Y60" s="87"/>
      <c r="BZ60" s="87"/>
      <c r="CA60" s="87"/>
      <c r="CB60" s="87"/>
      <c r="CC60" s="87"/>
      <c r="CD60" s="87"/>
      <c r="CE60" s="87"/>
    </row>
    <row r="61" spans="1:83" s="57" customFormat="1" x14ac:dyDescent="0.25">
      <c r="A61" s="113"/>
      <c r="B61" s="113"/>
      <c r="C61" s="113"/>
      <c r="D61" s="89" t="str">
        <f t="shared" si="0"/>
        <v>Отвод 45°: Ø20 - 2 шт., Ø32 - 3 шт.;</v>
      </c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Y61" s="87"/>
      <c r="BZ61" s="87"/>
      <c r="CA61" s="87"/>
      <c r="CB61" s="87"/>
      <c r="CC61" s="87"/>
      <c r="CD61" s="87"/>
      <c r="CE61" s="87"/>
    </row>
    <row r="62" spans="1:83" s="57" customFormat="1" x14ac:dyDescent="0.25">
      <c r="A62" s="113"/>
      <c r="B62" s="113"/>
      <c r="C62" s="113"/>
      <c r="D62" s="89" t="str">
        <f t="shared" ref="D62:D64" si="1">A37</f>
        <v>Тройник PPR: Ø20/Ø20/Ø20 - 4 шт., Ø25/Ø20/Ø25 - 4 шт., Ø32/Ø20/Ø32 - 6 шт., Ø32/Ø32/Ø32 - 2 шт.;</v>
      </c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Y62" s="87"/>
      <c r="BZ62" s="87"/>
      <c r="CA62" s="87"/>
      <c r="CB62" s="87"/>
      <c r="CC62" s="87"/>
      <c r="CD62" s="87"/>
      <c r="CE62" s="87"/>
    </row>
    <row r="63" spans="1:83" s="57" customFormat="1" x14ac:dyDescent="0.25">
      <c r="A63" s="113"/>
      <c r="B63" s="113"/>
      <c r="C63" s="113"/>
      <c r="D63" s="89" t="str">
        <f t="shared" si="1"/>
        <v>Переход PPR : Ø25/Ø20 - 2 шт., Ø32/Ø20 - 1 шт., Ø32/Ø25 -3 шт.;</v>
      </c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Y63" s="87"/>
      <c r="BZ63" s="87"/>
      <c r="CA63" s="87"/>
      <c r="CB63" s="87"/>
      <c r="CC63" s="87"/>
      <c r="CD63" s="87"/>
      <c r="CE63" s="87"/>
    </row>
    <row r="64" spans="1:83" s="57" customFormat="1" x14ac:dyDescent="0.25">
      <c r="A64" s="113"/>
      <c r="B64" s="113"/>
      <c r="C64" s="113"/>
      <c r="D64" s="89" t="str">
        <f t="shared" si="1"/>
        <v>Заглушка PPR Ø20 - 11 шт.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Y64" s="87"/>
      <c r="BZ64" s="87"/>
      <c r="CA64" s="87"/>
      <c r="CB64" s="87"/>
      <c r="CC64" s="87"/>
      <c r="CD64" s="87"/>
      <c r="CE64" s="87"/>
    </row>
    <row r="65" spans="1:83" x14ac:dyDescent="0.25">
      <c r="A65" s="8"/>
      <c r="B65" s="8"/>
      <c r="C65" s="8"/>
      <c r="D65" s="90" t="s">
        <v>25</v>
      </c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90"/>
      <c r="AP65" s="90"/>
      <c r="AQ65" s="90"/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Y65" s="87"/>
      <c r="BZ65" s="87"/>
      <c r="CA65" s="87"/>
      <c r="CB65" s="87"/>
      <c r="CC65" s="87"/>
      <c r="CD65" s="87"/>
      <c r="CE65" s="87"/>
    </row>
    <row r="66" spans="1:83" x14ac:dyDescent="0.25">
      <c r="A66" s="8" t="s">
        <v>26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33"/>
      <c r="Y66" s="91" t="s">
        <v>110</v>
      </c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Y66" s="87"/>
      <c r="BZ66" s="87"/>
      <c r="CA66" s="87"/>
      <c r="CB66" s="87"/>
      <c r="CC66" s="87"/>
      <c r="CD66" s="87"/>
      <c r="CE66" s="87"/>
    </row>
    <row r="67" spans="1:83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20"/>
      <c r="Y67" s="65" t="s">
        <v>27</v>
      </c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Y67" s="87"/>
      <c r="BZ67" s="87"/>
      <c r="CA67" s="87"/>
      <c r="CB67" s="87"/>
      <c r="CC67" s="87"/>
      <c r="CD67" s="87"/>
      <c r="CE67" s="87"/>
    </row>
    <row r="68" spans="1:83" x14ac:dyDescent="0.25">
      <c r="A68" s="8" t="s">
        <v>28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7"/>
      <c r="AG68" s="7"/>
      <c r="AH68" s="7"/>
      <c r="AI68" s="7"/>
      <c r="AJ68" s="77" t="s">
        <v>29</v>
      </c>
      <c r="AK68" s="77"/>
      <c r="AL68" s="77"/>
      <c r="AM68" s="77"/>
      <c r="AN68" s="77"/>
      <c r="AO68" s="77"/>
      <c r="AP68" s="77"/>
      <c r="AQ68" s="77"/>
      <c r="AR68" s="77"/>
      <c r="AS68" s="77"/>
      <c r="AT68" s="78" t="s">
        <v>72</v>
      </c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Y68" s="87"/>
      <c r="BZ68" s="87"/>
      <c r="CA68" s="87"/>
      <c r="CB68" s="87"/>
      <c r="CC68" s="87"/>
      <c r="CD68" s="87"/>
      <c r="CE68" s="87"/>
    </row>
    <row r="69" spans="1:83" ht="13.8" customHeight="1" x14ac:dyDescent="0.25">
      <c r="A69" s="10" t="s">
        <v>30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55"/>
      <c r="O69" s="55"/>
      <c r="P69" s="55"/>
      <c r="Q69" s="79" t="str">
        <f>U41</f>
        <v>ПП2020РД-1.2-61.17-ОВ3, ПП2020РД-1.2-61.17-ОВ3.СО изм.2, л. 2-3</v>
      </c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  <c r="AZ69" s="79"/>
      <c r="BA69" s="79"/>
      <c r="BB69" s="79"/>
      <c r="BC69" s="79"/>
      <c r="BD69" s="79"/>
      <c r="BE69" s="79"/>
      <c r="BF69" s="79"/>
      <c r="BG69" s="79"/>
      <c r="BH69" s="79"/>
      <c r="BI69" s="79"/>
      <c r="BJ69" s="79"/>
      <c r="BK69" s="79"/>
      <c r="BL69" s="79"/>
      <c r="BM69" s="79"/>
      <c r="BN69" s="79"/>
      <c r="BO69" s="79"/>
      <c r="BP69" s="79"/>
      <c r="BQ69" s="79"/>
      <c r="BR69" s="79"/>
      <c r="BS69" s="79"/>
      <c r="BT69" s="79"/>
      <c r="BU69" s="57"/>
      <c r="BY69" s="87"/>
      <c r="BZ69" s="87"/>
      <c r="CA69" s="87"/>
      <c r="CB69" s="87"/>
      <c r="CC69" s="87"/>
      <c r="CD69" s="87"/>
      <c r="CE69" s="87"/>
    </row>
    <row r="70" spans="1:83" x14ac:dyDescent="0.25">
      <c r="A70" s="8"/>
      <c r="B70" s="8"/>
      <c r="C70" s="8"/>
      <c r="D70" s="10" t="s">
        <v>31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1"/>
      <c r="X70" s="8"/>
      <c r="Y70" s="32"/>
      <c r="Z70" s="32"/>
      <c r="AA70" s="80" t="str">
        <f>AK46</f>
        <v>Технический паспорт изделия № ПС-42982 от 29.11.2023 г.;</v>
      </c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  <c r="AP70" s="80"/>
      <c r="AQ70" s="80"/>
      <c r="AR70" s="80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  <c r="BE70" s="8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Y70" s="87"/>
      <c r="BZ70" s="87"/>
      <c r="CA70" s="87"/>
      <c r="CB70" s="87"/>
      <c r="CC70" s="87"/>
      <c r="CD70" s="87"/>
      <c r="CE70" s="87"/>
    </row>
    <row r="71" spans="1:83" x14ac:dyDescent="0.25">
      <c r="A71" s="81" t="str">
        <f>A47</f>
        <v>Сертификат соответствия № РОСС RU.HA39.H00401/22 с 08.09.2022 г. по 07.09.2025 г.;</v>
      </c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</row>
    <row r="72" spans="1:83" x14ac:dyDescent="0.25">
      <c r="A72" s="81" t="str">
        <f>A48</f>
        <v>Паспорт качества б/н от 19.12.2023 г.;</v>
      </c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</row>
    <row r="73" spans="1:83" x14ac:dyDescent="0.25">
      <c r="A73" s="81" t="str">
        <f>A49</f>
        <v>Сертификат соответствия № РОСС RU.АЖ49.Н01493 с 08.06.2021 г. по 07.06.2024 г.;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</row>
    <row r="74" spans="1:83" x14ac:dyDescent="0.25">
      <c r="A74" s="81" t="str">
        <f t="shared" ref="A74:A78" si="2">A50</f>
        <v>Паспорт качества № 91916 от 29.09.2023 г.;</v>
      </c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</row>
    <row r="75" spans="1:83" x14ac:dyDescent="0.25">
      <c r="A75" s="81" t="str">
        <f t="shared" si="2"/>
        <v>Сертификат соответствия № ЕАЭС RU C-RU.ПБ68.В.00559/21 с 04.10.2021 г. по 15.03.2026 г.;</v>
      </c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</row>
    <row r="76" spans="1:83" x14ac:dyDescent="0.25">
      <c r="A76" s="81" t="str">
        <f t="shared" si="2"/>
        <v>Паспорт,техническое описание и инструкция по эксплуатации б/н от 26.10.2023 г.;</v>
      </c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</row>
    <row r="77" spans="1:83" x14ac:dyDescent="0.25">
      <c r="A77" s="81" t="str">
        <f t="shared" si="2"/>
        <v>Декларация о соответствии № РОСС RU Д-RU.РА01.В.13131/23 с 13.04.2023 г. по 12.04.2026 г.;</v>
      </c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</row>
    <row r="78" spans="1:83" x14ac:dyDescent="0.25">
      <c r="A78" s="81" t="str">
        <f t="shared" si="2"/>
        <v>Свидетельство о государственной регистрации № RU.23.КК.08.013.Е.000022.01.17 от 23.01.2017 г.</v>
      </c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</row>
    <row r="79" spans="1:83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82" t="s">
        <v>129</v>
      </c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Y79" t="s">
        <v>84</v>
      </c>
    </row>
    <row r="80" spans="1:83" x14ac:dyDescent="0.25">
      <c r="A80" s="8" t="s">
        <v>33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23"/>
      <c r="BY80" t="s">
        <v>85</v>
      </c>
    </row>
    <row r="81" spans="1:77" x14ac:dyDescent="0.25">
      <c r="A81" s="34"/>
      <c r="B81" s="8"/>
      <c r="C81" s="8"/>
      <c r="D81" s="8" t="s">
        <v>34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7"/>
      <c r="X81" s="7"/>
      <c r="Y81" s="7"/>
      <c r="Z81" s="7"/>
      <c r="AA81" s="34"/>
      <c r="AB81" s="7"/>
      <c r="AC81" s="34"/>
      <c r="AD81" s="83" t="s">
        <v>35</v>
      </c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</row>
    <row r="82" spans="1:77" ht="13.8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4" t="s">
        <v>36</v>
      </c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</row>
    <row r="83" spans="1:77" ht="13.8" customHeight="1" x14ac:dyDescent="0.25">
      <c r="A83" s="10" t="s">
        <v>37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/>
      <c r="V83" s="28"/>
      <c r="W83" s="35"/>
      <c r="X83" s="29"/>
      <c r="Y83" s="85" t="str">
        <f>U41</f>
        <v>ПП2020РД-1.2-61.17-ОВ3, ПП2020РД-1.2-61.17-ОВ3.СО изм.2, л. 2-3</v>
      </c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</row>
    <row r="84" spans="1:77" x14ac:dyDescent="0.25">
      <c r="A84" s="8" t="s">
        <v>38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34"/>
      <c r="M84" s="24"/>
      <c r="N84" s="86" t="s">
        <v>139</v>
      </c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6"/>
      <c r="BK84" s="86"/>
      <c r="BL84" s="86"/>
      <c r="BM84" s="86"/>
      <c r="BN84" s="86"/>
      <c r="BO84" s="86"/>
      <c r="BP84" s="86"/>
      <c r="BQ84" s="86"/>
      <c r="BR84" s="86"/>
      <c r="BS84" s="86"/>
      <c r="BT84" s="86"/>
    </row>
    <row r="85" spans="1:77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61"/>
      <c r="M85" s="24"/>
      <c r="N85" s="112" t="s">
        <v>140</v>
      </c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/>
      <c r="AH85" s="112"/>
      <c r="AI85" s="112"/>
      <c r="AJ85" s="112"/>
      <c r="AK85" s="112"/>
      <c r="AL85" s="112"/>
      <c r="AM85" s="112"/>
      <c r="AN85" s="112"/>
      <c r="AO85" s="112"/>
      <c r="AP85" s="112"/>
      <c r="AQ85" s="112"/>
      <c r="AR85" s="112"/>
      <c r="AS85" s="112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2"/>
      <c r="BE85" s="112"/>
      <c r="BF85" s="112"/>
      <c r="BG85" s="112"/>
      <c r="BH85" s="112"/>
      <c r="BI85" s="112"/>
      <c r="BJ85" s="112"/>
      <c r="BK85" s="112"/>
      <c r="BL85" s="112"/>
      <c r="BM85" s="112"/>
      <c r="BN85" s="112"/>
      <c r="BO85" s="112"/>
      <c r="BP85" s="112"/>
      <c r="BQ85" s="112"/>
      <c r="BR85" s="112"/>
      <c r="BS85" s="112"/>
      <c r="BT85" s="112"/>
    </row>
    <row r="86" spans="1:77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61"/>
      <c r="M86" s="24"/>
      <c r="N86" s="112" t="s">
        <v>141</v>
      </c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2"/>
      <c r="BE86" s="112"/>
      <c r="BF86" s="112"/>
      <c r="BG86" s="112"/>
      <c r="BH86" s="112"/>
      <c r="BI86" s="112"/>
      <c r="BJ86" s="112"/>
      <c r="BK86" s="112"/>
      <c r="BL86" s="112"/>
      <c r="BM86" s="112"/>
      <c r="BN86" s="112"/>
      <c r="BO86" s="112"/>
      <c r="BP86" s="112"/>
      <c r="BQ86" s="112"/>
      <c r="BR86" s="112"/>
      <c r="BS86" s="112"/>
      <c r="BT86" s="112"/>
    </row>
    <row r="87" spans="1:77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</row>
    <row r="88" spans="1:77" x14ac:dyDescent="0.25">
      <c r="A88" s="8" t="s">
        <v>39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12"/>
    </row>
    <row r="89" spans="1:77" x14ac:dyDescent="0.25">
      <c r="A89" s="8" t="s">
        <v>12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76" t="str">
        <f>BJ24</f>
        <v>Кострова Н.Л.</v>
      </c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8"/>
      <c r="AP89" s="8"/>
      <c r="AQ89" s="70"/>
      <c r="AR89" s="70"/>
      <c r="AS89" s="70"/>
      <c r="AT89" s="70"/>
      <c r="AU89" s="70"/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8"/>
      <c r="BG89" s="8"/>
      <c r="BH89" s="71">
        <f>AE22</f>
        <v>45285</v>
      </c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12"/>
    </row>
    <row r="90" spans="1:77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65" t="s">
        <v>59</v>
      </c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30"/>
      <c r="AP90" s="30"/>
      <c r="AQ90" s="65" t="s">
        <v>40</v>
      </c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  <c r="BE90" s="65"/>
      <c r="BF90" s="30"/>
      <c r="BG90" s="30"/>
      <c r="BH90" s="65" t="s">
        <v>41</v>
      </c>
      <c r="BI90" s="65"/>
      <c r="BJ90" s="65"/>
      <c r="BK90" s="65"/>
      <c r="BL90" s="65"/>
      <c r="BM90" s="65"/>
      <c r="BN90" s="65"/>
      <c r="BO90" s="65"/>
      <c r="BP90" s="65"/>
      <c r="BQ90" s="65"/>
      <c r="BR90" s="65"/>
      <c r="BS90" s="65"/>
      <c r="BT90" s="26"/>
    </row>
    <row r="91" spans="1:77" x14ac:dyDescent="0.25">
      <c r="A91" s="8" t="s">
        <v>42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12"/>
    </row>
    <row r="92" spans="1:77" x14ac:dyDescent="0.25">
      <c r="A92" s="8" t="s">
        <v>43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76" t="str">
        <f>BJ26</f>
        <v>Халыгов Э. А.</v>
      </c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8"/>
      <c r="AP92" s="8"/>
      <c r="AQ92" s="70"/>
      <c r="AR92" s="70"/>
      <c r="AS92" s="70"/>
      <c r="AT92" s="70"/>
      <c r="AU92" s="70"/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8"/>
      <c r="BG92" s="8"/>
      <c r="BH92" s="71">
        <f>BH89</f>
        <v>45285</v>
      </c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12"/>
      <c r="BY92" t="s">
        <v>86</v>
      </c>
    </row>
    <row r="93" spans="1:77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65" t="s">
        <v>59</v>
      </c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30"/>
      <c r="AP93" s="30"/>
      <c r="AQ93" s="65" t="s">
        <v>40</v>
      </c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  <c r="BE93" s="65"/>
      <c r="BF93" s="30"/>
      <c r="BG93" s="30"/>
      <c r="BH93" s="65" t="s">
        <v>41</v>
      </c>
      <c r="BI93" s="65"/>
      <c r="BJ93" s="65"/>
      <c r="BK93" s="65"/>
      <c r="BL93" s="65"/>
      <c r="BM93" s="65"/>
      <c r="BN93" s="65"/>
      <c r="BO93" s="65"/>
      <c r="BP93" s="65"/>
      <c r="BQ93" s="65"/>
      <c r="BR93" s="65"/>
      <c r="BS93" s="65"/>
      <c r="BT93" s="12"/>
    </row>
    <row r="94" spans="1:77" ht="16.2" customHeight="1" x14ac:dyDescent="0.25">
      <c r="A94" s="8" t="s">
        <v>39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12"/>
      <c r="BY94" t="s">
        <v>87</v>
      </c>
    </row>
    <row r="95" spans="1:77" x14ac:dyDescent="0.25">
      <c r="A95" s="8" t="s">
        <v>44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69" t="str">
        <f>BJ28</f>
        <v>Тюкин Е.В.</v>
      </c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8"/>
      <c r="AP95" s="8"/>
      <c r="AQ95" s="70"/>
      <c r="AR95" s="70"/>
      <c r="AS95" s="70"/>
      <c r="AT95" s="70"/>
      <c r="AU95" s="70"/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8"/>
      <c r="BG95" s="8"/>
      <c r="BH95" s="71">
        <f>BH89</f>
        <v>45285</v>
      </c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12"/>
      <c r="BY95" t="s">
        <v>88</v>
      </c>
    </row>
    <row r="96" spans="1:77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65" t="s">
        <v>59</v>
      </c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30"/>
      <c r="AP96" s="30"/>
      <c r="AQ96" s="65" t="s">
        <v>40</v>
      </c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30"/>
      <c r="BG96" s="30"/>
      <c r="BH96" s="65" t="s">
        <v>41</v>
      </c>
      <c r="BI96" s="65"/>
      <c r="BJ96" s="65"/>
      <c r="BK96" s="65"/>
      <c r="BL96" s="65"/>
      <c r="BM96" s="65"/>
      <c r="BN96" s="65"/>
      <c r="BO96" s="65"/>
      <c r="BP96" s="65"/>
      <c r="BQ96" s="65"/>
      <c r="BR96" s="65"/>
      <c r="BS96" s="65"/>
      <c r="BT96" s="12"/>
    </row>
    <row r="97" spans="1:72" x14ac:dyDescent="0.25">
      <c r="A97" s="13"/>
      <c r="B97" s="13"/>
      <c r="C97" s="13"/>
      <c r="D97" s="7"/>
      <c r="E97" s="7"/>
      <c r="F97" s="7"/>
      <c r="G97" s="7"/>
      <c r="H97" s="7"/>
      <c r="I97" s="7"/>
      <c r="J97" s="7"/>
      <c r="K97" s="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12"/>
    </row>
    <row r="98" spans="1:72" ht="13.8" customHeight="1" x14ac:dyDescent="0.25">
      <c r="A98" s="72" t="s">
        <v>107</v>
      </c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13"/>
      <c r="AN98" s="13"/>
      <c r="AO98" s="8"/>
      <c r="AP98" s="8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8"/>
      <c r="BG98" s="8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12"/>
    </row>
    <row r="99" spans="1:72" x14ac:dyDescent="0.25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10"/>
      <c r="AN99" s="10"/>
      <c r="AO99" s="8"/>
      <c r="AP99" s="8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8"/>
      <c r="BG99" s="8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12"/>
    </row>
    <row r="100" spans="1:72" ht="16.8" customHeight="1" x14ac:dyDescent="0.25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12"/>
    </row>
  </sheetData>
  <mergeCells count="114">
    <mergeCell ref="N85:BT85"/>
    <mergeCell ref="N86:BT86"/>
    <mergeCell ref="A74:BT74"/>
    <mergeCell ref="A75:BT75"/>
    <mergeCell ref="A76:BT76"/>
    <mergeCell ref="A77:BT77"/>
    <mergeCell ref="A78:BT78"/>
    <mergeCell ref="D62:BT62"/>
    <mergeCell ref="D63:BT63"/>
    <mergeCell ref="D64:BT64"/>
    <mergeCell ref="A58:C64"/>
    <mergeCell ref="AK46:BT46"/>
    <mergeCell ref="A47:BT47"/>
    <mergeCell ref="A17:BT17"/>
    <mergeCell ref="A18:BT18"/>
    <mergeCell ref="A21:BT21"/>
    <mergeCell ref="AE22:AT22"/>
    <mergeCell ref="S24:BI24"/>
    <mergeCell ref="BJ24:BT24"/>
    <mergeCell ref="T25:BJ25"/>
    <mergeCell ref="S26:BI26"/>
    <mergeCell ref="A16:BT16"/>
    <mergeCell ref="A19:BT19"/>
    <mergeCell ref="A37:BT37"/>
    <mergeCell ref="A38:BT38"/>
    <mergeCell ref="A39:BT39"/>
    <mergeCell ref="A35:BT35"/>
    <mergeCell ref="A36:BT36"/>
    <mergeCell ref="A44:BT44"/>
    <mergeCell ref="AK45:BT45"/>
    <mergeCell ref="A14:BT14"/>
    <mergeCell ref="A15:BT15"/>
    <mergeCell ref="A12:BT12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3:BT13"/>
    <mergeCell ref="BY30:CE31"/>
    <mergeCell ref="E31:BT31"/>
    <mergeCell ref="O30:BP30"/>
    <mergeCell ref="A34:BT34"/>
    <mergeCell ref="A40:BT40"/>
    <mergeCell ref="U41:BT41"/>
    <mergeCell ref="BY41:CD43"/>
    <mergeCell ref="P42:BT42"/>
    <mergeCell ref="U43:BT43"/>
    <mergeCell ref="A33:BT33"/>
    <mergeCell ref="A32:BT32"/>
    <mergeCell ref="N84:BT84"/>
    <mergeCell ref="A72:BT72"/>
    <mergeCell ref="A73:BT73"/>
    <mergeCell ref="BY47:CE70"/>
    <mergeCell ref="A55:BT55"/>
    <mergeCell ref="A56:BT56"/>
    <mergeCell ref="D57:BT57"/>
    <mergeCell ref="D65:BT65"/>
    <mergeCell ref="Y66:BT66"/>
    <mergeCell ref="D58:BT58"/>
    <mergeCell ref="D59:BT59"/>
    <mergeCell ref="D60:BT60"/>
    <mergeCell ref="D61:BT61"/>
    <mergeCell ref="A48:BT48"/>
    <mergeCell ref="A49:BT49"/>
    <mergeCell ref="A50:BT50"/>
    <mergeCell ref="A51:BT51"/>
    <mergeCell ref="A52:BT52"/>
    <mergeCell ref="A53:BT53"/>
    <mergeCell ref="A54:BT54"/>
    <mergeCell ref="A98:AL100"/>
    <mergeCell ref="AQ98:BE98"/>
    <mergeCell ref="BH98:BS98"/>
    <mergeCell ref="AQ99:BE99"/>
    <mergeCell ref="BH99:BS99"/>
    <mergeCell ref="X90:AN90"/>
    <mergeCell ref="AQ90:BE90"/>
    <mergeCell ref="BH90:BS90"/>
    <mergeCell ref="X92:AN92"/>
    <mergeCell ref="AQ92:BE92"/>
    <mergeCell ref="BH92:BS92"/>
    <mergeCell ref="X93:AN93"/>
    <mergeCell ref="AQ93:BE93"/>
    <mergeCell ref="BH93:BS93"/>
    <mergeCell ref="BJ26:BT26"/>
    <mergeCell ref="T27:BJ27"/>
    <mergeCell ref="S28:BI28"/>
    <mergeCell ref="BJ28:BT28"/>
    <mergeCell ref="T29:BJ29"/>
    <mergeCell ref="X95:AN95"/>
    <mergeCell ref="AQ95:BE95"/>
    <mergeCell ref="BH95:BS95"/>
    <mergeCell ref="X96:AN96"/>
    <mergeCell ref="AQ96:BE96"/>
    <mergeCell ref="BH96:BS96"/>
    <mergeCell ref="X89:AN89"/>
    <mergeCell ref="AQ89:BE89"/>
    <mergeCell ref="BH89:BS89"/>
    <mergeCell ref="Y67:BT67"/>
    <mergeCell ref="AJ68:AS68"/>
    <mergeCell ref="AT68:BT68"/>
    <mergeCell ref="Q69:BT69"/>
    <mergeCell ref="AA70:BT70"/>
    <mergeCell ref="A71:BT71"/>
    <mergeCell ref="V79:BT79"/>
    <mergeCell ref="AD81:BT81"/>
    <mergeCell ref="J82:BT82"/>
    <mergeCell ref="Y83:BT83"/>
  </mergeCells>
  <phoneticPr fontId="21" type="noConversion"/>
  <dataValidations count="4">
    <dataValidation type="list" showInputMessage="1" showErrorMessage="1" sqref="G7:H7" xr:uid="{00000000-0002-0000-0300-000000000000}">
      <formula1>"1,2"</formula1>
    </dataValidation>
    <dataValidation type="list" allowBlank="1" showInputMessage="1" showErrorMessage="1" sqref="F6:H6 F3:H3" xr:uid="{00000000-0002-0000-0300-000001000000}">
      <formula1>"I.I,I.II,II,III,IV,V,V.I,V.II"</formula1>
    </dataValidation>
    <dataValidation type="list" allowBlank="1" showInputMessage="1" showErrorMessage="1" sqref="N30" xr:uid="{00000000-0002-0000-0300-000002000000}">
      <formula1>"выборочный,сплошной"</formula1>
    </dataValidation>
    <dataValidation type="list" errorStyle="information" allowBlank="1" showInputMessage="1" sqref="O30:BP30" xr:uid="{00000000-0002-0000-03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4" fitToHeight="0" orientation="portrait" blackAndWhite="1" r:id="rId1"/>
  <rowBreaks count="2" manualBreakCount="2">
    <brk id="63" max="71" man="1"/>
    <brk id="100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300-000004000000}">
          <x14:formula1>
            <xm:f>'Лист общих данных'!$B$6:$B$12</xm:f>
          </x14:formula1>
          <xm:sqref>S43:U43</xm:sqref>
        </x14:dataValidation>
        <x14:dataValidation type="list" errorStyle="information" allowBlank="1" showInputMessage="1" xr:uid="{00000000-0002-0000-0300-000005000000}">
          <x14:formula1>
            <xm:f>'Лист общих данных'!$C$6:$C$12</xm:f>
          </x14:formula1>
          <xm:sqref>T41:U41</xm:sqref>
        </x14:dataValidation>
        <x14:dataValidation type="list" allowBlank="1" showInputMessage="1" showErrorMessage="1" xr:uid="{00000000-0002-0000-0300-000006000000}">
          <x14:formula1>
            <xm:f>подписанты!$B$3:$B$4</xm:f>
          </x14:formula1>
          <xm:sqref>BJ24:BT24</xm:sqref>
        </x14:dataValidation>
        <x14:dataValidation type="list" allowBlank="1" showInputMessage="1" showErrorMessage="1" xr:uid="{00000000-0002-0000-0300-000007000000}">
          <x14:formula1>
            <xm:f>подписанты!$B$5:$B$7</xm:f>
          </x14:formula1>
          <xm:sqref>BJ26:BT26</xm:sqref>
        </x14:dataValidation>
        <x14:dataValidation type="list" allowBlank="1" showInputMessage="1" showErrorMessage="1" xr:uid="{00000000-0002-0000-0300-000008000000}">
          <x14:formula1>
            <xm:f>подписанты!$B$8:$B$9</xm:f>
          </x14:formula1>
          <xm:sqref>BJ28:BT28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A1:CE84"/>
  <sheetViews>
    <sheetView tabSelected="1" view="pageBreakPreview" zoomScale="85" zoomScaleNormal="100" zoomScaleSheetLayoutView="85" workbookViewId="0">
      <selection activeCell="BW62" sqref="BW62"/>
    </sheetView>
  </sheetViews>
  <sheetFormatPr defaultRowHeight="13.8" x14ac:dyDescent="0.25"/>
  <cols>
    <col min="1" max="12" width="1.44140625" customWidth="1"/>
    <col min="13" max="13" width="2.33203125" customWidth="1"/>
    <col min="14" max="71" width="1.44140625" customWidth="1"/>
    <col min="72" max="72" width="7.77734375" customWidth="1"/>
    <col min="73" max="73" width="9.5546875" customWidth="1"/>
    <col min="74" max="74" width="5.6640625" customWidth="1"/>
    <col min="75" max="75" width="14.5546875" bestFit="1" customWidth="1"/>
  </cols>
  <sheetData>
    <row r="1" spans="1:7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2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69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2" x14ac:dyDescent="0.25">
      <c r="A3" s="73" t="s">
        <v>4</v>
      </c>
      <c r="B3" s="73"/>
      <c r="C3" s="73"/>
      <c r="D3" s="73"/>
      <c r="E3" s="73"/>
      <c r="F3" s="101" t="s">
        <v>5</v>
      </c>
      <c r="G3" s="101"/>
      <c r="H3" s="101"/>
      <c r="I3" s="102" t="s">
        <v>6</v>
      </c>
      <c r="J3" s="102"/>
      <c r="K3" s="102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2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70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71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2" ht="13.8" customHeight="1" x14ac:dyDescent="0.25">
      <c r="A6" s="73"/>
      <c r="B6" s="73"/>
      <c r="C6" s="73"/>
      <c r="D6" s="73"/>
      <c r="E6" s="73"/>
      <c r="F6" s="101"/>
      <c r="G6" s="101"/>
      <c r="H6" s="101"/>
      <c r="I6" s="102"/>
      <c r="J6" s="102"/>
      <c r="K6" s="102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103" t="s">
        <v>61</v>
      </c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</row>
    <row r="7" spans="1:72" x14ac:dyDescent="0.25">
      <c r="A7" s="8"/>
      <c r="B7" s="8"/>
      <c r="C7" s="8"/>
      <c r="D7" s="8"/>
      <c r="E7" s="8"/>
      <c r="F7" s="8"/>
      <c r="G7" s="104"/>
      <c r="H7" s="104"/>
      <c r="I7" s="102"/>
      <c r="J7" s="102"/>
      <c r="K7" s="102"/>
      <c r="L7" s="102"/>
      <c r="M7" s="102"/>
      <c r="N7" s="102"/>
      <c r="O7" s="102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</row>
    <row r="8" spans="1:72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2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105" t="s">
        <v>112</v>
      </c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2" x14ac:dyDescent="0.25">
      <c r="A10" s="106" t="s">
        <v>45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</row>
    <row r="11" spans="1:72" ht="7.8" customHeight="1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2" ht="16.2" customHeight="1" x14ac:dyDescent="0.25">
      <c r="A12" s="95" t="s">
        <v>159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</row>
    <row r="13" spans="1:72" ht="16.2" customHeight="1" x14ac:dyDescent="0.25">
      <c r="A13" s="95" t="s">
        <v>143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</row>
    <row r="14" spans="1:72" ht="16.2" customHeight="1" x14ac:dyDescent="0.25">
      <c r="A14" s="95" t="s">
        <v>144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</row>
    <row r="15" spans="1:72" ht="16.2" customHeight="1" x14ac:dyDescent="0.25">
      <c r="A15" s="107" t="s">
        <v>145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</row>
    <row r="16" spans="1:72" ht="12" customHeight="1" x14ac:dyDescent="0.25">
      <c r="A16" s="110" t="s">
        <v>46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</row>
    <row r="17" spans="1:83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13" t="s">
        <v>9</v>
      </c>
      <c r="AB17" s="8"/>
      <c r="AC17" s="8"/>
      <c r="AD17" s="8"/>
      <c r="AE17" s="111">
        <v>45309</v>
      </c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6"/>
      <c r="AV17" s="16"/>
      <c r="AW17" s="16"/>
      <c r="AX17" s="16"/>
      <c r="AY17" s="16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12"/>
      <c r="BW17" s="54">
        <f>AE17</f>
        <v>45309</v>
      </c>
    </row>
    <row r="18" spans="1:83" x14ac:dyDescent="0.25">
      <c r="A18" s="8" t="s">
        <v>10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 t="s">
        <v>11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12"/>
    </row>
    <row r="19" spans="1:83" ht="13.8" customHeight="1" x14ac:dyDescent="0.25">
      <c r="A19" s="8" t="s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114" t="str">
        <f>VLOOKUP(BJ19,подписанты!$B$3:$C$11,2,FALSE)</f>
        <v>Руководитель группы МТО АО «Газстройпроект»</v>
      </c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64" t="s">
        <v>63</v>
      </c>
      <c r="BK19" s="64"/>
      <c r="BL19" s="64"/>
      <c r="BM19" s="64"/>
      <c r="BN19" s="64"/>
      <c r="BO19" s="64"/>
      <c r="BP19" s="64"/>
      <c r="BQ19" s="64"/>
      <c r="BR19" s="64"/>
      <c r="BS19" s="64"/>
      <c r="BT19" s="64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5" t="s">
        <v>13</v>
      </c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27"/>
      <c r="BL20" s="27"/>
      <c r="BM20" s="27"/>
      <c r="BN20" s="27"/>
      <c r="BO20" s="27"/>
      <c r="BP20" s="17"/>
      <c r="BQ20" s="17"/>
      <c r="BR20" s="17"/>
      <c r="BS20" s="17"/>
      <c r="BT20" s="17"/>
    </row>
    <row r="21" spans="1:83" ht="13.8" customHeight="1" x14ac:dyDescent="0.25">
      <c r="A21" s="8" t="s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66" t="str">
        <f>VLOOKUP(BJ21,подписанты!$B$3:$C$11,2,FALSE)</f>
        <v>Инженер отдела технического надзора АО «Газстройпроект»</v>
      </c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4" t="s">
        <v>68</v>
      </c>
      <c r="BK21" s="64"/>
      <c r="BL21" s="64"/>
      <c r="BM21" s="64"/>
      <c r="BN21" s="64"/>
      <c r="BO21" s="64"/>
      <c r="BP21" s="64"/>
      <c r="BQ21" s="64"/>
      <c r="BR21" s="64"/>
      <c r="BS21" s="64"/>
      <c r="BT21" s="64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65" t="s">
        <v>13</v>
      </c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17"/>
      <c r="BL22" s="17"/>
      <c r="BM22" s="17"/>
      <c r="BN22" s="17"/>
      <c r="BO22" s="17"/>
      <c r="BP22" s="17"/>
      <c r="BQ22" s="17"/>
      <c r="BR22" s="17"/>
      <c r="BS22" s="17"/>
      <c r="BT22" s="17"/>
    </row>
    <row r="23" spans="1:83" ht="40.049999999999997" customHeight="1" x14ac:dyDescent="0.25">
      <c r="A23" s="8" t="s">
        <v>15</v>
      </c>
      <c r="B23" s="8"/>
      <c r="C23" s="8"/>
      <c r="D23" s="8"/>
      <c r="E23" s="8"/>
      <c r="F23" s="8"/>
      <c r="G23" s="8"/>
      <c r="H23" s="8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14" t="str">
        <f>VLOOKUP(BJ23,подписанты!$B$3:$C$11,2,FALSE)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67" t="s">
        <v>91</v>
      </c>
      <c r="BK23" s="67"/>
      <c r="BL23" s="67"/>
      <c r="BM23" s="67"/>
      <c r="BN23" s="67"/>
      <c r="BO23" s="67"/>
      <c r="BP23" s="67"/>
      <c r="BQ23" s="67"/>
      <c r="BR23" s="67"/>
      <c r="BS23" s="67"/>
      <c r="BT23" s="67"/>
    </row>
    <row r="24" spans="1:83" x14ac:dyDescent="0.25">
      <c r="A24" s="8"/>
      <c r="B24" s="8"/>
      <c r="C24" s="8"/>
      <c r="D24" s="8"/>
      <c r="E24" s="8"/>
      <c r="F24" s="8"/>
      <c r="G24" s="8"/>
      <c r="H24" s="8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5" t="s">
        <v>13</v>
      </c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83" x14ac:dyDescent="0.25">
      <c r="A25" s="8" t="s">
        <v>16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8"/>
      <c r="O25" s="69" t="s">
        <v>89</v>
      </c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8" t="s">
        <v>17</v>
      </c>
      <c r="BR25" s="13"/>
      <c r="BS25" s="13"/>
      <c r="BT25" s="13"/>
      <c r="BY25" s="87" t="s">
        <v>80</v>
      </c>
      <c r="BZ25" s="87"/>
      <c r="CA25" s="87"/>
      <c r="CB25" s="87"/>
      <c r="CC25" s="87"/>
      <c r="CD25" s="87"/>
      <c r="CE25" s="87"/>
    </row>
    <row r="26" spans="1:83" ht="13.8" customHeight="1" x14ac:dyDescent="0.25">
      <c r="A26" s="8"/>
      <c r="B26" s="8"/>
      <c r="C26" s="8"/>
      <c r="D26" s="8"/>
      <c r="E26" s="94" t="s">
        <v>47</v>
      </c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4"/>
      <c r="BQ26" s="94"/>
      <c r="BR26" s="94"/>
      <c r="BS26" s="94"/>
      <c r="BT26" s="94"/>
      <c r="BY26" s="87"/>
      <c r="BZ26" s="87"/>
      <c r="CA26" s="87"/>
      <c r="CB26" s="87"/>
      <c r="CC26" s="87"/>
      <c r="CD26" s="87"/>
      <c r="CE26" s="87"/>
    </row>
    <row r="27" spans="1:83" ht="16.2" customHeight="1" x14ac:dyDescent="0.25">
      <c r="A27" s="95" t="s">
        <v>160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Y27" s="58"/>
      <c r="BZ27" s="58"/>
      <c r="CA27" s="58"/>
      <c r="CB27" s="58"/>
      <c r="CC27" s="58"/>
      <c r="CD27" s="58"/>
      <c r="CE27" s="58"/>
    </row>
    <row r="28" spans="1:83" ht="16.2" customHeight="1" x14ac:dyDescent="0.25">
      <c r="A28" s="95" t="s">
        <v>158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Y28" s="58"/>
      <c r="BZ28" s="58"/>
      <c r="CA28" s="58"/>
      <c r="CB28" s="58"/>
      <c r="CC28" s="58"/>
      <c r="CD28" s="58"/>
      <c r="CE28" s="58"/>
    </row>
    <row r="29" spans="1:83" x14ac:dyDescent="0.25">
      <c r="A29" s="95" t="s">
        <v>147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5"/>
      <c r="BQ29" s="95"/>
      <c r="BR29" s="95"/>
      <c r="BS29" s="95"/>
      <c r="BT29" s="95"/>
    </row>
    <row r="30" spans="1:83" x14ac:dyDescent="0.25">
      <c r="A30" s="95" t="s">
        <v>148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5"/>
      <c r="BQ30" s="95"/>
      <c r="BR30" s="95"/>
      <c r="BS30" s="95"/>
      <c r="BT30" s="95"/>
    </row>
    <row r="31" spans="1:83" x14ac:dyDescent="0.25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</row>
    <row r="32" spans="1:83" x14ac:dyDescent="0.25">
      <c r="A32" s="10" t="s">
        <v>18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56"/>
      <c r="S32" s="8"/>
      <c r="T32" s="55"/>
      <c r="U32" s="97" t="s">
        <v>146</v>
      </c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</row>
    <row r="33" spans="1:83" ht="13.8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8" t="s">
        <v>19</v>
      </c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Y33" s="44" t="s">
        <v>82</v>
      </c>
    </row>
    <row r="34" spans="1:83" x14ac:dyDescent="0.25">
      <c r="A34" s="10" t="s">
        <v>20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1"/>
      <c r="T34" s="21"/>
      <c r="U34" s="99" t="s">
        <v>51</v>
      </c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BY34" s="87" t="s">
        <v>83</v>
      </c>
      <c r="BZ34" s="87"/>
      <c r="CA34" s="87"/>
      <c r="CB34" s="87"/>
      <c r="CC34" s="87"/>
      <c r="CD34" s="87"/>
      <c r="CE34" s="87"/>
    </row>
    <row r="35" spans="1:83" x14ac:dyDescent="0.25">
      <c r="A35" s="68" t="s">
        <v>21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Y35" s="87"/>
      <c r="BZ35" s="87"/>
      <c r="CA35" s="87"/>
      <c r="CB35" s="87"/>
      <c r="CC35" s="87"/>
      <c r="CD35" s="87"/>
      <c r="CE35" s="87"/>
    </row>
    <row r="36" spans="1:83" x14ac:dyDescent="0.25">
      <c r="A36" s="8"/>
      <c r="B36" s="8"/>
      <c r="C36" s="8"/>
      <c r="D36" s="8" t="s">
        <v>22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7"/>
      <c r="AH36" s="7"/>
      <c r="AI36" s="7"/>
      <c r="AJ36" s="7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8"/>
      <c r="BM36" s="108"/>
      <c r="BN36" s="108"/>
      <c r="BO36" s="108"/>
      <c r="BP36" s="108"/>
      <c r="BQ36" s="108"/>
      <c r="BR36" s="108"/>
      <c r="BS36" s="108"/>
      <c r="BT36" s="108"/>
      <c r="BY36" s="87"/>
      <c r="BZ36" s="87"/>
      <c r="CA36" s="87"/>
      <c r="CB36" s="87"/>
      <c r="CC36" s="87"/>
      <c r="CD36" s="87"/>
      <c r="CE36" s="87"/>
    </row>
    <row r="37" spans="1:83" ht="13.8" customHeight="1" x14ac:dyDescent="0.25">
      <c r="A37" s="8" t="s">
        <v>23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31"/>
      <c r="AJ37" s="8"/>
      <c r="AK37" s="62"/>
      <c r="AL37" s="109" t="s">
        <v>149</v>
      </c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Y37" s="87"/>
      <c r="BZ37" s="87"/>
      <c r="CA37" s="87"/>
      <c r="CB37" s="87"/>
      <c r="CC37" s="87"/>
      <c r="CD37" s="87"/>
      <c r="CE37" s="87"/>
    </row>
    <row r="38" spans="1:83" x14ac:dyDescent="0.25">
      <c r="A38" s="93" t="s">
        <v>150</v>
      </c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Y38" s="87"/>
      <c r="BZ38" s="87"/>
      <c r="CA38" s="87"/>
      <c r="CB38" s="87"/>
      <c r="CC38" s="87"/>
      <c r="CD38" s="87"/>
      <c r="CE38" s="87"/>
    </row>
    <row r="39" spans="1:83" x14ac:dyDescent="0.25">
      <c r="A39" s="93" t="s">
        <v>151</v>
      </c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Y39" s="87"/>
      <c r="BZ39" s="87"/>
      <c r="CA39" s="87"/>
      <c r="CB39" s="87"/>
      <c r="CC39" s="87"/>
      <c r="CD39" s="87"/>
      <c r="CE39" s="87"/>
    </row>
    <row r="40" spans="1:83" x14ac:dyDescent="0.25">
      <c r="A40" s="93" t="s">
        <v>152</v>
      </c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3"/>
      <c r="BP40" s="93"/>
      <c r="BQ40" s="93"/>
      <c r="BR40" s="93"/>
      <c r="BS40" s="93"/>
      <c r="BT40" s="93"/>
      <c r="BY40" s="87"/>
      <c r="BZ40" s="87"/>
      <c r="CA40" s="87"/>
      <c r="CB40" s="87"/>
      <c r="CC40" s="87"/>
      <c r="CD40" s="87"/>
      <c r="CE40" s="87"/>
    </row>
    <row r="41" spans="1:83" x14ac:dyDescent="0.25">
      <c r="A41" s="93" t="s">
        <v>153</v>
      </c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Y41" s="87"/>
      <c r="BZ41" s="87"/>
      <c r="CA41" s="87"/>
      <c r="CB41" s="87"/>
      <c r="CC41" s="87"/>
      <c r="CD41" s="87"/>
      <c r="CE41" s="87"/>
    </row>
    <row r="42" spans="1:83" x14ac:dyDescent="0.25">
      <c r="A42" s="93" t="s">
        <v>154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Y42" s="87"/>
      <c r="BZ42" s="87"/>
      <c r="CA42" s="87"/>
      <c r="CB42" s="87"/>
      <c r="CC42" s="87"/>
      <c r="CD42" s="87"/>
      <c r="CE42" s="87"/>
    </row>
    <row r="43" spans="1:83" x14ac:dyDescent="0.25">
      <c r="A43" s="93" t="s">
        <v>155</v>
      </c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Y43" s="87"/>
      <c r="BZ43" s="87"/>
      <c r="CA43" s="87"/>
      <c r="CB43" s="87"/>
      <c r="CC43" s="87"/>
      <c r="CD43" s="87"/>
      <c r="CE43" s="87"/>
    </row>
    <row r="44" spans="1:83" x14ac:dyDescent="0.25">
      <c r="A44" s="93" t="s">
        <v>156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Y44" s="87"/>
      <c r="BZ44" s="87"/>
      <c r="CA44" s="87"/>
      <c r="CB44" s="87"/>
      <c r="CC44" s="87"/>
      <c r="CD44" s="87"/>
      <c r="CE44" s="87"/>
    </row>
    <row r="45" spans="1:83" ht="13.8" customHeight="1" x14ac:dyDescent="0.25">
      <c r="A45" s="65" t="s">
        <v>24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57"/>
      <c r="BY45" s="87"/>
      <c r="BZ45" s="87"/>
      <c r="CA45" s="87"/>
      <c r="CB45" s="87"/>
      <c r="CC45" s="87"/>
      <c r="CD45" s="87"/>
      <c r="CE45" s="87"/>
    </row>
    <row r="46" spans="1:83" x14ac:dyDescent="0.25">
      <c r="A46" s="88" t="s">
        <v>57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Y46" s="87"/>
      <c r="BZ46" s="87"/>
      <c r="CA46" s="87"/>
      <c r="CB46" s="87"/>
      <c r="CC46" s="87"/>
      <c r="CD46" s="87"/>
      <c r="CE46" s="87"/>
    </row>
    <row r="47" spans="1:83" x14ac:dyDescent="0.25">
      <c r="A47" s="18" t="s">
        <v>58</v>
      </c>
      <c r="B47" s="19"/>
      <c r="C47" s="19"/>
      <c r="D47" s="89" t="s">
        <v>163</v>
      </c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</row>
    <row r="48" spans="1:83" x14ac:dyDescent="0.25">
      <c r="A48" s="18"/>
      <c r="B48" s="19"/>
      <c r="C48" s="19"/>
      <c r="D48" s="89" t="s">
        <v>164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</row>
    <row r="49" spans="1:77" x14ac:dyDescent="0.25">
      <c r="A49" s="18"/>
      <c r="B49" s="19"/>
      <c r="C49" s="19"/>
      <c r="D49" s="89" t="s">
        <v>144</v>
      </c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</row>
    <row r="50" spans="1:77" x14ac:dyDescent="0.25">
      <c r="A50" s="18"/>
      <c r="B50" s="19"/>
      <c r="C50" s="19"/>
      <c r="D50" s="89" t="s">
        <v>145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</row>
    <row r="51" spans="1:77" x14ac:dyDescent="0.25">
      <c r="A51" s="8"/>
      <c r="B51" s="8"/>
      <c r="C51" s="8"/>
      <c r="D51" s="90" t="s">
        <v>25</v>
      </c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</row>
    <row r="52" spans="1:77" x14ac:dyDescent="0.25">
      <c r="A52" s="8" t="s">
        <v>26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33"/>
      <c r="Y52" s="115" t="s">
        <v>161</v>
      </c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115"/>
      <c r="BY52" t="s">
        <v>84</v>
      </c>
    </row>
    <row r="53" spans="1:77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63"/>
      <c r="Y53" s="116" t="s">
        <v>162</v>
      </c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  <c r="BR53" s="116"/>
      <c r="BS53" s="116"/>
      <c r="BT53" s="116"/>
    </row>
    <row r="54" spans="1:77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20"/>
      <c r="Y54" s="65" t="s">
        <v>27</v>
      </c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Y54" t="s">
        <v>85</v>
      </c>
    </row>
    <row r="55" spans="1:77" x14ac:dyDescent="0.25">
      <c r="A55" s="8" t="s">
        <v>28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7"/>
      <c r="AG55" s="7"/>
      <c r="AH55" s="7"/>
      <c r="AI55" s="7"/>
      <c r="AJ55" s="77" t="s">
        <v>29</v>
      </c>
      <c r="AK55" s="77"/>
      <c r="AL55" s="77"/>
      <c r="AM55" s="77"/>
      <c r="AN55" s="77"/>
      <c r="AO55" s="77"/>
      <c r="AP55" s="77"/>
      <c r="AQ55" s="77"/>
      <c r="AR55" s="77"/>
      <c r="AS55" s="77"/>
      <c r="AT55" s="78" t="s">
        <v>72</v>
      </c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</row>
    <row r="56" spans="1:77" ht="13.8" customHeight="1" x14ac:dyDescent="0.25">
      <c r="A56" s="10" t="s">
        <v>30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55"/>
      <c r="O56" s="55"/>
      <c r="P56" s="55"/>
      <c r="Q56" s="79" t="str">
        <f>U32</f>
        <v>ПП2020РД-1.2-61.17-ОВ3, ПП2020РД-1.2-61.17-ОВ3.СО изм. 2  лист 3</v>
      </c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</row>
    <row r="57" spans="1:77" ht="13.8" customHeight="1" x14ac:dyDescent="0.25">
      <c r="A57" s="8"/>
      <c r="B57" s="8"/>
      <c r="C57" s="8"/>
      <c r="D57" s="10" t="s">
        <v>31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1"/>
      <c r="X57" s="8"/>
      <c r="Y57" s="32"/>
      <c r="Z57" s="32"/>
      <c r="AA57" s="80" t="str">
        <f>AL37</f>
        <v>Паспорт изделия б/н от 11.10.2023 г.;</v>
      </c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0"/>
      <c r="BO57" s="80"/>
      <c r="BP57" s="80"/>
      <c r="BQ57" s="80"/>
      <c r="BR57" s="80"/>
      <c r="BS57" s="80"/>
      <c r="BT57" s="80"/>
    </row>
    <row r="58" spans="1:77" ht="13.8" customHeight="1" x14ac:dyDescent="0.25">
      <c r="A58" s="81" t="str">
        <f>A38</f>
        <v>Информационное письмо Исх. № ОТК/109 от 10.09.2018 г.;</v>
      </c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</row>
    <row r="59" spans="1:77" x14ac:dyDescent="0.25">
      <c r="A59" s="81" t="str">
        <f>A39</f>
        <v>Технический паспорт и руководство по эксплуатации б/н от 12.10.2023 г.;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</row>
    <row r="60" spans="1:77" x14ac:dyDescent="0.25">
      <c r="A60" s="81" t="str">
        <f>A40</f>
        <v>Информационное письмо Исх. № 1523/Л от 26.01.2022 г.;</v>
      </c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</row>
    <row r="61" spans="1:77" x14ac:dyDescent="0.25">
      <c r="A61" s="81" t="str">
        <f t="shared" ref="A61:A64" si="0">A41</f>
        <v>Сертификат качества № 20-009-008390-23 от 22.11.2023 г.;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</row>
    <row r="62" spans="1:77" x14ac:dyDescent="0.25">
      <c r="A62" s="81" t="str">
        <f t="shared" si="0"/>
        <v>Сертификат соответствия № ЮАЧ1.RU.1406.H.00200 с 25.11.2022 г. по 24.11.2025 г.;</v>
      </c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</row>
    <row r="63" spans="1:77" x14ac:dyDescent="0.25">
      <c r="A63" s="81" t="str">
        <f t="shared" si="0"/>
        <v>Паспорт качества № 548 от 27.09.2023 г.;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</row>
    <row r="64" spans="1:77" x14ac:dyDescent="0.25">
      <c r="A64" s="81" t="str">
        <f t="shared" si="0"/>
        <v>Сертификат соответствия № НСОПБ.PL.ЭО.ПР.179.Н.00388 с 03.08.2021 г. по 02.08.2026 г.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</row>
    <row r="65" spans="1:77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82" t="s">
        <v>32</v>
      </c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</row>
    <row r="66" spans="1:77" ht="13.8" customHeight="1" x14ac:dyDescent="0.25">
      <c r="A66" s="8" t="s">
        <v>33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23"/>
    </row>
    <row r="67" spans="1:77" x14ac:dyDescent="0.25">
      <c r="A67" s="34"/>
      <c r="B67" s="8"/>
      <c r="C67" s="8"/>
      <c r="D67" s="8" t="s">
        <v>34</v>
      </c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7"/>
      <c r="X67" s="7"/>
      <c r="Y67" s="7"/>
      <c r="Z67" s="7"/>
      <c r="AA67" s="34"/>
      <c r="AB67" s="7"/>
      <c r="AC67" s="34"/>
      <c r="AD67" s="83" t="s">
        <v>35</v>
      </c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</row>
    <row r="68" spans="1:77" x14ac:dyDescent="0.25">
      <c r="A68" s="8"/>
      <c r="B68" s="8"/>
      <c r="C68" s="8"/>
      <c r="D68" s="8"/>
      <c r="E68" s="8"/>
      <c r="F68" s="8"/>
      <c r="G68" s="8"/>
      <c r="H68" s="8"/>
      <c r="I68" s="8"/>
      <c r="J68" s="84" t="s">
        <v>36</v>
      </c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Y68" t="s">
        <v>86</v>
      </c>
    </row>
    <row r="69" spans="1:77" x14ac:dyDescent="0.25">
      <c r="A69" s="10" t="s">
        <v>37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/>
      <c r="V69" s="28"/>
      <c r="W69" s="35"/>
      <c r="X69" s="29"/>
      <c r="Y69" s="85" t="str">
        <f>U32</f>
        <v>ПП2020РД-1.2-61.17-ОВ3, ПП2020РД-1.2-61.17-ОВ3.СО изм. 2  лист 3</v>
      </c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</row>
    <row r="70" spans="1:77" ht="16.2" customHeight="1" x14ac:dyDescent="0.25">
      <c r="A70" s="8" t="s">
        <v>38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34"/>
      <c r="M70" s="24"/>
      <c r="N70" s="86" t="s">
        <v>157</v>
      </c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Y70" t="s">
        <v>87</v>
      </c>
    </row>
    <row r="71" spans="1:77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Y71" t="s">
        <v>88</v>
      </c>
    </row>
    <row r="72" spans="1:77" x14ac:dyDescent="0.25">
      <c r="A72" s="8" t="s">
        <v>39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2"/>
    </row>
    <row r="73" spans="1:77" x14ac:dyDescent="0.25">
      <c r="A73" s="8" t="s">
        <v>12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76" t="str">
        <f>BJ19</f>
        <v>Кострова Н.Л.</v>
      </c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8"/>
      <c r="AP73" s="8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8"/>
      <c r="BG73" s="8"/>
      <c r="BH73" s="71">
        <f>AE17</f>
        <v>45309</v>
      </c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12"/>
    </row>
    <row r="74" spans="1:77" ht="13.8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65" t="s">
        <v>59</v>
      </c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30"/>
      <c r="AP74" s="30"/>
      <c r="AQ74" s="65" t="s">
        <v>40</v>
      </c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30"/>
      <c r="BG74" s="30"/>
      <c r="BH74" s="65" t="s">
        <v>41</v>
      </c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26"/>
    </row>
    <row r="75" spans="1:77" x14ac:dyDescent="0.25">
      <c r="A75" s="8" t="s">
        <v>42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2"/>
    </row>
    <row r="76" spans="1:77" ht="16.8" customHeight="1" x14ac:dyDescent="0.25">
      <c r="A76" s="8" t="s">
        <v>43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76" t="str">
        <f>BJ21</f>
        <v>Халыгов Э. А.</v>
      </c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8"/>
      <c r="AP76" s="8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8"/>
      <c r="BG76" s="8"/>
      <c r="BH76" s="71">
        <f>BH73</f>
        <v>45309</v>
      </c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12"/>
    </row>
    <row r="77" spans="1:77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65" t="s">
        <v>59</v>
      </c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30"/>
      <c r="AP77" s="30"/>
      <c r="AQ77" s="65" t="s">
        <v>40</v>
      </c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30"/>
      <c r="BG77" s="30"/>
      <c r="BH77" s="65" t="s">
        <v>41</v>
      </c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12"/>
    </row>
    <row r="78" spans="1:77" x14ac:dyDescent="0.25">
      <c r="A78" s="8" t="s">
        <v>39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12"/>
    </row>
    <row r="79" spans="1:77" x14ac:dyDescent="0.25">
      <c r="A79" s="8" t="s">
        <v>44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69" t="str">
        <f>BJ23</f>
        <v>Тюкин Е.В.</v>
      </c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8"/>
      <c r="AP79" s="8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8"/>
      <c r="BG79" s="8"/>
      <c r="BH79" s="71">
        <f>BH73</f>
        <v>45309</v>
      </c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12"/>
    </row>
    <row r="80" spans="1:77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65" t="s">
        <v>59</v>
      </c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30"/>
      <c r="AP80" s="30"/>
      <c r="AQ80" s="65" t="s">
        <v>40</v>
      </c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30"/>
      <c r="BG80" s="30"/>
      <c r="BH80" s="65" t="s">
        <v>41</v>
      </c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12"/>
    </row>
    <row r="81" spans="1:72" x14ac:dyDescent="0.25">
      <c r="A81" s="13"/>
      <c r="B81" s="13"/>
      <c r="C81" s="13"/>
      <c r="D81" s="7"/>
      <c r="E81" s="7"/>
      <c r="F81" s="7"/>
      <c r="G81" s="7"/>
      <c r="H81" s="7"/>
      <c r="I81" s="7"/>
      <c r="J81" s="7"/>
      <c r="K81" s="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12"/>
    </row>
    <row r="82" spans="1:72" x14ac:dyDescent="0.25">
      <c r="A82" s="72" t="s">
        <v>107</v>
      </c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13"/>
      <c r="AN82" s="13"/>
      <c r="AO82" s="8"/>
      <c r="AP82" s="8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8"/>
      <c r="BG82" s="8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12"/>
    </row>
    <row r="83" spans="1:72" x14ac:dyDescent="0.25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10"/>
      <c r="AN83" s="10"/>
      <c r="AO83" s="8"/>
      <c r="AP83" s="8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8"/>
      <c r="BG83" s="8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12"/>
    </row>
    <row r="84" spans="1:72" x14ac:dyDescent="0.25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12"/>
    </row>
  </sheetData>
  <mergeCells count="97">
    <mergeCell ref="A44:BT44"/>
    <mergeCell ref="A61:BT61"/>
    <mergeCell ref="A62:BT62"/>
    <mergeCell ref="A63:BT63"/>
    <mergeCell ref="A64:BT64"/>
    <mergeCell ref="AJ55:AS55"/>
    <mergeCell ref="AT55:BT55"/>
    <mergeCell ref="D49:BT49"/>
    <mergeCell ref="D50:BT50"/>
    <mergeCell ref="Q56:BT56"/>
    <mergeCell ref="AA57:BT57"/>
    <mergeCell ref="A58:BT58"/>
    <mergeCell ref="A59:BT59"/>
    <mergeCell ref="A60:BT60"/>
    <mergeCell ref="Y53:BT53"/>
    <mergeCell ref="A30:BT30"/>
    <mergeCell ref="A41:BT41"/>
    <mergeCell ref="A42:BT42"/>
    <mergeCell ref="A43:BT43"/>
    <mergeCell ref="AL37:BT37"/>
    <mergeCell ref="X80:AN80"/>
    <mergeCell ref="AQ80:BE80"/>
    <mergeCell ref="BH80:BS80"/>
    <mergeCell ref="A82:AL84"/>
    <mergeCell ref="AQ82:BE82"/>
    <mergeCell ref="BH82:BS82"/>
    <mergeCell ref="AQ83:BE83"/>
    <mergeCell ref="BH83:BS83"/>
    <mergeCell ref="X77:AN77"/>
    <mergeCell ref="AQ77:BE77"/>
    <mergeCell ref="BH77:BS77"/>
    <mergeCell ref="X79:AN79"/>
    <mergeCell ref="AQ79:BE79"/>
    <mergeCell ref="BH79:BS79"/>
    <mergeCell ref="N70:BT70"/>
    <mergeCell ref="X74:AN74"/>
    <mergeCell ref="AQ74:BE74"/>
    <mergeCell ref="BH74:BS74"/>
    <mergeCell ref="X76:AN76"/>
    <mergeCell ref="AQ76:BE76"/>
    <mergeCell ref="BH76:BS76"/>
    <mergeCell ref="X73:AN73"/>
    <mergeCell ref="AQ73:BE73"/>
    <mergeCell ref="BH73:BS73"/>
    <mergeCell ref="V65:BT65"/>
    <mergeCell ref="AD67:BT67"/>
    <mergeCell ref="J68:BT68"/>
    <mergeCell ref="Y69:BT69"/>
    <mergeCell ref="A46:BT46"/>
    <mergeCell ref="D48:BT48"/>
    <mergeCell ref="D51:BT51"/>
    <mergeCell ref="Y52:BT52"/>
    <mergeCell ref="Y54:BT54"/>
    <mergeCell ref="BY25:CE26"/>
    <mergeCell ref="E26:BT26"/>
    <mergeCell ref="A27:BT27"/>
    <mergeCell ref="D47:BT47"/>
    <mergeCell ref="A31:BT31"/>
    <mergeCell ref="U32:BT32"/>
    <mergeCell ref="P33:BT33"/>
    <mergeCell ref="U34:BT34"/>
    <mergeCell ref="A35:BT35"/>
    <mergeCell ref="AK36:BT36"/>
    <mergeCell ref="A38:BT38"/>
    <mergeCell ref="BY34:CE46"/>
    <mergeCell ref="A39:BT39"/>
    <mergeCell ref="A40:BT40"/>
    <mergeCell ref="A45:BT45"/>
    <mergeCell ref="A28:BT28"/>
    <mergeCell ref="A29:BT29"/>
    <mergeCell ref="T20:BJ20"/>
    <mergeCell ref="S21:BI21"/>
    <mergeCell ref="BJ21:BT21"/>
    <mergeCell ref="T22:BJ22"/>
    <mergeCell ref="S23:BI23"/>
    <mergeCell ref="BJ23:BT23"/>
    <mergeCell ref="T24:BJ24"/>
    <mergeCell ref="O25:BP25"/>
    <mergeCell ref="S19:BI19"/>
    <mergeCell ref="BJ19:BT19"/>
    <mergeCell ref="AH6:BT7"/>
    <mergeCell ref="G7:H7"/>
    <mergeCell ref="I7:O7"/>
    <mergeCell ref="AF9:AW9"/>
    <mergeCell ref="A10:BT10"/>
    <mergeCell ref="A12:BT12"/>
    <mergeCell ref="A13:BT13"/>
    <mergeCell ref="A14:BT14"/>
    <mergeCell ref="A16:BT16"/>
    <mergeCell ref="AE17:AT17"/>
    <mergeCell ref="A15:BT15"/>
    <mergeCell ref="A3:E3"/>
    <mergeCell ref="F3:H3"/>
    <mergeCell ref="I3:K3"/>
    <mergeCell ref="A6:E6"/>
    <mergeCell ref="F6:H6"/>
    <mergeCell ref="I6:K6"/>
  </mergeCells>
  <dataValidations count="4">
    <dataValidation type="list" showInputMessage="1" showErrorMessage="1" sqref="G7:H7" xr:uid="{00000000-0002-0000-0600-000000000000}">
      <formula1>"1,2"</formula1>
    </dataValidation>
    <dataValidation type="list" allowBlank="1" showInputMessage="1" showErrorMessage="1" sqref="F6:H6 F3:H3" xr:uid="{00000000-0002-0000-0600-000001000000}">
      <formula1>"I.I,I.II,II,III,IV,V,V.I,V.II"</formula1>
    </dataValidation>
    <dataValidation type="list" allowBlank="1" showInputMessage="1" showErrorMessage="1" sqref="N25" xr:uid="{00000000-0002-0000-0600-000002000000}">
      <formula1>"выборочный,сплошной"</formula1>
    </dataValidation>
    <dataValidation type="list" errorStyle="information" allowBlank="1" showInputMessage="1" sqref="O25:BP25" xr:uid="{00000000-0002-0000-0600-000003000000}">
      <formula1>"выборочный,сплошной"</formula1>
    </dataValidation>
  </dataValidations>
  <pageMargins left="0.70866141732283472" right="0.19685039370078741" top="0.39370078740157483" bottom="0.39370078740157483" header="0.19685039370078741" footer="0.19685039370078741"/>
  <pageSetup paperSize="9" scale="87" fitToHeight="0" orientation="portrait" blackAndWhite="1" r:id="rId1"/>
  <rowBreaks count="2" manualBreakCount="2">
    <brk id="62" max="71" man="1"/>
    <brk id="84" max="7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InputMessage="1" showErrorMessage="1" xr:uid="{00000000-0002-0000-0600-000004000000}">
          <x14:formula1>
            <xm:f>'Лист общих данных'!$B$6:$B$12</xm:f>
          </x14:formula1>
          <xm:sqref>S34:U34</xm:sqref>
        </x14:dataValidation>
        <x14:dataValidation type="list" errorStyle="information" allowBlank="1" showInputMessage="1" xr:uid="{00000000-0002-0000-0600-000005000000}">
          <x14:formula1>
            <xm:f>'Лист общих данных'!$C$6:$C$12</xm:f>
          </x14:formula1>
          <xm:sqref>T32:U32</xm:sqref>
        </x14:dataValidation>
        <x14:dataValidation type="list" allowBlank="1" showInputMessage="1" showErrorMessage="1" xr:uid="{00000000-0002-0000-0600-000006000000}">
          <x14:formula1>
            <xm:f>подписанты!$B$3:$B$4</xm:f>
          </x14:formula1>
          <xm:sqref>BJ19:BT19</xm:sqref>
        </x14:dataValidation>
        <x14:dataValidation type="list" allowBlank="1" showInputMessage="1" showErrorMessage="1" xr:uid="{00000000-0002-0000-0600-000007000000}">
          <x14:formula1>
            <xm:f>подписанты!$B$5:$B$7</xm:f>
          </x14:formula1>
          <xm:sqref>BJ21:BT21</xm:sqref>
        </x14:dataValidation>
        <x14:dataValidation type="list" allowBlank="1" showInputMessage="1" showErrorMessage="1" xr:uid="{00000000-0002-0000-0600-000008000000}">
          <x14:formula1>
            <xm:f>подписанты!$B$8:$B$9</xm:f>
          </x14:formula1>
          <xm:sqref>BJ23:BT23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F12"/>
  <sheetViews>
    <sheetView topLeftCell="B1" workbookViewId="0">
      <selection activeCell="C11" sqref="C11"/>
    </sheetView>
  </sheetViews>
  <sheetFormatPr defaultRowHeight="13.8" x14ac:dyDescent="0.25"/>
  <cols>
    <col min="1" max="1" width="27.109375" style="36" customWidth="1"/>
    <col min="2" max="2" width="21.6640625" style="36" customWidth="1"/>
    <col min="3" max="3" width="49.77734375" style="36" customWidth="1"/>
    <col min="4" max="5" width="10.109375" style="36" customWidth="1"/>
    <col min="6" max="6" width="44.77734375" style="36" customWidth="1"/>
    <col min="7" max="16384" width="8.88671875" style="36"/>
  </cols>
  <sheetData>
    <row r="2" spans="1:6" ht="29.4" customHeight="1" x14ac:dyDescent="0.25">
      <c r="A2" s="42" t="s">
        <v>10</v>
      </c>
      <c r="B2" s="43" t="s">
        <v>76</v>
      </c>
      <c r="C2" s="43" t="s">
        <v>75</v>
      </c>
      <c r="D2" s="41" t="s">
        <v>73</v>
      </c>
      <c r="E2" s="41" t="s">
        <v>74</v>
      </c>
    </row>
    <row r="3" spans="1:6" x14ac:dyDescent="0.25">
      <c r="A3" s="37" t="s">
        <v>12</v>
      </c>
      <c r="B3" s="36" t="s">
        <v>63</v>
      </c>
      <c r="C3" s="45" t="s">
        <v>64</v>
      </c>
      <c r="D3" s="39">
        <v>44927</v>
      </c>
      <c r="E3" s="39">
        <v>45337</v>
      </c>
    </row>
    <row r="4" spans="1:6" x14ac:dyDescent="0.25">
      <c r="A4" s="37" t="s">
        <v>12</v>
      </c>
      <c r="B4" s="36" t="s">
        <v>77</v>
      </c>
      <c r="C4" s="45" t="s">
        <v>78</v>
      </c>
      <c r="D4" s="39">
        <v>45337</v>
      </c>
      <c r="E4" s="39">
        <v>45657</v>
      </c>
    </row>
    <row r="5" spans="1:6" x14ac:dyDescent="0.25">
      <c r="A5" s="37" t="s">
        <v>14</v>
      </c>
      <c r="B5" s="36" t="s">
        <v>68</v>
      </c>
      <c r="C5" s="38" t="s">
        <v>67</v>
      </c>
      <c r="D5" s="39">
        <v>45166</v>
      </c>
      <c r="E5" s="39">
        <v>45657</v>
      </c>
    </row>
    <row r="6" spans="1:6" x14ac:dyDescent="0.25">
      <c r="A6" s="37" t="s">
        <v>14</v>
      </c>
      <c r="B6" s="36" t="s">
        <v>79</v>
      </c>
      <c r="C6" s="59" t="s">
        <v>108</v>
      </c>
      <c r="D6" s="39">
        <v>44927</v>
      </c>
      <c r="E6" s="39">
        <v>45166</v>
      </c>
    </row>
    <row r="7" spans="1:6" ht="27.6" x14ac:dyDescent="0.25">
      <c r="A7" s="37" t="s">
        <v>14</v>
      </c>
      <c r="B7" s="48" t="s">
        <v>92</v>
      </c>
      <c r="C7" s="38" t="s">
        <v>67</v>
      </c>
      <c r="D7" s="39">
        <v>45278</v>
      </c>
      <c r="E7" s="39">
        <v>45342</v>
      </c>
      <c r="F7" s="47" t="s">
        <v>93</v>
      </c>
    </row>
    <row r="8" spans="1:6" ht="55.2" x14ac:dyDescent="0.25">
      <c r="A8" s="49" t="s">
        <v>15</v>
      </c>
      <c r="B8" s="50" t="s">
        <v>66</v>
      </c>
      <c r="C8" s="51" t="s">
        <v>65</v>
      </c>
      <c r="D8" s="52">
        <v>44927</v>
      </c>
      <c r="E8" s="52">
        <v>45657</v>
      </c>
    </row>
    <row r="9" spans="1:6" ht="55.2" x14ac:dyDescent="0.25">
      <c r="A9" s="40" t="s">
        <v>15</v>
      </c>
      <c r="B9" s="36" t="s">
        <v>91</v>
      </c>
      <c r="C9" s="46" t="s">
        <v>90</v>
      </c>
      <c r="F9" s="53" t="s">
        <v>94</v>
      </c>
    </row>
    <row r="11" spans="1:6" x14ac:dyDescent="0.25">
      <c r="A11" s="37"/>
      <c r="B11" s="53" t="s">
        <v>109</v>
      </c>
      <c r="C11" s="45" t="s">
        <v>78</v>
      </c>
    </row>
    <row r="12" spans="1:6" x14ac:dyDescent="0.25">
      <c r="A12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98</v>
      </c>
      <c r="B5" s="2" t="s">
        <v>48</v>
      </c>
      <c r="C5" s="2" t="s">
        <v>49</v>
      </c>
      <c r="D5" s="2" t="s">
        <v>106</v>
      </c>
    </row>
    <row r="6" spans="1:4" ht="27.6" x14ac:dyDescent="0.25">
      <c r="A6" s="6" t="s">
        <v>95</v>
      </c>
      <c r="B6" s="3" t="s">
        <v>50</v>
      </c>
      <c r="C6" s="5" t="s">
        <v>99</v>
      </c>
    </row>
    <row r="7" spans="1:4" x14ac:dyDescent="0.25">
      <c r="A7" s="6" t="s">
        <v>96</v>
      </c>
      <c r="B7" s="3" t="s">
        <v>51</v>
      </c>
      <c r="C7" s="1" t="s">
        <v>100</v>
      </c>
    </row>
    <row r="8" spans="1:4" x14ac:dyDescent="0.25">
      <c r="A8" s="6" t="s">
        <v>97</v>
      </c>
      <c r="B8" s="3" t="s">
        <v>52</v>
      </c>
      <c r="C8" s="1" t="s">
        <v>101</v>
      </c>
    </row>
    <row r="9" spans="1:4" x14ac:dyDescent="0.25">
      <c r="A9" s="6">
        <v>56</v>
      </c>
      <c r="B9" s="3" t="s">
        <v>53</v>
      </c>
      <c r="C9" s="1" t="s">
        <v>102</v>
      </c>
    </row>
    <row r="10" spans="1:4" ht="27.6" x14ac:dyDescent="0.25">
      <c r="A10" s="6">
        <v>57</v>
      </c>
      <c r="B10" s="3" t="s">
        <v>54</v>
      </c>
      <c r="C10" s="4" t="s">
        <v>103</v>
      </c>
    </row>
    <row r="11" spans="1:4" ht="27.6" x14ac:dyDescent="0.25">
      <c r="A11" s="6">
        <v>110</v>
      </c>
      <c r="B11" s="3" t="s">
        <v>55</v>
      </c>
      <c r="C11" s="6" t="s">
        <v>104</v>
      </c>
    </row>
    <row r="12" spans="1:4" ht="27.6" x14ac:dyDescent="0.25">
      <c r="A12" s="6">
        <v>111</v>
      </c>
      <c r="B12" s="3" t="s">
        <v>56</v>
      </c>
      <c r="C12" s="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123р труба ппр, фитинги</vt:lpstr>
      <vt:lpstr>126р</vt:lpstr>
      <vt:lpstr>подписанты</vt:lpstr>
      <vt:lpstr>Лист общих данных</vt:lpstr>
      <vt:lpstr>'123р труба ппр, фитинги'!Область_печати</vt:lpstr>
      <vt:lpstr>'126р'!Область_печати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sasha</cp:lastModifiedBy>
  <cp:lastPrinted>2026-02-16T15:12:59Z</cp:lastPrinted>
  <dcterms:created xsi:type="dcterms:W3CDTF">2023-09-19T09:44:50Z</dcterms:created>
  <dcterms:modified xsi:type="dcterms:W3CDTF">2026-02-16T15:14:46Z</dcterms:modified>
</cp:coreProperties>
</file>