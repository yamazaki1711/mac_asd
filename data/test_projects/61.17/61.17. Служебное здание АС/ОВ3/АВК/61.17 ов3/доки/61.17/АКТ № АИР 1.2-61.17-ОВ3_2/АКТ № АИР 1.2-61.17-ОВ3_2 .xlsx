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2\"/>
    </mc:Choice>
  </mc:AlternateContent>
  <xr:revisionPtr revIDLastSave="0" documentId="13_ncr:1_{8E5824EC-29C3-4CC3-A51E-D7617E629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акт!$A$1:$BU$106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3" i="18" l="1"/>
  <c r="A84" i="18"/>
  <c r="A85" i="18"/>
  <c r="A82" i="18"/>
  <c r="A81" i="18"/>
  <c r="A65" i="18" l="1"/>
  <c r="A64" i="18"/>
  <c r="A63" i="18"/>
  <c r="A77" i="18"/>
  <c r="A80" i="18"/>
  <c r="A79" i="18" l="1"/>
  <c r="A78" i="18"/>
  <c r="A76" i="18"/>
  <c r="A62" i="18"/>
  <c r="A61" i="18"/>
  <c r="A60" i="18"/>
  <c r="D59" i="18"/>
  <c r="A75" i="18" l="1"/>
  <c r="A74" i="18" l="1"/>
  <c r="S25" i="18" l="1"/>
  <c r="S23" i="18"/>
  <c r="S21" i="18"/>
  <c r="A91" i="18" l="1"/>
  <c r="X101" i="18" l="1"/>
  <c r="X98" i="18"/>
  <c r="BH95" i="18"/>
  <c r="BH101" i="18" s="1"/>
  <c r="X95" i="18"/>
  <c r="Y90" i="18"/>
  <c r="AA71" i="18"/>
  <c r="Q70" i="18"/>
  <c r="BH98" i="18" l="1"/>
</calcChain>
</file>

<file path=xl/sharedStrings.xml><?xml version="1.0" encoding="utf-8"?>
<sst xmlns="http://schemas.openxmlformats.org/spreadsheetml/2006/main" count="167" uniqueCount="142">
  <si>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</si>
  <si>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</si>
  <si>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</si>
  <si>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</si>
  <si>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</si>
  <si>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</si>
  <si>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</si>
  <si>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</si>
  <si>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</si>
  <si>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</si>
  <si>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</si>
  <si>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</si>
  <si>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</si>
  <si>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</si>
  <si>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</si>
  <si>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</si>
  <si>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</si>
  <si>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</si>
  <si>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</si>
  <si>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</si>
  <si>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</si>
  <si>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</si>
  <si>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</si>
  <si>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</si>
  <si>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</si>
  <si>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</si>
  <si>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</si>
  <si>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</si>
  <si>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</si>
  <si>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</si>
  <si>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</si>
  <si>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</si>
  <si>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</si>
  <si>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</si>
  <si>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</si>
  <si>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</si>
  <si>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</si>
  <si>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</si>
  <si>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</si>
  <si>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</si>
  <si>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</si>
  <si>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</si>
  <si>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</si>
  <si>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</si>
  <si>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</si>
  <si>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</si>
  <si>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</si>
  <si>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</si>
  <si>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</si>
  <si>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</si>
  <si>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</si>
  <si>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</si>
  <si>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</si>
  <si>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</si>
  <si>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</si>
  <si>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</si>
  <si>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</si>
  <si>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</si>
  <si>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</si>
  <si>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</si>
  <si>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</si>
  <si>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</si>
  <si>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</si>
  <si>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</si>
  <si>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</si>
  <si>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</si>
  <si>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</si>
  <si>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ВК произведен 
в соответствиями 
с требованиями НТД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</si>
  <si>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</si>
  <si>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</si>
  <si>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</si>
  <si>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</si>
  <si>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</si>
  <si>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</si>
  <si>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</si>
  <si>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</si>
  <si>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</si>
  <si>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</si>
  <si>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</si>
  <si>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</si>
  <si>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</si>
  <si>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</si>
  <si>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</si>
  <si>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</si>
  <si>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</si>
  <si>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</si>
  <si>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</si>
  <si>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</si>
  <si>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</si>
  <si>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</si>
  <si>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</si>
  <si>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</si>
  <si>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</si>
  <si>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</si>
  <si>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</si>
  <si>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</si>
  <si>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</si>
  <si>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</si>
  <si>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</si>
  <si>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</si>
  <si>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</si>
  <si>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</si>
  <si>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</si>
  <si>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</si>
  <si>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</si>
  <si>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</si>
  <si>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</si>
  <si>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</si>
  <si>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</si>
  <si>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>-</t>
  </si>
  <si>
    <t>что:</t>
  </si>
  <si>
    <t>Тишаков В.В.</t>
  </si>
  <si>
    <t>АИР 1.2-61.17-ОВ3/2</t>
  </si>
  <si>
    <t>ПП2020РД-1.2-61.17-ОВ3, ПП2020РД-1.2-61.17-ОВ3.СО изм.2 л. 2</t>
  </si>
  <si>
    <t xml:space="preserve">Изделия теплоизоляционные на основе вспененного синтетического каучука Unionflex STD, толщина 9 мм: </t>
  </si>
  <si>
    <t>для труб Ø6,35 09х006;</t>
  </si>
  <si>
    <t>для труб Ø9,52 09х010;</t>
  </si>
  <si>
    <t>для труб Ø12,70 09х012;</t>
  </si>
  <si>
    <t>для труб Ø15,88 09х018;</t>
  </si>
  <si>
    <t>для труб Ø28,58 09х028.</t>
  </si>
  <si>
    <t>Медная труба:  Ø6,35;  Ø9,52;  Ø12,70;  Ø15,88;  Ø28,58;</t>
  </si>
  <si>
    <t>Медная труба:  Ø6,35 - 39,6 м;  Ø9,52 - 45,9 м;  Ø12,70 - 39,6 м;  Ø15,88 - 53,8 м;  Ø28,58 - 8,4 м;</t>
  </si>
  <si>
    <t>для труб Ø6,35 09х006 - 39,6 м;</t>
  </si>
  <si>
    <t>для труб Ø9,52 09х010 - 45,9 м;</t>
  </si>
  <si>
    <t>для труб Ø12,70 09х012 - 39,6 м;</t>
  </si>
  <si>
    <t>для труб Ø15,88 09х018 - 53,8 м;</t>
  </si>
  <si>
    <t>для труб Ø28,58 09х028 - 8,4 м.</t>
  </si>
  <si>
    <t>Сертификат качества № ICG000647 от 23.03.2023 г.;</t>
  </si>
  <si>
    <t>Сертификат качества № ICG000651 от 27.03.2023 г.;</t>
  </si>
  <si>
    <t>Сертификат качества № ICG000945 от 24.05.2023 г.;</t>
  </si>
  <si>
    <t>Сертификат качества № ICG000955 от 25.04.2023 г.;</t>
  </si>
  <si>
    <t>Сертификат качества № ICG000922 от 12.04.2023 г.;</t>
  </si>
  <si>
    <t>Сертификат соответствия № РОСС.UZ.НХ37.Н10322 с 22.06.2021 г. по 21.06.2024 г.;</t>
  </si>
  <si>
    <t>Паспорт качества №391 от 23.11.2023 г.;</t>
  </si>
  <si>
    <t>Паспорт качества №362 от 14.11.2023 г.;</t>
  </si>
  <si>
    <t>Паспорт качества №322 от 06.11.2023 г.;</t>
  </si>
  <si>
    <t>Паспорт качества №374 от 15.11.2023 г.;</t>
  </si>
  <si>
    <t>Паспорт качества №389 от 20.11.2023 г.;</t>
  </si>
  <si>
    <t>Сертификат соответствия № RU C-RU.ПБ09.В.00463/23 с 03.11.2023 г. по 02.11.2028 г.;</t>
  </si>
  <si>
    <t>Сертификат соответсвия № АПБ.RU.ОС002/4.Н.01563 с 29.09.2021 г. по 28.09.2024 г.</t>
  </si>
  <si>
    <t>ГОСТ Р 52318-2005; ГОСТ 617-2006; ТУ 22.19.20-001-17563055-2020; ГОСТ 30244-94;</t>
  </si>
  <si>
    <t>ГОСТ 30402-96; ГОСТ 12.1.044-89.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</si>
</sst>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8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5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vertical="top" wrapText="1"/>
    </xf>
    <xf numFmtId="165" fontId="10" fillId="2" borderId="0" xfId="1" applyNumberFormat="1" applyFont="1" applyFill="1" applyAlignment="1">
      <alignment vertical="center" wrapText="1"/>
    </xf>
    <xf numFmtId="165" fontId="10" fillId="2" borderId="0" xfId="1" applyNumberFormat="1" applyFont="1" applyFill="1" applyAlignment="1">
      <alignment vertical="top" wrapText="1"/>
    </xf>
    <xf numFmtId="14" fontId="13" fillId="2" borderId="0" xfId="1" applyNumberFormat="1" applyFont="1" applyFill="1" applyAlignment="1">
      <alignment vertical="top" wrapText="1"/>
    </xf>
    <xf numFmtId="14" fontId="10" fillId="2" borderId="0" xfId="1" applyNumberFormat="1" applyFont="1" applyFill="1" applyAlignment="1">
      <alignment vertical="top" wrapText="1"/>
    </xf>
    <xf numFmtId="0" fontId="5" fillId="0" borderId="0" xfId="0" applyFont="1"/>
    <xf numFmtId="0" fontId="15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5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14" fontId="16" fillId="0" borderId="0" xfId="0" applyNumberFormat="1" applyFont="1" applyAlignment="1">
      <alignment vertical="center"/>
    </xf>
    <xf numFmtId="0" fontId="1" fillId="0" borderId="0" xfId="0" applyFont="1"/>
    <xf numFmtId="0" fontId="11" fillId="2" borderId="0" xfId="1" applyFont="1" applyFill="1" applyAlignment="1">
      <alignment horizontal="left" wrapText="1"/>
    </xf>
    <xf numFmtId="0" fontId="11" fillId="2" borderId="0" xfId="1" applyFont="1" applyFill="1" applyAlignment="1">
      <alignment horizontal="center" vertical="top"/>
    </xf>
    <xf numFmtId="0" fontId="17" fillId="0" borderId="0" xfId="0" applyFont="1"/>
    <xf numFmtId="0" fontId="17" fillId="0" borderId="0" xfId="0" applyFont="1" applyAlignment="1">
      <alignment horizontal="left" vertical="top" wrapText="1"/>
    </xf>
    <xf numFmtId="0" fontId="17" fillId="0" borderId="0" xfId="0" applyFont="1" applyFill="1"/>
    <xf numFmtId="0" fontId="17" fillId="0" borderId="0" xfId="0" applyFont="1" applyAlignment="1">
      <alignment horizontal="left" vertical="top" wrapText="1"/>
    </xf>
    <xf numFmtId="0" fontId="13" fillId="0" borderId="0" xfId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4" borderId="1" xfId="1" applyFont="1" applyFill="1" applyBorder="1" applyAlignment="1">
      <alignment horizontal="left" wrapText="1"/>
    </xf>
    <xf numFmtId="0" fontId="13" fillId="3" borderId="3" xfId="1" applyFont="1" applyFill="1" applyBorder="1" applyAlignment="1">
      <alignment horizontal="left"/>
    </xf>
    <xf numFmtId="14" fontId="13" fillId="3" borderId="1" xfId="1" applyNumberFormat="1" applyFont="1" applyFill="1" applyBorder="1" applyAlignment="1">
      <alignment horizontal="left" vertical="top" wrapText="1"/>
    </xf>
    <xf numFmtId="165" fontId="10" fillId="3" borderId="0" xfId="1" applyNumberFormat="1" applyFont="1" applyFill="1" applyAlignment="1">
      <alignment horizontal="left" vertical="top" wrapText="1"/>
    </xf>
    <xf numFmtId="0" fontId="13" fillId="3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 vertical="top"/>
    </xf>
    <xf numFmtId="0" fontId="10" fillId="3" borderId="0" xfId="1" applyFont="1" applyFill="1" applyAlignment="1">
      <alignment horizontal="left"/>
    </xf>
    <xf numFmtId="0" fontId="11" fillId="2" borderId="0" xfId="1" applyFont="1" applyFill="1" applyAlignment="1">
      <alignment horizontal="right" vertical="top" wrapText="1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14" fontId="13" fillId="4" borderId="3" xfId="1" applyNumberFormat="1" applyFont="1" applyFill="1" applyBorder="1" applyAlignment="1">
      <alignment horizontal="left" wrapText="1"/>
    </xf>
    <xf numFmtId="14" fontId="13" fillId="2" borderId="0" xfId="1" applyNumberFormat="1" applyFont="1" applyFill="1" applyAlignment="1">
      <alignment horizontal="center" wrapText="1"/>
    </xf>
    <xf numFmtId="164" fontId="13" fillId="4" borderId="1" xfId="1" applyNumberFormat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3" fillId="0" borderId="3" xfId="1" applyFont="1" applyFill="1" applyBorder="1" applyAlignment="1">
      <alignment horizontal="left"/>
    </xf>
    <xf numFmtId="0" fontId="11" fillId="2" borderId="0" xfId="1" applyFont="1" applyFill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 wrapText="1"/>
    </xf>
    <xf numFmtId="14" fontId="13" fillId="4" borderId="1" xfId="1" applyNumberFormat="1" applyFont="1" applyFill="1" applyBorder="1" applyAlignment="1">
      <alignment horizontal="left" wrapText="1"/>
    </xf>
    <xf numFmtId="14" fontId="13" fillId="3" borderId="3" xfId="1" applyNumberFormat="1" applyFont="1" applyFill="1" applyBorder="1" applyAlignment="1">
      <alignment horizontal="left"/>
    </xf>
    <xf numFmtId="0" fontId="10" fillId="4" borderId="0" xfId="1" applyFont="1" applyFill="1" applyAlignment="1">
      <alignment horizontal="left" vertical="top" wrapText="1"/>
    </xf>
    <xf numFmtId="0" fontId="11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11" fillId="2" borderId="0" xfId="1" applyFont="1" applyFill="1" applyAlignment="1">
      <alignment horizontal="center" vertical="top"/>
    </xf>
    <xf numFmtId="0" fontId="11" fillId="3" borderId="1" xfId="1" applyFont="1" applyFill="1" applyBorder="1" applyAlignment="1">
      <alignment horizontal="right" vertical="center"/>
    </xf>
    <xf numFmtId="0" fontId="11" fillId="3" borderId="1" xfId="1" applyFont="1" applyFill="1" applyBorder="1" applyAlignment="1">
      <alignment horizontal="center"/>
    </xf>
    <xf numFmtId="14" fontId="11" fillId="2" borderId="0" xfId="1" applyNumberFormat="1" applyFont="1" applyFill="1" applyAlignment="1">
      <alignment horizontal="center" vertical="top" wrapText="1"/>
    </xf>
    <xf numFmtId="0" fontId="13" fillId="2" borderId="0" xfId="1" applyFont="1" applyFill="1" applyAlignment="1">
      <alignment horizontal="left" vertical="top" wrapText="1"/>
    </xf>
    <xf numFmtId="14" fontId="11" fillId="2" borderId="0" xfId="1" applyNumberFormat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165" fontId="11" fillId="3" borderId="1" xfId="1" applyNumberFormat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0" fontId="13" fillId="4" borderId="3" xfId="1" applyFont="1" applyFill="1" applyBorder="1" applyAlignment="1">
      <alignment horizontal="left"/>
    </xf>
    <xf numFmtId="0" fontId="10" fillId="5" borderId="0" xfId="1" applyFont="1" applyFill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14" fontId="13" fillId="3" borderId="1" xfId="1" applyNumberFormat="1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top"/>
    </xf>
    <xf numFmtId="14" fontId="13" fillId="0" borderId="1" xfId="1" applyNumberFormat="1" applyFont="1" applyFill="1" applyBorder="1" applyAlignment="1">
      <alignment horizontal="left" vertical="top" wrapText="1"/>
    </xf>
    <xf numFmtId="0" fontId="13" fillId="4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11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27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36</xdr:row>
      <xdr:rowOff>0</xdr:rowOff>
    </xdr:from>
    <xdr:to>
      <xdr:col>75</xdr:col>
      <xdr:colOff>521970</xdr:colOff>
      <xdr:row>38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41</xdr:row>
      <xdr:rowOff>0</xdr:rowOff>
    </xdr:from>
    <xdr:to>
      <xdr:col>75</xdr:col>
      <xdr:colOff>521970</xdr:colOff>
      <xdr:row>43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68</xdr:row>
      <xdr:rowOff>0</xdr:rowOff>
    </xdr:from>
    <xdr:to>
      <xdr:col>75</xdr:col>
      <xdr:colOff>521970</xdr:colOff>
      <xdr:row>69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89</xdr:row>
      <xdr:rowOff>0</xdr:rowOff>
    </xdr:from>
    <xdr:to>
      <xdr:col>75</xdr:col>
      <xdr:colOff>521970</xdr:colOff>
      <xdr:row>91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106"/>
  <sheetViews>
    <sheetView tabSelected="1" view="pageBreakPreview" topLeftCell="A36" zoomScaleNormal="100" zoomScaleSheetLayoutView="100" workbookViewId="0">
      <selection activeCell="BZ19" sqref="BZ19"/>
    </sheetView>
  </sheetViews>
  <sheetFormatPr defaultRowHeight="13.8" x14ac:dyDescent="0.25"/>
  <cols>
    <col min="1" max="71" width="1.44140625" style="48" customWidth="1"/>
    <col min="72" max="72" width="7.6640625" style="48" customWidth="1"/>
    <col min="73" max="73" width="1.44140625" style="48" customWidth="1"/>
    <col min="74" max="74" width="5.6640625" style="48" customWidth="1"/>
    <col min="75" max="16384" width="8.88671875" style="48"/>
  </cols>
  <sheetData>
    <row r="1" spans="1:78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8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70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8" x14ac:dyDescent="0.25">
      <c r="A3" s="67" t="s">
        <v>4</v>
      </c>
      <c r="B3" s="67"/>
      <c r="C3" s="67"/>
      <c r="D3" s="67"/>
      <c r="E3" s="67"/>
      <c r="F3" s="68" t="s">
        <v>5</v>
      </c>
      <c r="G3" s="68"/>
      <c r="H3" s="68"/>
      <c r="I3" s="69" t="s">
        <v>6</v>
      </c>
      <c r="J3" s="69"/>
      <c r="K3" s="6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71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72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8" x14ac:dyDescent="0.25">
      <c r="A6" s="67"/>
      <c r="B6" s="67"/>
      <c r="C6" s="67"/>
      <c r="D6" s="67"/>
      <c r="E6" s="67"/>
      <c r="F6" s="68"/>
      <c r="G6" s="68"/>
      <c r="H6" s="68"/>
      <c r="I6" s="69"/>
      <c r="J6" s="69"/>
      <c r="K6" s="6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0" t="s">
        <v>61</v>
      </c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</row>
    <row r="7" spans="1:78" x14ac:dyDescent="0.25">
      <c r="A7" s="8"/>
      <c r="B7" s="8"/>
      <c r="C7" s="8"/>
      <c r="D7" s="8"/>
      <c r="E7" s="8"/>
      <c r="F7" s="8"/>
      <c r="G7" s="71"/>
      <c r="H7" s="71"/>
      <c r="I7" s="69"/>
      <c r="J7" s="69"/>
      <c r="K7" s="69"/>
      <c r="L7" s="69"/>
      <c r="M7" s="69"/>
      <c r="N7" s="69"/>
      <c r="O7" s="6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</row>
    <row r="8" spans="1:7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2" t="s">
        <v>112</v>
      </c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8" x14ac:dyDescent="0.25">
      <c r="A10" s="63" t="s">
        <v>45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</row>
    <row r="11" spans="1:78" ht="13.95" customHeight="1" x14ac:dyDescent="0.25">
      <c r="A11" s="64" t="s">
        <v>120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Z11" s="48" t="s">
        <v>81</v>
      </c>
    </row>
    <row r="12" spans="1:78" x14ac:dyDescent="0.25">
      <c r="A12" s="64" t="s">
        <v>114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</row>
    <row r="13" spans="1:78" x14ac:dyDescent="0.25">
      <c r="A13" s="64" t="s">
        <v>115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</row>
    <row r="14" spans="1:78" x14ac:dyDescent="0.25">
      <c r="A14" s="64" t="s">
        <v>116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</row>
    <row r="15" spans="1:78" x14ac:dyDescent="0.25">
      <c r="A15" s="64" t="s">
        <v>117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</row>
    <row r="16" spans="1:78" x14ac:dyDescent="0.25">
      <c r="A16" s="64" t="s">
        <v>118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</row>
    <row r="17" spans="1:83" x14ac:dyDescent="0.25">
      <c r="A17" s="64" t="s">
        <v>119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</row>
    <row r="18" spans="1:83" x14ac:dyDescent="0.25">
      <c r="A18" s="65" t="s">
        <v>46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3" t="s">
        <v>9</v>
      </c>
      <c r="AB19" s="8"/>
      <c r="AC19" s="8"/>
      <c r="AD19" s="8"/>
      <c r="AE19" s="66">
        <v>45265</v>
      </c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14"/>
      <c r="AV19" s="14"/>
      <c r="AW19" s="14"/>
      <c r="AX19" s="14"/>
      <c r="AY19" s="14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12"/>
    </row>
    <row r="20" spans="1:83" x14ac:dyDescent="0.25">
      <c r="A20" s="8" t="s">
        <v>10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 t="s">
        <v>11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12"/>
    </row>
    <row r="21" spans="1:83" x14ac:dyDescent="0.25">
      <c r="A21" s="8" t="s">
        <v>12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72" t="str">
        <f>VLOOKUP(BJ21,подписанты!$B$3:$C$11,2,FALSE)</f>
        <v>Руководитель группы МТО АО «Газстройпроект»</v>
      </c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3" t="s">
        <v>63</v>
      </c>
      <c r="BK21" s="73"/>
      <c r="BL21" s="73"/>
      <c r="BM21" s="73"/>
      <c r="BN21" s="73"/>
      <c r="BO21" s="73"/>
      <c r="BP21" s="73"/>
      <c r="BQ21" s="73"/>
      <c r="BR21" s="73"/>
      <c r="BS21" s="73"/>
      <c r="BT21" s="73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0" t="s">
        <v>13</v>
      </c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15"/>
      <c r="BL22" s="15"/>
      <c r="BM22" s="15"/>
      <c r="BN22" s="15"/>
      <c r="BO22" s="15"/>
      <c r="BP22" s="15"/>
      <c r="BQ22" s="15"/>
      <c r="BR22" s="15"/>
      <c r="BS22" s="15"/>
      <c r="BT22" s="15"/>
    </row>
    <row r="23" spans="1:83" x14ac:dyDescent="0.25">
      <c r="A23" s="8" t="s">
        <v>14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1" t="str">
        <f>VLOOKUP(BJ23,подписанты!$B$3:$C$11,2,FALSE)</f>
        <v>Инженер отдела технического надзора АО «Газстройпроект»</v>
      </c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73" t="s">
        <v>69</v>
      </c>
      <c r="BK23" s="73"/>
      <c r="BL23" s="73"/>
      <c r="BM23" s="73"/>
      <c r="BN23" s="73"/>
      <c r="BO23" s="73"/>
      <c r="BP23" s="73"/>
      <c r="BQ23" s="73"/>
      <c r="BR23" s="73"/>
      <c r="BS23" s="73"/>
      <c r="BT23" s="73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2" t="s">
        <v>13</v>
      </c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0"/>
      <c r="BK24" s="15"/>
      <c r="BL24" s="15"/>
      <c r="BM24" s="15"/>
      <c r="BN24" s="15"/>
      <c r="BO24" s="15"/>
      <c r="BP24" s="15"/>
      <c r="BQ24" s="15"/>
      <c r="BR24" s="15"/>
      <c r="BS24" s="15"/>
      <c r="BT24" s="15"/>
    </row>
    <row r="25" spans="1:83" ht="40.200000000000003" customHeight="1" x14ac:dyDescent="0.25">
      <c r="A25" s="8" t="s">
        <v>15</v>
      </c>
      <c r="B25" s="8"/>
      <c r="C25" s="8"/>
      <c r="D25" s="8"/>
      <c r="E25" s="8"/>
      <c r="F25" s="8"/>
      <c r="G25" s="8"/>
      <c r="H25" s="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72" t="str">
        <f>VLOOKUP(BJ25,подписанты!$B$3:$C$11,2,FALSE)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83" t="s">
        <v>93</v>
      </c>
      <c r="BK25" s="83"/>
      <c r="BL25" s="83"/>
      <c r="BM25" s="83"/>
      <c r="BN25" s="83"/>
      <c r="BO25" s="83"/>
      <c r="BP25" s="83"/>
      <c r="BQ25" s="83"/>
      <c r="BR25" s="83"/>
      <c r="BS25" s="83"/>
      <c r="BT25" s="83"/>
    </row>
    <row r="26" spans="1:83" x14ac:dyDescent="0.25">
      <c r="A26" s="8"/>
      <c r="B26" s="8"/>
      <c r="C26" s="8"/>
      <c r="D26" s="8"/>
      <c r="E26" s="8"/>
      <c r="F26" s="8"/>
      <c r="G26" s="8"/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80" t="s">
        <v>13</v>
      </c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spans="1:83" x14ac:dyDescent="0.25">
      <c r="A27" s="8" t="s">
        <v>16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6"/>
      <c r="O27" s="84" t="s">
        <v>91</v>
      </c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" t="s">
        <v>17</v>
      </c>
      <c r="BR27" s="13"/>
      <c r="BS27" s="13"/>
      <c r="BT27" s="13"/>
      <c r="BY27" s="96" t="s">
        <v>82</v>
      </c>
      <c r="BZ27" s="96"/>
      <c r="CA27" s="96"/>
      <c r="CB27" s="96"/>
      <c r="CC27" s="96"/>
      <c r="CD27" s="96"/>
      <c r="CE27" s="96"/>
    </row>
    <row r="28" spans="1:83" x14ac:dyDescent="0.25">
      <c r="A28" s="8"/>
      <c r="B28" s="8"/>
      <c r="C28" s="8"/>
      <c r="D28" s="8"/>
      <c r="E28" s="75" t="s">
        <v>47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Y28" s="96"/>
      <c r="BZ28" s="96"/>
      <c r="CA28" s="96"/>
      <c r="CB28" s="96"/>
      <c r="CC28" s="96"/>
      <c r="CD28" s="96"/>
      <c r="CE28" s="96"/>
    </row>
    <row r="29" spans="1:83" ht="13.95" customHeight="1" x14ac:dyDescent="0.25">
      <c r="A29" s="76" t="s">
        <v>110</v>
      </c>
      <c r="B29" s="76"/>
      <c r="C29" s="76"/>
      <c r="D29" s="77" t="s">
        <v>121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Y29" s="96"/>
      <c r="BZ29" s="96"/>
      <c r="CA29" s="96"/>
      <c r="CB29" s="96"/>
      <c r="CC29" s="96"/>
      <c r="CD29" s="96"/>
      <c r="CE29" s="96"/>
    </row>
    <row r="30" spans="1:83" ht="13.95" customHeight="1" x14ac:dyDescent="0.25">
      <c r="A30" s="64" t="s">
        <v>114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Y30" s="49"/>
      <c r="BZ30" s="49"/>
      <c r="CA30" s="49"/>
      <c r="CB30" s="49"/>
      <c r="CC30" s="49"/>
      <c r="CD30" s="49"/>
      <c r="CE30" s="49"/>
    </row>
    <row r="31" spans="1:83" ht="13.95" customHeight="1" x14ac:dyDescent="0.25">
      <c r="A31" s="77" t="s">
        <v>122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Y31" s="49"/>
      <c r="BZ31" s="49"/>
      <c r="CA31" s="49"/>
      <c r="CB31" s="49"/>
      <c r="CC31" s="49"/>
      <c r="CD31" s="49"/>
      <c r="CE31" s="49"/>
    </row>
    <row r="32" spans="1:83" ht="13.95" customHeight="1" x14ac:dyDescent="0.25">
      <c r="A32" s="77" t="s">
        <v>123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Y32" s="49"/>
      <c r="BZ32" s="49"/>
      <c r="CA32" s="49"/>
      <c r="CB32" s="49"/>
      <c r="CC32" s="49"/>
      <c r="CD32" s="49"/>
      <c r="CE32" s="49"/>
    </row>
    <row r="33" spans="1:83" ht="13.95" customHeight="1" x14ac:dyDescent="0.25">
      <c r="A33" s="64" t="s">
        <v>124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Y33" s="51"/>
      <c r="BZ33" s="51"/>
      <c r="CA33" s="51"/>
      <c r="CB33" s="51"/>
      <c r="CC33" s="51"/>
      <c r="CD33" s="51"/>
      <c r="CE33" s="51"/>
    </row>
    <row r="34" spans="1:83" ht="13.95" customHeight="1" x14ac:dyDescent="0.25">
      <c r="A34" s="64" t="s">
        <v>125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Y34" s="51"/>
      <c r="BZ34" s="51"/>
      <c r="CA34" s="51"/>
      <c r="CB34" s="51"/>
      <c r="CC34" s="51"/>
      <c r="CD34" s="51"/>
      <c r="CE34" s="51"/>
    </row>
    <row r="35" spans="1:83" ht="13.95" customHeight="1" x14ac:dyDescent="0.25">
      <c r="A35" s="64" t="s">
        <v>126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Y35" s="51"/>
      <c r="BZ35" s="51"/>
      <c r="CA35" s="51"/>
      <c r="CB35" s="51"/>
      <c r="CC35" s="51"/>
      <c r="CD35" s="51"/>
      <c r="CE35" s="51"/>
    </row>
    <row r="36" spans="1:83" x14ac:dyDescent="0.25">
      <c r="A36" s="85" t="s">
        <v>48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</row>
    <row r="37" spans="1:83" x14ac:dyDescent="0.25">
      <c r="A37" s="10" t="s">
        <v>18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7"/>
      <c r="S37" s="8"/>
      <c r="T37" s="20"/>
      <c r="U37" s="79" t="s">
        <v>113</v>
      </c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Y37" s="96" t="s">
        <v>83</v>
      </c>
      <c r="BZ37" s="96"/>
      <c r="CA37" s="96"/>
      <c r="CB37" s="96"/>
      <c r="CC37" s="96"/>
      <c r="CD37" s="96"/>
    </row>
    <row r="38" spans="1:83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59" t="s">
        <v>19</v>
      </c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Y38" s="96"/>
      <c r="BZ38" s="96"/>
      <c r="CA38" s="96"/>
      <c r="CB38" s="96"/>
      <c r="CC38" s="96"/>
      <c r="CD38" s="96"/>
    </row>
    <row r="39" spans="1:83" ht="14.4" customHeight="1" x14ac:dyDescent="0.25">
      <c r="A39" s="10" t="s">
        <v>20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20"/>
      <c r="T39" s="20"/>
      <c r="U39" s="79" t="s">
        <v>52</v>
      </c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Y39" s="96"/>
      <c r="BZ39" s="96"/>
      <c r="CA39" s="96"/>
      <c r="CB39" s="96"/>
      <c r="CC39" s="96"/>
      <c r="CD39" s="96"/>
    </row>
    <row r="40" spans="1:83" x14ac:dyDescent="0.25">
      <c r="A40" s="82" t="s">
        <v>21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</row>
    <row r="41" spans="1:83" x14ac:dyDescent="0.25">
      <c r="A41" s="8"/>
      <c r="B41" s="8"/>
      <c r="C41" s="8"/>
      <c r="D41" s="8" t="s">
        <v>22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 spans="1:83" x14ac:dyDescent="0.25">
      <c r="A42" s="8" t="s">
        <v>23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27"/>
      <c r="AJ42" s="8"/>
      <c r="AK42" s="99" t="s">
        <v>127</v>
      </c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Y42" s="8" t="s">
        <v>84</v>
      </c>
    </row>
    <row r="43" spans="1:83" hidden="1" x14ac:dyDescent="0.2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Y43" s="96" t="s">
        <v>85</v>
      </c>
      <c r="BZ43" s="96"/>
      <c r="CA43" s="96"/>
      <c r="CB43" s="96"/>
      <c r="CC43" s="96"/>
      <c r="CD43" s="96"/>
      <c r="CE43" s="96"/>
    </row>
    <row r="44" spans="1:83" hidden="1" x14ac:dyDescent="0.2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Y44" s="96"/>
      <c r="BZ44" s="96"/>
      <c r="CA44" s="96"/>
      <c r="CB44" s="96"/>
      <c r="CC44" s="96"/>
      <c r="CD44" s="96"/>
      <c r="CE44" s="96"/>
    </row>
    <row r="45" spans="1:83" x14ac:dyDescent="0.25">
      <c r="A45" s="74" t="s">
        <v>128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50"/>
      <c r="BY45" s="96"/>
      <c r="BZ45" s="96"/>
      <c r="CA45" s="96"/>
      <c r="CB45" s="96"/>
      <c r="CC45" s="96"/>
      <c r="CD45" s="96"/>
      <c r="CE45" s="96"/>
    </row>
    <row r="46" spans="1:83" x14ac:dyDescent="0.25">
      <c r="A46" s="74" t="s">
        <v>129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50"/>
      <c r="BY46" s="96"/>
      <c r="BZ46" s="96"/>
      <c r="CA46" s="96"/>
      <c r="CB46" s="96"/>
      <c r="CC46" s="96"/>
      <c r="CD46" s="96"/>
      <c r="CE46" s="96"/>
    </row>
    <row r="47" spans="1:83" x14ac:dyDescent="0.25">
      <c r="A47" s="74" t="s">
        <v>130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53"/>
      <c r="BY47" s="96"/>
      <c r="BZ47" s="96"/>
      <c r="CA47" s="96"/>
      <c r="CB47" s="96"/>
      <c r="CC47" s="96"/>
      <c r="CD47" s="96"/>
      <c r="CE47" s="96"/>
    </row>
    <row r="48" spans="1:83" x14ac:dyDescent="0.25">
      <c r="A48" s="74" t="s">
        <v>131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52"/>
      <c r="BY48" s="96"/>
      <c r="BZ48" s="96"/>
      <c r="CA48" s="96"/>
      <c r="CB48" s="96"/>
      <c r="CC48" s="96"/>
      <c r="CD48" s="96"/>
      <c r="CE48" s="96"/>
    </row>
    <row r="49" spans="1:83" x14ac:dyDescent="0.25">
      <c r="A49" s="74" t="s">
        <v>132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50"/>
      <c r="BY49" s="96"/>
      <c r="BZ49" s="96"/>
      <c r="CA49" s="96"/>
      <c r="CB49" s="96"/>
      <c r="CC49" s="96"/>
      <c r="CD49" s="96"/>
      <c r="CE49" s="96"/>
    </row>
    <row r="50" spans="1:83" x14ac:dyDescent="0.25">
      <c r="A50" s="74" t="s">
        <v>134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50"/>
      <c r="BY50" s="96"/>
      <c r="BZ50" s="96"/>
      <c r="CA50" s="96"/>
      <c r="CB50" s="96"/>
      <c r="CC50" s="96"/>
      <c r="CD50" s="96"/>
      <c r="CE50" s="96"/>
    </row>
    <row r="51" spans="1:83" x14ac:dyDescent="0.25">
      <c r="A51" s="74" t="s">
        <v>135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50"/>
      <c r="BY51" s="96"/>
      <c r="BZ51" s="96"/>
      <c r="CA51" s="96"/>
      <c r="CB51" s="96"/>
      <c r="CC51" s="96"/>
      <c r="CD51" s="96"/>
      <c r="CE51" s="96"/>
    </row>
    <row r="52" spans="1:83" x14ac:dyDescent="0.25">
      <c r="A52" s="74" t="s">
        <v>136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50"/>
      <c r="BY52" s="96"/>
      <c r="BZ52" s="96"/>
      <c r="CA52" s="96"/>
      <c r="CB52" s="96"/>
      <c r="CC52" s="96"/>
      <c r="CD52" s="96"/>
      <c r="CE52" s="96"/>
    </row>
    <row r="53" spans="1:83" x14ac:dyDescent="0.25">
      <c r="A53" s="74" t="s">
        <v>137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50"/>
      <c r="BY53" s="96"/>
      <c r="BZ53" s="96"/>
      <c r="CA53" s="96"/>
      <c r="CB53" s="96"/>
      <c r="CC53" s="96"/>
      <c r="CD53" s="96"/>
      <c r="CE53" s="96"/>
    </row>
    <row r="54" spans="1:83" x14ac:dyDescent="0.25">
      <c r="A54" s="74" t="s">
        <v>133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50"/>
      <c r="BY54" s="96"/>
      <c r="BZ54" s="96"/>
      <c r="CA54" s="96"/>
      <c r="CB54" s="96"/>
      <c r="CC54" s="96"/>
      <c r="CD54" s="96"/>
      <c r="CE54" s="96"/>
    </row>
    <row r="55" spans="1:83" x14ac:dyDescent="0.25">
      <c r="A55" s="74" t="s">
        <v>138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50"/>
      <c r="BY55" s="96"/>
      <c r="BZ55" s="96"/>
      <c r="CA55" s="96"/>
      <c r="CB55" s="96"/>
      <c r="CC55" s="96"/>
      <c r="CD55" s="96"/>
      <c r="CE55" s="96"/>
    </row>
    <row r="56" spans="1:83" x14ac:dyDescent="0.25">
      <c r="A56" s="74" t="s">
        <v>139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50"/>
      <c r="BY56" s="96"/>
      <c r="BZ56" s="96"/>
      <c r="CA56" s="96"/>
      <c r="CB56" s="96"/>
      <c r="CC56" s="96"/>
      <c r="CD56" s="96"/>
      <c r="CE56" s="96"/>
    </row>
    <row r="57" spans="1:83" x14ac:dyDescent="0.25">
      <c r="A57" s="80" t="s">
        <v>24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Y57" s="96"/>
      <c r="BZ57" s="96"/>
      <c r="CA57" s="96"/>
      <c r="CB57" s="96"/>
      <c r="CC57" s="96"/>
      <c r="CD57" s="96"/>
      <c r="CE57" s="96"/>
    </row>
    <row r="58" spans="1:83" x14ac:dyDescent="0.25">
      <c r="A58" s="101" t="s">
        <v>58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Y58" s="96"/>
      <c r="BZ58" s="96"/>
      <c r="CA58" s="96"/>
      <c r="CB58" s="96"/>
      <c r="CC58" s="96"/>
      <c r="CD58" s="96"/>
      <c r="CE58" s="96"/>
    </row>
    <row r="59" spans="1:83" x14ac:dyDescent="0.25">
      <c r="A59" s="16" t="s">
        <v>110</v>
      </c>
      <c r="B59" s="18"/>
      <c r="C59" s="18"/>
      <c r="D59" s="97" t="str">
        <f>D29</f>
        <v>Медная труба:  Ø6,35 - 39,6 м;  Ø9,52 - 45,9 м;  Ø12,70 - 39,6 м;  Ø15,88 - 53,8 м;  Ø28,58 - 8,4 м;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Y59" s="96"/>
      <c r="BZ59" s="96"/>
      <c r="CA59" s="96"/>
      <c r="CB59" s="96"/>
      <c r="CC59" s="96"/>
      <c r="CD59" s="96"/>
      <c r="CE59" s="96"/>
    </row>
    <row r="60" spans="1:83" x14ac:dyDescent="0.25">
      <c r="A60" s="78" t="str">
        <f>A30</f>
        <v xml:space="preserve">Изделия теплоизоляционные на основе вспененного синтетического каучука Unionflex STD, толщина 9 мм: 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Y60" s="96"/>
      <c r="BZ60" s="96"/>
      <c r="CA60" s="96"/>
      <c r="CB60" s="96"/>
      <c r="CC60" s="96"/>
      <c r="CD60" s="96"/>
      <c r="CE60" s="96"/>
    </row>
    <row r="61" spans="1:83" x14ac:dyDescent="0.25">
      <c r="A61" s="78" t="str">
        <f>A31</f>
        <v>для труб Ø6,35 09х006 - 39,6 м;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Y61" s="96"/>
      <c r="BZ61" s="96"/>
      <c r="CA61" s="96"/>
      <c r="CB61" s="96"/>
      <c r="CC61" s="96"/>
      <c r="CD61" s="96"/>
      <c r="CE61" s="96"/>
    </row>
    <row r="62" spans="1:83" x14ac:dyDescent="0.25">
      <c r="A62" s="78" t="str">
        <f>A32</f>
        <v>для труб Ø9,52 09х010 - 45,9 м;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Y62" s="96"/>
      <c r="BZ62" s="96"/>
      <c r="CA62" s="96"/>
      <c r="CB62" s="96"/>
      <c r="CC62" s="96"/>
      <c r="CD62" s="96"/>
      <c r="CE62" s="96"/>
    </row>
    <row r="63" spans="1:83" x14ac:dyDescent="0.25">
      <c r="A63" s="78" t="str">
        <f>A33</f>
        <v>для труб Ø12,70 09х012 - 39,6 м;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Y63" s="96"/>
      <c r="BZ63" s="96"/>
      <c r="CA63" s="96"/>
      <c r="CB63" s="96"/>
      <c r="CC63" s="96"/>
      <c r="CD63" s="96"/>
      <c r="CE63" s="96"/>
    </row>
    <row r="64" spans="1:83" x14ac:dyDescent="0.25">
      <c r="A64" s="78" t="str">
        <f>A34</f>
        <v>для труб Ø15,88 09х018 - 53,8 м;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Y64" s="96"/>
      <c r="BZ64" s="96"/>
      <c r="CA64" s="96"/>
      <c r="CB64" s="96"/>
      <c r="CC64" s="96"/>
      <c r="CD64" s="96"/>
      <c r="CE64" s="96"/>
    </row>
    <row r="65" spans="1:83" x14ac:dyDescent="0.25">
      <c r="A65" s="78" t="str">
        <f>A35</f>
        <v>для труб Ø28,58 09х028 - 8,4 м.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Y65" s="96"/>
      <c r="BZ65" s="96"/>
      <c r="CA65" s="96"/>
      <c r="CB65" s="96"/>
      <c r="CC65" s="96"/>
      <c r="CD65" s="96"/>
      <c r="CE65" s="96"/>
    </row>
    <row r="66" spans="1:83" x14ac:dyDescent="0.25">
      <c r="A66" s="8"/>
      <c r="B66" s="8"/>
      <c r="C66" s="8"/>
      <c r="D66" s="98" t="s">
        <v>25</v>
      </c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Y66" s="96"/>
      <c r="BZ66" s="96"/>
      <c r="CA66" s="96"/>
      <c r="CB66" s="96"/>
      <c r="CC66" s="96"/>
      <c r="CD66" s="96"/>
      <c r="CE66" s="96"/>
    </row>
    <row r="67" spans="1:83" x14ac:dyDescent="0.25">
      <c r="A67" s="8" t="s">
        <v>26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47"/>
      <c r="Y67" s="103" t="s">
        <v>109</v>
      </c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Y67" s="96"/>
      <c r="BZ67" s="96"/>
      <c r="CA67" s="96"/>
      <c r="CB67" s="96"/>
      <c r="CC67" s="96"/>
      <c r="CD67" s="96"/>
      <c r="CE67" s="96"/>
    </row>
    <row r="68" spans="1:8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9"/>
      <c r="Y68" s="82" t="s">
        <v>27</v>
      </c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</row>
    <row r="69" spans="1:83" x14ac:dyDescent="0.25">
      <c r="A69" s="8" t="s">
        <v>28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7"/>
      <c r="AG69" s="7"/>
      <c r="AH69" s="7"/>
      <c r="AI69" s="7"/>
      <c r="AJ69" s="91" t="s">
        <v>29</v>
      </c>
      <c r="AK69" s="91"/>
      <c r="AL69" s="91"/>
      <c r="AM69" s="91"/>
      <c r="AN69" s="91"/>
      <c r="AO69" s="91"/>
      <c r="AP69" s="91"/>
      <c r="AQ69" s="91"/>
      <c r="AR69" s="91"/>
      <c r="AS69" s="91"/>
      <c r="AT69" s="92" t="s">
        <v>73</v>
      </c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Y69" s="48" t="s">
        <v>86</v>
      </c>
    </row>
    <row r="70" spans="1:83" x14ac:dyDescent="0.25">
      <c r="A70" s="10" t="s">
        <v>30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0"/>
      <c r="O70" s="20"/>
      <c r="P70" s="20"/>
      <c r="Q70" s="93" t="str">
        <f>U37</f>
        <v>ПП2020РД-1.2-61.17-ОВ3, ПП2020РД-1.2-61.17-ОВ3.СО изм.2 л. 2</v>
      </c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Y70" s="48" t="s">
        <v>87</v>
      </c>
    </row>
    <row r="71" spans="1:83" x14ac:dyDescent="0.25">
      <c r="A71" s="8"/>
      <c r="B71" s="8"/>
      <c r="C71" s="8"/>
      <c r="D71" s="10" t="s">
        <v>31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0"/>
      <c r="X71" s="8"/>
      <c r="Y71" s="28"/>
      <c r="Z71" s="28"/>
      <c r="AA71" s="56" t="str">
        <f>AK42</f>
        <v>Сертификат качества № ICG000647 от 23.03.2023 г.;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</row>
    <row r="72" spans="1:83" hidden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</row>
    <row r="73" spans="1:83" hidden="1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</row>
    <row r="74" spans="1:83" x14ac:dyDescent="0.25">
      <c r="A74" s="55" t="str">
        <f t="shared" ref="A74:A84" si="0">A45</f>
        <v>Сертификат качества № ICG000651 от 27.03.2023 г.;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</row>
    <row r="75" spans="1:83" x14ac:dyDescent="0.25">
      <c r="A75" s="55" t="str">
        <f t="shared" si="0"/>
        <v>Сертификат качества № ICG000945 от 24.05.2023 г.;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</row>
    <row r="76" spans="1:83" x14ac:dyDescent="0.25">
      <c r="A76" s="55" t="str">
        <f t="shared" si="0"/>
        <v>Сертификат качества № ICG000955 от 25.04.2023 г.;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</row>
    <row r="77" spans="1:83" x14ac:dyDescent="0.25">
      <c r="A77" s="55" t="str">
        <f t="shared" si="0"/>
        <v>Сертификат качества № ICG000922 от 12.04.2023 г.;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</row>
    <row r="78" spans="1:83" x14ac:dyDescent="0.25">
      <c r="A78" s="55" t="str">
        <f t="shared" si="0"/>
        <v>Сертификат соответствия № РОСС.UZ.НХ37.Н10322 с 22.06.2021 г. по 21.06.2024 г.;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</row>
    <row r="79" spans="1:83" x14ac:dyDescent="0.25">
      <c r="A79" s="55" t="str">
        <f t="shared" si="0"/>
        <v>Паспорт качества №362 от 14.11.2023 г.;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</row>
    <row r="80" spans="1:83" x14ac:dyDescent="0.25">
      <c r="A80" s="55" t="str">
        <f t="shared" si="0"/>
        <v>Паспорт качества №322 от 06.11.2023 г.;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</row>
    <row r="81" spans="1:77" x14ac:dyDescent="0.25">
      <c r="A81" s="55" t="str">
        <f t="shared" si="0"/>
        <v>Паспорт качества №374 от 15.11.2023 г.;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</row>
    <row r="82" spans="1:77" x14ac:dyDescent="0.25">
      <c r="A82" s="55" t="str">
        <f t="shared" si="0"/>
        <v>Паспорт качества №389 от 20.11.2023 г.;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</row>
    <row r="83" spans="1:77" x14ac:dyDescent="0.25">
      <c r="A83" s="55" t="str">
        <f t="shared" si="0"/>
        <v>Паспорт качества №391 от 23.11.2023 г.;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</row>
    <row r="84" spans="1:77" x14ac:dyDescent="0.25">
      <c r="A84" s="55" t="str">
        <f t="shared" si="0"/>
        <v>Сертификат соответствия № RU C-RU.ПБ09.В.00463/23 с 03.11.2023 г. по 02.11.2028 г.;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</row>
    <row r="85" spans="1:77" x14ac:dyDescent="0.25">
      <c r="A85" s="55" t="str">
        <f>A56</f>
        <v>Сертификат соответсвия № АПБ.RU.ОС002/4.Н.01563 с 29.09.2021 г. по 28.09.2024 г.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</row>
    <row r="86" spans="1:7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59" t="s">
        <v>32</v>
      </c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</row>
    <row r="87" spans="1:77" x14ac:dyDescent="0.25">
      <c r="A87" s="8" t="s">
        <v>33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22"/>
    </row>
    <row r="88" spans="1:77" x14ac:dyDescent="0.25">
      <c r="A88" s="46"/>
      <c r="B88" s="8"/>
      <c r="C88" s="8"/>
      <c r="D88" s="8" t="s">
        <v>34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7"/>
      <c r="X88" s="7"/>
      <c r="Y88" s="7"/>
      <c r="Z88" s="7"/>
      <c r="AA88" s="46"/>
      <c r="AB88" s="7"/>
      <c r="AC88" s="46"/>
      <c r="AD88" s="60" t="s">
        <v>35</v>
      </c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</row>
    <row r="89" spans="1:77" x14ac:dyDescent="0.25">
      <c r="A89" s="8"/>
      <c r="B89" s="8"/>
      <c r="C89" s="8"/>
      <c r="D89" s="8"/>
      <c r="E89" s="8"/>
      <c r="F89" s="8"/>
      <c r="G89" s="8"/>
      <c r="H89" s="8"/>
      <c r="I89" s="8"/>
      <c r="J89" s="61" t="s">
        <v>36</v>
      </c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</row>
    <row r="90" spans="1:77" x14ac:dyDescent="0.25">
      <c r="A90" s="10" t="s">
        <v>37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/>
      <c r="V90" s="25"/>
      <c r="W90" s="46"/>
      <c r="X90" s="26"/>
      <c r="Y90" s="57" t="str">
        <f>U37</f>
        <v>ПП2020РД-1.2-61.17-ОВ3, ПП2020РД-1.2-61.17-ОВ3.СО изм.2 л. 2</v>
      </c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Y90" s="48" t="s">
        <v>88</v>
      </c>
    </row>
    <row r="91" spans="1:77" hidden="1" x14ac:dyDescent="0.25">
      <c r="A91" s="95" t="e">
        <f>#REF!</f>
        <v>#REF!</v>
      </c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</row>
    <row r="92" spans="1:77" ht="16.2" customHeight="1" x14ac:dyDescent="0.25">
      <c r="A92" s="8" t="s">
        <v>38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46"/>
      <c r="M92" s="23"/>
      <c r="N92" s="54" t="s">
        <v>140</v>
      </c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Y92" s="48" t="s">
        <v>89</v>
      </c>
    </row>
    <row r="93" spans="1:7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4" t="s">
        <v>141</v>
      </c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Y93" s="48" t="s">
        <v>90</v>
      </c>
    </row>
    <row r="94" spans="1:77" x14ac:dyDescent="0.25">
      <c r="A94" s="8" t="s">
        <v>39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12"/>
    </row>
    <row r="95" spans="1:77" x14ac:dyDescent="0.25">
      <c r="A95" s="8" t="s">
        <v>12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0" t="str">
        <f>BJ21</f>
        <v>Кострова Н.Л.</v>
      </c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8"/>
      <c r="AP95" s="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"/>
      <c r="BG95" s="8"/>
      <c r="BH95" s="89">
        <f>AE19</f>
        <v>45265</v>
      </c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12"/>
    </row>
    <row r="96" spans="1:7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0" t="s">
        <v>59</v>
      </c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"/>
      <c r="AP96" s="8"/>
      <c r="AQ96" s="80" t="s">
        <v>40</v>
      </c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"/>
      <c r="BG96" s="8"/>
      <c r="BH96" s="80" t="s">
        <v>41</v>
      </c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24"/>
    </row>
    <row r="97" spans="1:72" x14ac:dyDescent="0.25">
      <c r="A97" s="8" t="s">
        <v>42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12"/>
    </row>
    <row r="98" spans="1:72" x14ac:dyDescent="0.25">
      <c r="A98" s="8" t="s">
        <v>43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0" t="str">
        <f>BJ23</f>
        <v>Халыгов Э. А.</v>
      </c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8"/>
      <c r="AP98" s="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"/>
      <c r="BG98" s="8"/>
      <c r="BH98" s="89">
        <f>BH95</f>
        <v>45265</v>
      </c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12"/>
    </row>
    <row r="99" spans="1:7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0" t="s">
        <v>59</v>
      </c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"/>
      <c r="AP99" s="8"/>
      <c r="AQ99" s="80" t="s">
        <v>40</v>
      </c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"/>
      <c r="BG99" s="8"/>
      <c r="BH99" s="80" t="s">
        <v>41</v>
      </c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12"/>
    </row>
    <row r="100" spans="1:72" x14ac:dyDescent="0.25">
      <c r="A100" s="8" t="s">
        <v>39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12"/>
    </row>
    <row r="101" spans="1:72" x14ac:dyDescent="0.25">
      <c r="A101" s="8" t="s">
        <v>44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4" t="str">
        <f>BJ25</f>
        <v>Тюкин Е.В.</v>
      </c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"/>
      <c r="AP101" s="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"/>
      <c r="BG101" s="8"/>
      <c r="BH101" s="89">
        <f>BH95</f>
        <v>45265</v>
      </c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12"/>
    </row>
    <row r="102" spans="1:7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0" t="s">
        <v>59</v>
      </c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"/>
      <c r="AP102" s="8"/>
      <c r="AQ102" s="80" t="s">
        <v>40</v>
      </c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"/>
      <c r="BG102" s="8"/>
      <c r="BH102" s="80" t="s">
        <v>41</v>
      </c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12"/>
    </row>
    <row r="103" spans="1:72" x14ac:dyDescent="0.25">
      <c r="A103" s="13"/>
      <c r="B103" s="13"/>
      <c r="C103" s="13"/>
      <c r="D103" s="7"/>
      <c r="E103" s="7"/>
      <c r="F103" s="7"/>
      <c r="G103" s="7"/>
      <c r="H103" s="7"/>
      <c r="I103" s="7"/>
      <c r="J103" s="7"/>
      <c r="K103" s="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12"/>
    </row>
    <row r="104" spans="1:72" x14ac:dyDescent="0.25">
      <c r="A104" s="86" t="s">
        <v>67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8"/>
      <c r="AP104" s="8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8"/>
      <c r="BG104" s="8"/>
      <c r="BH104" s="8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12"/>
    </row>
    <row r="105" spans="1:72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"/>
      <c r="W105" s="8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8"/>
      <c r="AP105" s="8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"/>
      <c r="BG105" s="8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12"/>
    </row>
    <row r="106" spans="1:72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12"/>
    </row>
  </sheetData>
  <mergeCells count="122">
    <mergeCell ref="BY27:CE29"/>
    <mergeCell ref="BY37:CD39"/>
    <mergeCell ref="BY43:CE67"/>
    <mergeCell ref="D29:BT29"/>
    <mergeCell ref="D59:BT59"/>
    <mergeCell ref="D66:BT66"/>
    <mergeCell ref="A40:BT40"/>
    <mergeCell ref="AK42:BT42"/>
    <mergeCell ref="A43:BT43"/>
    <mergeCell ref="A44:BT44"/>
    <mergeCell ref="A57:BT57"/>
    <mergeCell ref="A58:BT58"/>
    <mergeCell ref="A30:BT30"/>
    <mergeCell ref="A49:BT49"/>
    <mergeCell ref="A62:BT62"/>
    <mergeCell ref="Y67:BT67"/>
    <mergeCell ref="A48:BT48"/>
    <mergeCell ref="A56:BT56"/>
    <mergeCell ref="A63:BT63"/>
    <mergeCell ref="A64:BT64"/>
    <mergeCell ref="A65:BT65"/>
    <mergeCell ref="A53:BT53"/>
    <mergeCell ref="X98:AN98"/>
    <mergeCell ref="AQ98:BE98"/>
    <mergeCell ref="BH98:BS98"/>
    <mergeCell ref="X99:AN99"/>
    <mergeCell ref="AQ99:BE99"/>
    <mergeCell ref="BH99:BS99"/>
    <mergeCell ref="Y68:BT68"/>
    <mergeCell ref="AJ69:AS69"/>
    <mergeCell ref="AT69:BT69"/>
    <mergeCell ref="Q70:BT70"/>
    <mergeCell ref="A79:BT79"/>
    <mergeCell ref="A80:BT80"/>
    <mergeCell ref="A77:BT77"/>
    <mergeCell ref="X95:AN95"/>
    <mergeCell ref="AQ95:BE95"/>
    <mergeCell ref="BH95:BS95"/>
    <mergeCell ref="X96:AN96"/>
    <mergeCell ref="AQ96:BE96"/>
    <mergeCell ref="BH96:BS96"/>
    <mergeCell ref="N93:BT93"/>
    <mergeCell ref="A85:BT85"/>
    <mergeCell ref="A91:BT91"/>
    <mergeCell ref="A75:BT75"/>
    <mergeCell ref="A104:U106"/>
    <mergeCell ref="AQ104:BE104"/>
    <mergeCell ref="BH104:BS104"/>
    <mergeCell ref="AQ105:BE105"/>
    <mergeCell ref="BH105:BS105"/>
    <mergeCell ref="X101:AN101"/>
    <mergeCell ref="AQ101:BE101"/>
    <mergeCell ref="BH101:BS101"/>
    <mergeCell ref="X102:AN102"/>
    <mergeCell ref="AQ102:BE102"/>
    <mergeCell ref="BH102:BS102"/>
    <mergeCell ref="A60:BT60"/>
    <mergeCell ref="A46:BT46"/>
    <mergeCell ref="U39:BT39"/>
    <mergeCell ref="A61:BT61"/>
    <mergeCell ref="T22:BJ22"/>
    <mergeCell ref="S23:BI23"/>
    <mergeCell ref="BJ23:BT23"/>
    <mergeCell ref="T24:BJ24"/>
    <mergeCell ref="S25:BI25"/>
    <mergeCell ref="BJ25:BT25"/>
    <mergeCell ref="O27:BP27"/>
    <mergeCell ref="A36:BT36"/>
    <mergeCell ref="U37:BT37"/>
    <mergeCell ref="P38:BT38"/>
    <mergeCell ref="T26:BJ26"/>
    <mergeCell ref="A50:BT50"/>
    <mergeCell ref="A51:BT51"/>
    <mergeCell ref="A52:BT52"/>
    <mergeCell ref="A54:BT54"/>
    <mergeCell ref="A55:BT55"/>
    <mergeCell ref="S21:BI21"/>
    <mergeCell ref="BJ21:BT21"/>
    <mergeCell ref="A47:BT47"/>
    <mergeCell ref="E28:BT28"/>
    <mergeCell ref="A29:C29"/>
    <mergeCell ref="A35:BT35"/>
    <mergeCell ref="A33:BT33"/>
    <mergeCell ref="A34:BT34"/>
    <mergeCell ref="A45:BT45"/>
    <mergeCell ref="A31:BT31"/>
    <mergeCell ref="A32:BT3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4:BT14"/>
    <mergeCell ref="A15:BT15"/>
    <mergeCell ref="A17:BT17"/>
    <mergeCell ref="A18:BT18"/>
    <mergeCell ref="AE19:AT19"/>
    <mergeCell ref="A16:BT16"/>
    <mergeCell ref="A11:BT11"/>
    <mergeCell ref="A12:BT12"/>
    <mergeCell ref="A13:BT13"/>
    <mergeCell ref="N92:BT92"/>
    <mergeCell ref="A81:BT81"/>
    <mergeCell ref="A82:BT82"/>
    <mergeCell ref="A76:BT76"/>
    <mergeCell ref="A78:BT78"/>
    <mergeCell ref="AA71:BT71"/>
    <mergeCell ref="A74:BT74"/>
    <mergeCell ref="Y90:BT90"/>
    <mergeCell ref="A73:BT73"/>
    <mergeCell ref="V86:BT86"/>
    <mergeCell ref="AD88:BT88"/>
    <mergeCell ref="J89:BT89"/>
    <mergeCell ref="A72:BT72"/>
    <mergeCell ref="A83:BT83"/>
    <mergeCell ref="A84:BT84"/>
  </mergeCells>
  <dataValidations count="4">
    <dataValidation type="list" errorStyle="information" allowBlank="1" showInputMessage="1" sqref="O27:BP27" xr:uid="{00000000-0002-0000-0000-000000000000}">
      <formula1>"выборочный,сплошной"</formula1>
    </dataValidation>
    <dataValidation type="list" allowBlank="1" showInputMessage="1" showErrorMessage="1" sqref="N27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87" fitToHeight="0" orientation="portrait" blackAndWhite="1" r:id="rId1"/>
  <headerFooter>
    <oddFooter>&amp;R&amp;"Times New Roman,обычный"стр. &amp;P из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BJ25:BT25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BJ23:BT23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BJ21:BT21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T37:U37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S39:U39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A21" sqref="A21"/>
    </sheetView>
  </sheetViews>
  <sheetFormatPr defaultColWidth="8.88671875" defaultRowHeight="13.8" x14ac:dyDescent="0.25"/>
  <cols>
    <col min="1" max="1" width="27.109375" style="29" customWidth="1"/>
    <col min="2" max="2" width="21.6640625" style="29" customWidth="1"/>
    <col min="3" max="3" width="49.6640625" style="29" customWidth="1"/>
    <col min="4" max="5" width="10.109375" style="29" customWidth="1"/>
    <col min="6" max="6" width="44.6640625" style="29" customWidth="1"/>
    <col min="7" max="16384" width="8.88671875" style="29"/>
  </cols>
  <sheetData>
    <row r="2" spans="1:6" ht="29.4" customHeight="1" x14ac:dyDescent="0.25">
      <c r="A2" s="35" t="s">
        <v>10</v>
      </c>
      <c r="B2" s="36" t="s">
        <v>77</v>
      </c>
      <c r="C2" s="36" t="s">
        <v>76</v>
      </c>
      <c r="D2" s="34" t="s">
        <v>74</v>
      </c>
      <c r="E2" s="34" t="s">
        <v>75</v>
      </c>
    </row>
    <row r="3" spans="1:6" x14ac:dyDescent="0.25">
      <c r="A3" s="30" t="s">
        <v>12</v>
      </c>
      <c r="B3" s="29" t="s">
        <v>63</v>
      </c>
      <c r="C3" s="37" t="s">
        <v>64</v>
      </c>
      <c r="D3" s="32">
        <v>44927</v>
      </c>
      <c r="E3" s="32">
        <v>45337</v>
      </c>
    </row>
    <row r="4" spans="1:6" x14ac:dyDescent="0.25">
      <c r="A4" s="30" t="s">
        <v>12</v>
      </c>
      <c r="B4" s="45" t="s">
        <v>111</v>
      </c>
      <c r="C4" s="37" t="s">
        <v>78</v>
      </c>
      <c r="D4" s="32">
        <v>45337</v>
      </c>
      <c r="E4" s="32">
        <v>45657</v>
      </c>
    </row>
    <row r="5" spans="1:6" x14ac:dyDescent="0.25">
      <c r="A5" s="30" t="s">
        <v>14</v>
      </c>
      <c r="B5" s="29" t="s">
        <v>69</v>
      </c>
      <c r="C5" s="31" t="s">
        <v>68</v>
      </c>
      <c r="D5" s="32">
        <v>45166</v>
      </c>
      <c r="E5" s="32">
        <v>45657</v>
      </c>
    </row>
    <row r="6" spans="1:6" x14ac:dyDescent="0.25">
      <c r="A6" s="30" t="s">
        <v>14</v>
      </c>
      <c r="B6" s="29" t="s">
        <v>80</v>
      </c>
      <c r="C6" s="31" t="s">
        <v>79</v>
      </c>
      <c r="D6" s="32">
        <v>44927</v>
      </c>
      <c r="E6" s="32">
        <v>45166</v>
      </c>
    </row>
    <row r="7" spans="1:6" ht="27.6" x14ac:dyDescent="0.25">
      <c r="A7" s="30" t="s">
        <v>14</v>
      </c>
      <c r="B7" s="40" t="s">
        <v>94</v>
      </c>
      <c r="C7" s="31" t="s">
        <v>68</v>
      </c>
      <c r="D7" s="32">
        <v>45278</v>
      </c>
      <c r="E7" s="32">
        <v>45342</v>
      </c>
      <c r="F7" s="39" t="s">
        <v>95</v>
      </c>
    </row>
    <row r="8" spans="1:6" ht="55.2" x14ac:dyDescent="0.25">
      <c r="A8" s="41" t="s">
        <v>15</v>
      </c>
      <c r="B8" s="42" t="s">
        <v>66</v>
      </c>
      <c r="C8" s="43" t="s">
        <v>65</v>
      </c>
      <c r="D8" s="44">
        <v>44927</v>
      </c>
      <c r="E8" s="44">
        <v>45657</v>
      </c>
    </row>
    <row r="9" spans="1:6" ht="55.2" x14ac:dyDescent="0.25">
      <c r="A9" s="33" t="s">
        <v>15</v>
      </c>
      <c r="B9" s="29" t="s">
        <v>93</v>
      </c>
      <c r="C9" s="38" t="s">
        <v>92</v>
      </c>
      <c r="F9" s="45" t="s">
        <v>96</v>
      </c>
    </row>
    <row r="11" spans="1:6" x14ac:dyDescent="0.25">
      <c r="A11" s="30"/>
    </row>
    <row r="12" spans="1:6" x14ac:dyDescent="0.25">
      <c r="A1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B12" sqref="B12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100</v>
      </c>
      <c r="B5" s="2" t="s">
        <v>49</v>
      </c>
      <c r="C5" s="2" t="s">
        <v>50</v>
      </c>
      <c r="D5" s="2" t="s">
        <v>108</v>
      </c>
    </row>
    <row r="6" spans="1:4" ht="27.6" x14ac:dyDescent="0.25">
      <c r="A6" s="6" t="s">
        <v>97</v>
      </c>
      <c r="B6" s="3" t="s">
        <v>51</v>
      </c>
      <c r="C6" s="5" t="s">
        <v>101</v>
      </c>
    </row>
    <row r="7" spans="1:4" x14ac:dyDescent="0.25">
      <c r="A7" s="6" t="s">
        <v>98</v>
      </c>
      <c r="B7" s="3" t="s">
        <v>52</v>
      </c>
      <c r="C7" s="1" t="s">
        <v>102</v>
      </c>
    </row>
    <row r="8" spans="1:4" x14ac:dyDescent="0.25">
      <c r="A8" s="6" t="s">
        <v>99</v>
      </c>
      <c r="B8" s="3" t="s">
        <v>53</v>
      </c>
      <c r="C8" s="1" t="s">
        <v>103</v>
      </c>
    </row>
    <row r="9" spans="1:4" x14ac:dyDescent="0.25">
      <c r="A9" s="6">
        <v>56</v>
      </c>
      <c r="B9" s="3" t="s">
        <v>54</v>
      </c>
      <c r="C9" s="1" t="s">
        <v>104</v>
      </c>
    </row>
    <row r="10" spans="1:4" ht="27.6" x14ac:dyDescent="0.25">
      <c r="A10" s="6">
        <v>57</v>
      </c>
      <c r="B10" s="3" t="s">
        <v>55</v>
      </c>
      <c r="C10" s="4" t="s">
        <v>105</v>
      </c>
    </row>
    <row r="11" spans="1:4" ht="27.6" x14ac:dyDescent="0.25">
      <c r="A11" s="6">
        <v>110</v>
      </c>
      <c r="B11" s="3" t="s">
        <v>56</v>
      </c>
      <c r="C11" s="6" t="s">
        <v>106</v>
      </c>
    </row>
    <row r="12" spans="1:4" ht="27.6" x14ac:dyDescent="0.25">
      <c r="A12" s="6">
        <v>111</v>
      </c>
      <c r="B12" s="3" t="s">
        <v>57</v>
      </c>
      <c r="C12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2026-01-22T13:42:05Z</cp:lastPrinted>
  <dcterms:created xsi:type="dcterms:W3CDTF">2023-09-19T09:44:50Z</dcterms:created>
  <dcterms:modified xsi:type="dcterms:W3CDTF">2026-01-22T14:43:25Z</dcterms:modified>
</cp:coreProperties>
</file>