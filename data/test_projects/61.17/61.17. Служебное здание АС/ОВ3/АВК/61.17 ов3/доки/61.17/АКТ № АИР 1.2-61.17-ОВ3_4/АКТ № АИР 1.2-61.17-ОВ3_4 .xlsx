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asha\Desktop\job\левашово\АКТЫ\Акты ОВ3\61.17\АКТ № АИР 1.2-61.17-ОВ3_4\"/>
    </mc:Choice>
  </mc:AlternateContent>
  <xr:revisionPtr revIDLastSave="0" documentId="8_{7D86F97E-DC8A-4090-9854-9856A3E8A1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акт" sheetId="18" r:id="rId1"/>
    <sheet name="подписанты" sheetId="8" r:id="rId2"/>
    <sheet name="Лист общих данных" sheetId="2" r:id="rId3"/>
  </sheets>
  <definedNames>
    <definedName name="_xlnm.Print_Area" localSheetId="0">акт!$A$1:$BU$81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7" i="18" l="1"/>
  <c r="A60" i="18"/>
  <c r="A59" i="18" l="1"/>
  <c r="A58" i="18"/>
  <c r="A56" i="18"/>
  <c r="A45" i="18"/>
  <c r="A44" i="18"/>
  <c r="A43" i="18"/>
  <c r="D42" i="18"/>
  <c r="A55" i="18" l="1"/>
  <c r="A54" i="18" l="1"/>
  <c r="S19" i="18" l="1"/>
  <c r="S17" i="18"/>
  <c r="S15" i="18"/>
  <c r="A66" i="18" l="1"/>
  <c r="X76" i="18" l="1"/>
  <c r="X73" i="18"/>
  <c r="BH70" i="18"/>
  <c r="BH76" i="18" s="1"/>
  <c r="X70" i="18"/>
  <c r="Y65" i="18"/>
  <c r="AA51" i="18"/>
  <c r="Q50" i="18"/>
  <c r="BH73" i="18" l="1"/>
</calcChain>
</file>

<file path=xl/sharedStrings.xml><?xml version="1.0" encoding="utf-8"?>
<sst xmlns="http://schemas.openxmlformats.org/spreadsheetml/2006/main" count="150" uniqueCount="125">
  <si>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</si>
  <si>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</si>
  <si>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</si>
  <si>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</si>
  <si>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</si>
  <si>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</si>
  <si>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</si>
  <si>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</si>
  <si>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</si>
  <si>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</si>
  <si>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</si>
  <si>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</si>
  <si>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</si>
  <si>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</si>
  <si>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</si>
  <si>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</si>
  <si>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</si>
  <si>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</si>
  <si>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</si>
  <si>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</si>
  <si>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</si>
  <si>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</si>
  <si>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</si>
  <si>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</si>
  <si>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</si>
  <si>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</si>
  <si>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</si>
  <si>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</si>
  <si>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</si>
  <si>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</si>
  <si>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</si>
  <si>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</si>
  <si>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</si>
  <si>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</si>
  <si>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</si>
  <si>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</si>
  <si>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</si>
  <si>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</si>
  <si>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</si>
  <si>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</si>
  <si>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</si>
  <si>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</si>
  <si>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</si>
  <si>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</si>
  <si>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</si>
  <si>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 xml:space="preserve">о результатах проверки изделий/материалов </t>
  </si>
  <si>
    <t>на соответствие техдокументации</t>
  </si>
  <si>
    <t xml:space="preserve">  (сплошной, выборочный )</t>
  </si>
  <si>
    <t xml:space="preserve">       (наименование изделий/материалов)</t>
  </si>
  <si>
    <t xml:space="preserve">Наименование объекта </t>
  </si>
  <si>
    <t>Шифр чертежа КМ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</si>
  <si>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</si>
  <si>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</si>
  <si>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</si>
  <si>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</si>
  <si>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</si>
  <si>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</si>
  <si>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</si>
  <si>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 xml:space="preserve"> на изделия установлено, </t>
  </si>
  <si>
    <t>(фамилия, инициалы)</t>
  </si>
  <si>
    <t>ПАО «Газпром»</t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</si>
  <si>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</si>
  <si>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</si>
  <si>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t>Кострова Н.Л.</t>
  </si>
  <si>
    <t>Руководитель группы МТО АО «Газстройпроект»</t>
  </si>
  <si>
    <t xml:space="preserve">Главный специалист Отдела организации и контроля материально-технического обеспечения Управления по реализации проектов г. Санкт-Петербург ООО «Газпром инвест» </t>
  </si>
  <si>
    <t>Лбова П.А.</t>
  </si>
  <si>
    <t>ВК произведен 
в соответствиями 
с требованиями НТД</t>
  </si>
  <si>
    <t>Инженер отдела технического надзора АО «Газстройпроект»</t>
  </si>
  <si>
    <t>Халыгов Э. А.</t>
  </si>
  <si>
    <r>
      <t xml:space="preserve">Основание: </t>
    </r>
    <r>
      <rPr>
        <u/>
        <sz val="11"/>
        <rFont val="Times New Roman"/>
        <family val="1"/>
        <charset val="204"/>
      </rPr>
      <t>ВСН 012-88 (Часть II)</t>
    </r>
  </si>
  <si>
    <r>
      <t xml:space="preserve">Строительство: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</si>
  <si>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</si>
  <si>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t>проекту (соответствует, не соответствует)</t>
  </si>
  <si>
    <t xml:space="preserve">с </t>
  </si>
  <si>
    <t>до</t>
  </si>
  <si>
    <t>Должность</t>
  </si>
  <si>
    <t>ФИО</t>
  </si>
  <si>
    <t>Ведущий инженер МТО АО «Газстройпроект»</t>
  </si>
  <si>
    <t>Ведущий нженер отдела технического надзора АО «Газстройпроект»</t>
  </si>
  <si>
    <t>Ткаченко С.В.</t>
  </si>
  <si>
    <t>Объемы материала не указываются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</si>
  <si>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</si>
  <si>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Шифр РД, изм., листы, 
Учётный лист ЖАН, письмо ООО "Газпром Инвест", письмо ООО "Транссроймеханизации" - при наличии</t>
  </si>
  <si>
    <t>Примеры написания: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</si>
  <si>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</t>
  </si>
  <si>
    <t>трубы: диаметр 25 мм толщ. 3 мм, диаметр 32 мм толщ. 4 мм</t>
  </si>
  <si>
    <t>По поворотам, отводам и т.д. необходимо уточнее в МТО ГСП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</si>
  <si>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</t>
  </si>
  <si>
    <t>Если в РД отсутствует ГОСТ-ы, ТУ или СТО пишится из паспорта</t>
  </si>
  <si>
    <t>При отсутствиее норматива в РД или паспорта остается пустым</t>
  </si>
  <si>
    <t>сплошной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</si>
  <si>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</si>
  <si>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</si>
  <si>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Будянский А.С.</t>
  </si>
  <si>
    <t>на период отпуска Ткаченко, на период отпуска Халыгова август 2024</t>
  </si>
  <si>
    <t>подписывает сейчас</t>
  </si>
  <si>
    <t>61.6</t>
  </si>
  <si>
    <t>61.17</t>
  </si>
  <si>
    <t>61.2</t>
  </si>
  <si>
    <t>№ по ГП</t>
  </si>
  <si>
    <t>ПП2020РД-1.2-61.6-ОВ1</t>
  </si>
  <si>
    <t>ПП2020РД-1.2-61.17-ОВ1</t>
  </si>
  <si>
    <t>ПП2020РД-1.2-61.2-ОВ1</t>
  </si>
  <si>
    <t>ПП2020РД-1.2-56-ОВ1</t>
  </si>
  <si>
    <t>ПП2020РД-1.2-57-ОВ1</t>
  </si>
  <si>
    <t>ПП2020РД-1.2-110-ОВ1</t>
  </si>
  <si>
    <t>ПП2020РД-1.2-111-ОВ1</t>
  </si>
  <si>
    <t>№ последнего изм</t>
  </si>
  <si>
    <t>-</t>
  </si>
  <si>
    <t>что:</t>
  </si>
  <si>
    <t>Тишаков В.В.</t>
  </si>
  <si>
    <t>ПП2020РД-1.2-61.17-ОВ3, ПП2020РД-1.2-61.17-ОВ3.СО изм.2 л. 2</t>
  </si>
  <si>
    <t>Паспорт на изделия № 1632-15 от 23.10.2023 г.;</t>
  </si>
  <si>
    <t>Сертификат соответствия № РОСС CN.HE06.H04240 с 23.03.2023 г.по 22.03.2026 г.;</t>
  </si>
  <si>
    <t>Паспорт качества № 000553725 от 09.12.2023 г.;</t>
  </si>
  <si>
    <t>Сертификат соответствия № ЕАЭС RU C-RU.МЕ77.В.01210/22 с 27.09.2022 г. по 26.09.2027 г.;</t>
  </si>
  <si>
    <t>Паспорт качества № 000212196 от 15.11.2023 г.;</t>
  </si>
  <si>
    <t>Сертификат соответствия № ЕАЭС RU C-RU.НВ26.В.01833/21 с 30.12.2021 г. по 29.12.2026 г.;</t>
  </si>
  <si>
    <t>Паспорт качества 92513 от 13.10.2023 г.;</t>
  </si>
  <si>
    <t>Сертификат соответствия № ЕАЭС RU C-RU.ПБ68.В.00559/21 с 04.10.2021 г. по 15.03.2026 г.</t>
  </si>
  <si>
    <t xml:space="preserve">ГОСТ 32590-2013; ГОСТ Р 52922-2008; ТУ 3581-387-00217053-2009; ГОСТ 10348-80; </t>
  </si>
  <si>
    <t>ТР ТС 004/2011; ТУ 27.32.13-025-45310838-2020; ТУ 2247-008-47022248-2002.</t>
  </si>
  <si>
    <t>Фреон R410A</t>
  </si>
  <si>
    <t>АИР 1.2-61.17-ОВ3/4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</si>
</sst>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;\-0;;@"/>
  </numFmts>
  <fonts count="18" x14ac:knownFonts="1">
    <font>
      <sz val="11"/>
      <color theme="1"/>
      <name val="Times New Roman"/>
      <family val="2"/>
      <charset val="204"/>
      <scheme val="minor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1"/>
      <name val="Times New Roman"/>
      <family val="2"/>
      <charset val="204"/>
    </font>
    <font>
      <strike/>
      <sz val="11"/>
      <color rgb="FFFF0000"/>
      <name val="Times New Roman"/>
      <family val="2"/>
      <charset val="204"/>
    </font>
    <font>
      <sz val="11"/>
      <color theme="1"/>
      <name val="Times New Roman"/>
      <family val="1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03">
    <xf numFmtId="0" fontId="0" fillId="0" borderId="0" xfId="0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wrapText="1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0" fillId="2" borderId="0" xfId="1" applyFont="1" applyFill="1"/>
    <xf numFmtId="0" fontId="11" fillId="2" borderId="0" xfId="1" applyFont="1" applyFill="1"/>
    <xf numFmtId="0" fontId="12" fillId="2" borderId="0" xfId="1" applyFont="1" applyFill="1"/>
    <xf numFmtId="0" fontId="11" fillId="2" borderId="0" xfId="1" applyFont="1" applyFill="1" applyAlignment="1">
      <alignment vertical="top"/>
    </xf>
    <xf numFmtId="0" fontId="11" fillId="2" borderId="0" xfId="1" applyFont="1" applyFill="1" applyAlignment="1">
      <alignment horizontal="left" vertical="top"/>
    </xf>
    <xf numFmtId="0" fontId="11" fillId="2" borderId="0" xfId="1" applyFont="1" applyFill="1" applyAlignment="1">
      <alignment wrapText="1"/>
    </xf>
    <xf numFmtId="0" fontId="13" fillId="2" borderId="0" xfId="1" applyFont="1" applyFill="1"/>
    <xf numFmtId="0" fontId="11" fillId="2" borderId="0" xfId="1" applyFont="1" applyFill="1" applyAlignment="1">
      <alignment vertical="center"/>
    </xf>
    <xf numFmtId="0" fontId="11" fillId="2" borderId="2" xfId="1" applyFont="1" applyFill="1" applyBorder="1" applyAlignment="1">
      <alignment vertical="top"/>
    </xf>
    <xf numFmtId="0" fontId="11" fillId="0" borderId="0" xfId="1" applyFont="1"/>
    <xf numFmtId="0" fontId="14" fillId="2" borderId="0" xfId="1" applyFont="1" applyFill="1" applyAlignment="1">
      <alignment wrapText="1"/>
    </xf>
    <xf numFmtId="14" fontId="13" fillId="0" borderId="0" xfId="1" applyNumberFormat="1" applyFont="1" applyAlignment="1">
      <alignment vertical="center" wrapText="1"/>
    </xf>
    <xf numFmtId="0" fontId="13" fillId="2" borderId="0" xfId="1" applyFont="1" applyFill="1" applyAlignment="1">
      <alignment horizontal="center" vertical="top"/>
    </xf>
    <xf numFmtId="0" fontId="10" fillId="2" borderId="0" xfId="1" applyFont="1" applyFill="1" applyAlignment="1">
      <alignment vertical="top" wrapText="1"/>
    </xf>
    <xf numFmtId="0" fontId="13" fillId="2" borderId="0" xfId="1" applyFont="1" applyFill="1" applyAlignment="1">
      <alignment vertical="top"/>
    </xf>
    <xf numFmtId="0" fontId="12" fillId="2" borderId="0" xfId="1" applyFont="1" applyFill="1" applyAlignment="1">
      <alignment wrapText="1"/>
    </xf>
    <xf numFmtId="0" fontId="13" fillId="2" borderId="0" xfId="1" applyFont="1" applyFill="1" applyAlignment="1">
      <alignment wrapText="1"/>
    </xf>
    <xf numFmtId="0" fontId="11" fillId="2" borderId="0" xfId="1" applyFont="1" applyFill="1" applyAlignment="1">
      <alignment horizontal="center" vertical="top" wrapText="1"/>
    </xf>
    <xf numFmtId="165" fontId="10" fillId="2" borderId="0" xfId="1" applyNumberFormat="1" applyFont="1" applyFill="1" applyAlignment="1">
      <alignment vertical="center" wrapText="1"/>
    </xf>
    <xf numFmtId="165" fontId="10" fillId="2" borderId="0" xfId="1" applyNumberFormat="1" applyFont="1" applyFill="1" applyAlignment="1">
      <alignment vertical="top" wrapText="1"/>
    </xf>
    <xf numFmtId="14" fontId="13" fillId="2" borderId="0" xfId="1" applyNumberFormat="1" applyFont="1" applyFill="1" applyAlignment="1">
      <alignment vertical="top" wrapText="1"/>
    </xf>
    <xf numFmtId="14" fontId="10" fillId="2" borderId="0" xfId="1" applyNumberFormat="1" applyFont="1" applyFill="1" applyAlignment="1">
      <alignment vertical="top" wrapText="1"/>
    </xf>
    <xf numFmtId="0" fontId="5" fillId="0" borderId="0" xfId="0" applyFont="1"/>
    <xf numFmtId="0" fontId="15" fillId="0" borderId="0" xfId="1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/>
    <xf numFmtId="0" fontId="15" fillId="0" borderId="0" xfId="1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6" fillId="0" borderId="0" xfId="1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wrapText="1"/>
    </xf>
    <xf numFmtId="14" fontId="16" fillId="0" borderId="0" xfId="0" applyNumberFormat="1" applyFont="1" applyAlignment="1">
      <alignment vertical="center"/>
    </xf>
    <xf numFmtId="0" fontId="1" fillId="0" borderId="0" xfId="0" applyFont="1"/>
    <xf numFmtId="0" fontId="11" fillId="2" borderId="0" xfId="1" applyFont="1" applyFill="1" applyAlignment="1">
      <alignment horizontal="left" wrapText="1"/>
    </xf>
    <xf numFmtId="0" fontId="11" fillId="2" borderId="0" xfId="1" applyFont="1" applyFill="1" applyAlignment="1">
      <alignment horizontal="center" vertical="top"/>
    </xf>
    <xf numFmtId="0" fontId="17" fillId="0" borderId="0" xfId="0" applyFont="1"/>
    <xf numFmtId="0" fontId="17" fillId="0" borderId="0" xfId="0" applyFont="1" applyFill="1"/>
    <xf numFmtId="0" fontId="13" fillId="0" borderId="0" xfId="1" applyFont="1" applyFill="1" applyBorder="1" applyAlignment="1">
      <alignment horizontal="left"/>
    </xf>
    <xf numFmtId="0" fontId="13" fillId="0" borderId="0" xfId="1" applyFont="1" applyFill="1" applyBorder="1" applyAlignment="1"/>
    <xf numFmtId="0" fontId="13" fillId="4" borderId="1" xfId="1" applyFont="1" applyFill="1" applyBorder="1" applyAlignment="1">
      <alignment horizontal="left" wrapText="1"/>
    </xf>
    <xf numFmtId="0" fontId="13" fillId="3" borderId="3" xfId="1" applyFont="1" applyFill="1" applyBorder="1" applyAlignment="1">
      <alignment horizontal="left"/>
    </xf>
    <xf numFmtId="14" fontId="13" fillId="3" borderId="1" xfId="1" applyNumberFormat="1" applyFont="1" applyFill="1" applyBorder="1" applyAlignment="1">
      <alignment horizontal="left" vertical="top" wrapText="1"/>
    </xf>
    <xf numFmtId="165" fontId="10" fillId="3" borderId="0" xfId="1" applyNumberFormat="1" applyFont="1" applyFill="1" applyAlignment="1">
      <alignment horizontal="left" vertical="top" wrapText="1"/>
    </xf>
    <xf numFmtId="0" fontId="13" fillId="3" borderId="1" xfId="1" applyFont="1" applyFill="1" applyBorder="1" applyAlignment="1">
      <alignment horizontal="left"/>
    </xf>
    <xf numFmtId="0" fontId="11" fillId="2" borderId="0" xfId="1" applyFont="1" applyFill="1" applyAlignment="1">
      <alignment horizontal="left" vertical="top"/>
    </xf>
    <xf numFmtId="0" fontId="10" fillId="3" borderId="0" xfId="1" applyFont="1" applyFill="1" applyAlignment="1">
      <alignment horizontal="left"/>
    </xf>
    <xf numFmtId="0" fontId="11" fillId="2" borderId="0" xfId="1" applyFont="1" applyFill="1" applyAlignment="1">
      <alignment horizontal="right" vertical="top" wrapText="1"/>
    </xf>
    <xf numFmtId="0" fontId="13" fillId="4" borderId="0" xfId="1" applyFont="1" applyFill="1" applyAlignment="1">
      <alignment horizontal="left"/>
    </xf>
    <xf numFmtId="0" fontId="13" fillId="0" borderId="0" xfId="1" applyFont="1" applyAlignment="1">
      <alignment horizontal="center"/>
    </xf>
    <xf numFmtId="14" fontId="13" fillId="4" borderId="3" xfId="1" applyNumberFormat="1" applyFont="1" applyFill="1" applyBorder="1" applyAlignment="1">
      <alignment horizontal="left" wrapText="1"/>
    </xf>
    <xf numFmtId="14" fontId="13" fillId="2" borderId="0" xfId="1" applyNumberFormat="1" applyFont="1" applyFill="1" applyAlignment="1">
      <alignment horizontal="center" wrapText="1"/>
    </xf>
    <xf numFmtId="164" fontId="13" fillId="4" borderId="1" xfId="1" applyNumberFormat="1" applyFont="1" applyFill="1" applyBorder="1" applyAlignment="1">
      <alignment horizontal="center"/>
    </xf>
    <xf numFmtId="0" fontId="11" fillId="2" borderId="0" xfId="1" applyFont="1" applyFill="1" applyAlignment="1">
      <alignment horizontal="center"/>
    </xf>
    <xf numFmtId="49" fontId="12" fillId="2" borderId="0" xfId="1" applyNumberFormat="1" applyFont="1" applyFill="1" applyAlignment="1">
      <alignment horizontal="center" vertical="center"/>
    </xf>
    <xf numFmtId="0" fontId="12" fillId="2" borderId="0" xfId="1" applyFont="1" applyFill="1" applyAlignment="1">
      <alignment horizontal="left"/>
    </xf>
    <xf numFmtId="0" fontId="11" fillId="2" borderId="0" xfId="1" applyFont="1" applyFill="1" applyAlignment="1">
      <alignment horizontal="left" wrapText="1"/>
    </xf>
    <xf numFmtId="49" fontId="11" fillId="2" borderId="0" xfId="1" applyNumberFormat="1" applyFont="1" applyFill="1" applyAlignment="1">
      <alignment horizontal="center"/>
    </xf>
    <xf numFmtId="0" fontId="11" fillId="3" borderId="0" xfId="1" applyFont="1" applyFill="1" applyAlignment="1">
      <alignment horizontal="left" wrapText="1"/>
    </xf>
    <xf numFmtId="0" fontId="11" fillId="3" borderId="1" xfId="1" applyFont="1" applyFill="1" applyBorder="1" applyAlignment="1">
      <alignment horizontal="right"/>
    </xf>
    <xf numFmtId="0" fontId="13" fillId="0" borderId="3" xfId="1" applyFont="1" applyFill="1" applyBorder="1" applyAlignment="1">
      <alignment horizontal="left"/>
    </xf>
    <xf numFmtId="0" fontId="11" fillId="2" borderId="0" xfId="1" applyFont="1" applyFill="1" applyAlignment="1">
      <alignment horizontal="center" vertical="center"/>
    </xf>
    <xf numFmtId="14" fontId="11" fillId="2" borderId="1" xfId="1" applyNumberFormat="1" applyFont="1" applyFill="1" applyBorder="1" applyAlignment="1">
      <alignment horizontal="center" wrapText="1"/>
    </xf>
    <xf numFmtId="14" fontId="13" fillId="4" borderId="1" xfId="1" applyNumberFormat="1" applyFont="1" applyFill="1" applyBorder="1" applyAlignment="1">
      <alignment horizontal="left" wrapText="1"/>
    </xf>
    <xf numFmtId="14" fontId="13" fillId="3" borderId="3" xfId="1" applyNumberFormat="1" applyFont="1" applyFill="1" applyBorder="1" applyAlignment="1">
      <alignment horizontal="left"/>
    </xf>
    <xf numFmtId="0" fontId="10" fillId="4" borderId="0" xfId="1" applyFont="1" applyFill="1" applyAlignment="1">
      <alignment horizontal="left" vertical="top" wrapText="1"/>
    </xf>
    <xf numFmtId="0" fontId="11" fillId="2" borderId="2" xfId="1" applyFont="1" applyFill="1" applyBorder="1" applyAlignment="1">
      <alignment horizontal="center" vertical="top"/>
    </xf>
    <xf numFmtId="0" fontId="11" fillId="3" borderId="1" xfId="1" applyFont="1" applyFill="1" applyBorder="1" applyAlignment="1">
      <alignment horizontal="left" wrapText="1"/>
    </xf>
    <xf numFmtId="0" fontId="11" fillId="2" borderId="0" xfId="1" applyFont="1" applyFill="1" applyAlignment="1">
      <alignment horizontal="center" vertical="top"/>
    </xf>
    <xf numFmtId="0" fontId="11" fillId="3" borderId="1" xfId="1" applyFont="1" applyFill="1" applyBorder="1" applyAlignment="1">
      <alignment horizontal="right" vertical="center"/>
    </xf>
    <xf numFmtId="0" fontId="11" fillId="3" borderId="1" xfId="1" applyFont="1" applyFill="1" applyBorder="1" applyAlignment="1">
      <alignment horizontal="center"/>
    </xf>
    <xf numFmtId="14" fontId="11" fillId="2" borderId="0" xfId="1" applyNumberFormat="1" applyFont="1" applyFill="1" applyAlignment="1">
      <alignment horizontal="center" vertical="top" wrapText="1"/>
    </xf>
    <xf numFmtId="0" fontId="13" fillId="2" borderId="0" xfId="1" applyFont="1" applyFill="1" applyAlignment="1">
      <alignment horizontal="left" vertical="top" wrapText="1"/>
    </xf>
    <xf numFmtId="14" fontId="11" fillId="2" borderId="0" xfId="1" applyNumberFormat="1" applyFont="1" applyFill="1" applyAlignment="1">
      <alignment horizontal="center"/>
    </xf>
    <xf numFmtId="0" fontId="11" fillId="2" borderId="1" xfId="1" applyFont="1" applyFill="1" applyBorder="1" applyAlignment="1">
      <alignment horizontal="center"/>
    </xf>
    <xf numFmtId="14" fontId="11" fillId="3" borderId="1" xfId="1" applyNumberFormat="1" applyFont="1" applyFill="1" applyBorder="1" applyAlignment="1">
      <alignment horizontal="center"/>
    </xf>
    <xf numFmtId="165" fontId="11" fillId="3" borderId="1" xfId="1" applyNumberFormat="1" applyFont="1" applyFill="1" applyBorder="1" applyAlignment="1">
      <alignment horizontal="center"/>
    </xf>
    <xf numFmtId="0" fontId="10" fillId="3" borderId="0" xfId="1" applyFont="1" applyFill="1" applyAlignment="1">
      <alignment horizontal="center"/>
    </xf>
    <xf numFmtId="0" fontId="11" fillId="2" borderId="0" xfId="1" applyFont="1" applyFill="1" applyAlignment="1">
      <alignment horizontal="left"/>
    </xf>
    <xf numFmtId="0" fontId="10" fillId="3" borderId="0" xfId="1" applyFont="1" applyFill="1" applyAlignment="1">
      <alignment horizontal="left" vertical="top" wrapText="1"/>
    </xf>
    <xf numFmtId="0" fontId="13" fillId="4" borderId="3" xfId="1" applyFont="1" applyFill="1" applyBorder="1" applyAlignment="1">
      <alignment horizontal="left"/>
    </xf>
    <xf numFmtId="0" fontId="10" fillId="5" borderId="0" xfId="1" applyFont="1" applyFill="1" applyAlignment="1">
      <alignment horizontal="left" vertical="top"/>
    </xf>
    <xf numFmtId="0" fontId="17" fillId="0" borderId="0" xfId="0" applyFont="1" applyAlignment="1">
      <alignment horizontal="left" vertical="top" wrapText="1"/>
    </xf>
    <xf numFmtId="14" fontId="13" fillId="3" borderId="1" xfId="1" applyNumberFormat="1" applyFont="1" applyFill="1" applyBorder="1" applyAlignment="1">
      <alignment horizontal="left" vertical="center" wrapText="1"/>
    </xf>
    <xf numFmtId="0" fontId="7" fillId="0" borderId="0" xfId="1" applyFont="1" applyAlignment="1">
      <alignment horizontal="center" vertical="top"/>
    </xf>
    <xf numFmtId="14" fontId="13" fillId="0" borderId="1" xfId="1" applyNumberFormat="1" applyFont="1" applyFill="1" applyBorder="1" applyAlignment="1">
      <alignment horizontal="left" vertical="top" wrapText="1"/>
    </xf>
    <xf numFmtId="0" fontId="13" fillId="4" borderId="1" xfId="1" applyFont="1" applyFill="1" applyBorder="1" applyAlignment="1">
      <alignment horizontal="left"/>
    </xf>
    <xf numFmtId="0" fontId="11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/>
    </xf>
    <xf numFmtId="0" fontId="13" fillId="4" borderId="1" xfId="1" applyFont="1" applyFill="1" applyBorder="1" applyAlignment="1">
      <alignment horizontal="center" vertical="center" wrapText="1"/>
    </xf>
    <xf numFmtId="0" fontId="10" fillId="4" borderId="1" xfId="1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289560</xdr:colOff>
      <xdr:row>10</xdr:row>
      <xdr:rowOff>0</xdr:rowOff>
    </xdr:from>
    <xdr:to>
      <xdr:col>76</xdr:col>
      <xdr:colOff>201930</xdr:colOff>
      <xdr:row>11</xdr:row>
      <xdr:rowOff>0</xdr:rowOff>
    </xdr:to>
    <xdr:sp macro="" textlink="">
      <xdr:nvSpPr>
        <xdr:cNvPr id="2" name="Стрелка: влево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680960" y="1783080"/>
          <a:ext cx="1131570" cy="59245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20</xdr:row>
      <xdr:rowOff>0</xdr:rowOff>
    </xdr:from>
    <xdr:to>
      <xdr:col>75</xdr:col>
      <xdr:colOff>521970</xdr:colOff>
      <xdr:row>21</xdr:row>
      <xdr:rowOff>78105</xdr:rowOff>
    </xdr:to>
    <xdr:sp macro="" textlink="">
      <xdr:nvSpPr>
        <xdr:cNvPr id="3" name="Стрелка: влево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391400" y="4358640"/>
          <a:ext cx="1131570" cy="25336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24</xdr:row>
      <xdr:rowOff>0</xdr:rowOff>
    </xdr:from>
    <xdr:to>
      <xdr:col>75</xdr:col>
      <xdr:colOff>521970</xdr:colOff>
      <xdr:row>26</xdr:row>
      <xdr:rowOff>38100</xdr:rowOff>
    </xdr:to>
    <xdr:sp macro="" textlink="">
      <xdr:nvSpPr>
        <xdr:cNvPr id="4" name="Стрелка: влево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391400" y="5234940"/>
          <a:ext cx="113157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29</xdr:row>
      <xdr:rowOff>0</xdr:rowOff>
    </xdr:from>
    <xdr:to>
      <xdr:col>75</xdr:col>
      <xdr:colOff>521970</xdr:colOff>
      <xdr:row>31</xdr:row>
      <xdr:rowOff>38100</xdr:rowOff>
    </xdr:to>
    <xdr:sp macro="" textlink="">
      <xdr:nvSpPr>
        <xdr:cNvPr id="5" name="Стрелка: влево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391400" y="6111240"/>
          <a:ext cx="113157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48</xdr:row>
      <xdr:rowOff>0</xdr:rowOff>
    </xdr:from>
    <xdr:to>
      <xdr:col>75</xdr:col>
      <xdr:colOff>521970</xdr:colOff>
      <xdr:row>49</xdr:row>
      <xdr:rowOff>72390</xdr:rowOff>
    </xdr:to>
    <xdr:sp macro="" textlink="">
      <xdr:nvSpPr>
        <xdr:cNvPr id="6" name="Стрелка: влево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391400" y="7863840"/>
          <a:ext cx="113157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64</xdr:row>
      <xdr:rowOff>0</xdr:rowOff>
    </xdr:from>
    <xdr:to>
      <xdr:col>75</xdr:col>
      <xdr:colOff>521970</xdr:colOff>
      <xdr:row>66</xdr:row>
      <xdr:rowOff>66675</xdr:rowOff>
    </xdr:to>
    <xdr:sp macro="" textlink="">
      <xdr:nvSpPr>
        <xdr:cNvPr id="7" name="Стрелка: влево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7391400" y="9441180"/>
          <a:ext cx="1131570" cy="24193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Times New Roman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CE81"/>
  <sheetViews>
    <sheetView tabSelected="1" view="pageBreakPreview" topLeftCell="A7" zoomScaleNormal="100" zoomScaleSheetLayoutView="100" workbookViewId="0">
      <selection activeCell="BY18" sqref="BY18"/>
    </sheetView>
  </sheetViews>
  <sheetFormatPr defaultRowHeight="13.8" x14ac:dyDescent="0.25"/>
  <cols>
    <col min="1" max="71" width="1.44140625" style="48" customWidth="1"/>
    <col min="72" max="72" width="7.6640625" style="48" customWidth="1"/>
    <col min="73" max="73" width="1.44140625" style="48" customWidth="1"/>
    <col min="74" max="74" width="5.6640625" style="48" customWidth="1"/>
    <col min="75" max="16384" width="8.88671875" style="48"/>
  </cols>
  <sheetData>
    <row r="1" spans="1:78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 t="s">
        <v>60</v>
      </c>
      <c r="M1" s="9"/>
      <c r="N1" s="9"/>
      <c r="O1" s="9"/>
      <c r="P1" s="9"/>
      <c r="Q1" s="9"/>
      <c r="R1" s="9"/>
      <c r="S1" s="9"/>
      <c r="T1" s="9"/>
      <c r="U1" s="9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 t="s">
        <v>1</v>
      </c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8"/>
      <c r="BT1" s="12"/>
    </row>
    <row r="2" spans="1:78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7" t="s">
        <v>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8"/>
      <c r="Z2" s="8"/>
      <c r="AA2" s="8"/>
      <c r="AB2" s="8"/>
      <c r="AC2" s="8"/>
      <c r="AD2" s="8"/>
      <c r="AE2" s="8"/>
      <c r="AF2" s="8"/>
      <c r="AG2" s="8"/>
      <c r="AH2" s="8" t="s">
        <v>70</v>
      </c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12"/>
    </row>
    <row r="3" spans="1:78" x14ac:dyDescent="0.25">
      <c r="A3" s="65" t="s">
        <v>4</v>
      </c>
      <c r="B3" s="65"/>
      <c r="C3" s="65"/>
      <c r="D3" s="65"/>
      <c r="E3" s="65"/>
      <c r="F3" s="66" t="s">
        <v>5</v>
      </c>
      <c r="G3" s="66"/>
      <c r="H3" s="66"/>
      <c r="I3" s="67" t="s">
        <v>6</v>
      </c>
      <c r="J3" s="67"/>
      <c r="K3" s="6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10"/>
      <c r="AJ3" s="10"/>
      <c r="AK3" s="10"/>
      <c r="AL3" s="10"/>
      <c r="AM3" s="8"/>
      <c r="AN3" s="11" t="s">
        <v>62</v>
      </c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8"/>
      <c r="BT3" s="12"/>
    </row>
    <row r="4" spans="1:78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 t="s">
        <v>71</v>
      </c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12"/>
    </row>
    <row r="5" spans="1:78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 t="s">
        <v>72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12"/>
    </row>
    <row r="6" spans="1:78" x14ac:dyDescent="0.25">
      <c r="A6" s="65"/>
      <c r="B6" s="65"/>
      <c r="C6" s="65"/>
      <c r="D6" s="65"/>
      <c r="E6" s="65"/>
      <c r="F6" s="66"/>
      <c r="G6" s="66"/>
      <c r="H6" s="66"/>
      <c r="I6" s="67"/>
      <c r="J6" s="67"/>
      <c r="K6" s="67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2"/>
      <c r="AF6" s="12"/>
      <c r="AG6" s="12"/>
      <c r="AH6" s="68" t="s">
        <v>61</v>
      </c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/>
      <c r="BS6" s="68"/>
      <c r="BT6" s="68"/>
    </row>
    <row r="7" spans="1:78" x14ac:dyDescent="0.25">
      <c r="A7" s="8"/>
      <c r="B7" s="8"/>
      <c r="C7" s="8"/>
      <c r="D7" s="8"/>
      <c r="E7" s="8"/>
      <c r="F7" s="8"/>
      <c r="G7" s="69"/>
      <c r="H7" s="69"/>
      <c r="I7" s="67"/>
      <c r="J7" s="67"/>
      <c r="K7" s="67"/>
      <c r="L7" s="67"/>
      <c r="M7" s="67"/>
      <c r="N7" s="67"/>
      <c r="O7" s="67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2"/>
      <c r="AE7" s="12"/>
      <c r="AF7" s="12"/>
      <c r="AG7" s="12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</row>
    <row r="8" spans="1:78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10" t="s">
        <v>7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12"/>
      <c r="BS8" s="8"/>
      <c r="BT8" s="12"/>
    </row>
    <row r="9" spans="1:78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3" t="s">
        <v>8</v>
      </c>
      <c r="AA9" s="8"/>
      <c r="AB9" s="8"/>
      <c r="AC9" s="8"/>
      <c r="AD9" s="8"/>
      <c r="AE9" s="8"/>
      <c r="AF9" s="60" t="s">
        <v>124</v>
      </c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</row>
    <row r="10" spans="1:78" x14ac:dyDescent="0.25">
      <c r="A10" s="61" t="s">
        <v>45</v>
      </c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</row>
    <row r="11" spans="1:78" ht="13.95" customHeight="1" x14ac:dyDescent="0.25">
      <c r="A11" s="62" t="s">
        <v>123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Z11" s="48" t="s">
        <v>81</v>
      </c>
    </row>
    <row r="12" spans="1:78" x14ac:dyDescent="0.25">
      <c r="A12" s="63" t="s">
        <v>46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</row>
    <row r="13" spans="1:78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13" t="s">
        <v>9</v>
      </c>
      <c r="AB13" s="8"/>
      <c r="AC13" s="8"/>
      <c r="AD13" s="8"/>
      <c r="AE13" s="64">
        <v>45273</v>
      </c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14"/>
      <c r="AV13" s="14"/>
      <c r="AW13" s="14"/>
      <c r="AX13" s="14"/>
      <c r="AY13" s="14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12"/>
    </row>
    <row r="14" spans="1:78" x14ac:dyDescent="0.25">
      <c r="A14" s="8" t="s">
        <v>10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 t="s">
        <v>11</v>
      </c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12"/>
    </row>
    <row r="15" spans="1:78" x14ac:dyDescent="0.25">
      <c r="A15" s="8" t="s">
        <v>12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70" t="str">
        <f>VLOOKUP(BJ15,подписанты!$B$3:$C$11,2,FALSE)</f>
        <v>Руководитель группы МТО АО «Газстройпроект»</v>
      </c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0"/>
      <c r="BF15" s="70"/>
      <c r="BG15" s="70"/>
      <c r="BH15" s="70"/>
      <c r="BI15" s="70"/>
      <c r="BJ15" s="71" t="s">
        <v>63</v>
      </c>
      <c r="BK15" s="71"/>
      <c r="BL15" s="71"/>
      <c r="BM15" s="71"/>
      <c r="BN15" s="71"/>
      <c r="BO15" s="71"/>
      <c r="BP15" s="71"/>
      <c r="BQ15" s="71"/>
      <c r="BR15" s="71"/>
      <c r="BS15" s="71"/>
      <c r="BT15" s="71"/>
    </row>
    <row r="16" spans="1:78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78" t="s">
        <v>13</v>
      </c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8"/>
      <c r="BI16" s="78"/>
      <c r="BJ16" s="78"/>
      <c r="BK16" s="15"/>
      <c r="BL16" s="15"/>
      <c r="BM16" s="15"/>
      <c r="BN16" s="15"/>
      <c r="BO16" s="15"/>
      <c r="BP16" s="15"/>
      <c r="BQ16" s="15"/>
      <c r="BR16" s="15"/>
      <c r="BS16" s="15"/>
      <c r="BT16" s="15"/>
    </row>
    <row r="17" spans="1:83" x14ac:dyDescent="0.25">
      <c r="A17" s="8" t="s">
        <v>14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79" t="str">
        <f>VLOOKUP(BJ17,подписанты!$B$3:$C$11,2,FALSE)</f>
        <v>Инженер отдела технического надзора АО «Газстройпроект»</v>
      </c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1" t="s">
        <v>69</v>
      </c>
      <c r="BK17" s="71"/>
      <c r="BL17" s="71"/>
      <c r="BM17" s="71"/>
      <c r="BN17" s="71"/>
      <c r="BO17" s="71"/>
      <c r="BP17" s="71"/>
      <c r="BQ17" s="71"/>
      <c r="BR17" s="71"/>
      <c r="BS17" s="71"/>
      <c r="BT17" s="71"/>
    </row>
    <row r="18" spans="1:83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0" t="s">
        <v>13</v>
      </c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78"/>
      <c r="BK18" s="15"/>
      <c r="BL18" s="15"/>
      <c r="BM18" s="15"/>
      <c r="BN18" s="15"/>
      <c r="BO18" s="15"/>
      <c r="BP18" s="15"/>
      <c r="BQ18" s="15"/>
      <c r="BR18" s="15"/>
      <c r="BS18" s="15"/>
      <c r="BT18" s="15"/>
    </row>
    <row r="19" spans="1:83" ht="40.200000000000003" customHeight="1" x14ac:dyDescent="0.25">
      <c r="A19" s="8" t="s">
        <v>15</v>
      </c>
      <c r="B19" s="8"/>
      <c r="C19" s="8"/>
      <c r="D19" s="8"/>
      <c r="E19" s="8"/>
      <c r="F19" s="8"/>
      <c r="G19" s="8"/>
      <c r="H19" s="8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70" t="str">
        <f>VLOOKUP(BJ19,подписанты!$B$3:$C$11,2,FALSE)</f>
        <v>Начальник отдела организации и контроля материально-технического обеспечения Управления по реализации проектов авиационной инфраструктуры ГГС</v>
      </c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81" t="s">
        <v>93</v>
      </c>
      <c r="BK19" s="81"/>
      <c r="BL19" s="81"/>
      <c r="BM19" s="81"/>
      <c r="BN19" s="81"/>
      <c r="BO19" s="81"/>
      <c r="BP19" s="81"/>
      <c r="BQ19" s="81"/>
      <c r="BR19" s="81"/>
      <c r="BS19" s="81"/>
      <c r="BT19" s="81"/>
    </row>
    <row r="20" spans="1:83" x14ac:dyDescent="0.25">
      <c r="A20" s="8"/>
      <c r="B20" s="8"/>
      <c r="C20" s="8"/>
      <c r="D20" s="8"/>
      <c r="E20" s="8"/>
      <c r="F20" s="8"/>
      <c r="G20" s="8"/>
      <c r="H20" s="8"/>
      <c r="I20" s="8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78" t="s">
        <v>13</v>
      </c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78"/>
      <c r="BH20" s="78"/>
      <c r="BI20" s="78"/>
      <c r="BJ20" s="78"/>
      <c r="BK20" s="10"/>
      <c r="BL20" s="10"/>
      <c r="BM20" s="10"/>
      <c r="BN20" s="10"/>
      <c r="BO20" s="10"/>
      <c r="BP20" s="10"/>
      <c r="BQ20" s="10"/>
      <c r="BR20" s="10"/>
      <c r="BS20" s="10"/>
      <c r="BT20" s="10"/>
    </row>
    <row r="21" spans="1:83" x14ac:dyDescent="0.25">
      <c r="A21" s="8" t="s">
        <v>16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16"/>
      <c r="O21" s="82" t="s">
        <v>91</v>
      </c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2"/>
      <c r="BF21" s="82"/>
      <c r="BG21" s="82"/>
      <c r="BH21" s="82"/>
      <c r="BI21" s="82"/>
      <c r="BJ21" s="82"/>
      <c r="BK21" s="82"/>
      <c r="BL21" s="82"/>
      <c r="BM21" s="82"/>
      <c r="BN21" s="82"/>
      <c r="BO21" s="82"/>
      <c r="BP21" s="82"/>
      <c r="BQ21" s="8" t="s">
        <v>17</v>
      </c>
      <c r="BR21" s="13"/>
      <c r="BS21" s="13"/>
      <c r="BT21" s="13"/>
      <c r="BY21" s="94" t="s">
        <v>82</v>
      </c>
      <c r="BZ21" s="94"/>
      <c r="CA21" s="94"/>
      <c r="CB21" s="94"/>
      <c r="CC21" s="94"/>
      <c r="CD21" s="94"/>
      <c r="CE21" s="94"/>
    </row>
    <row r="22" spans="1:83" x14ac:dyDescent="0.25">
      <c r="A22" s="8"/>
      <c r="B22" s="8"/>
      <c r="C22" s="8"/>
      <c r="D22" s="8"/>
      <c r="E22" s="73" t="s">
        <v>47</v>
      </c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3"/>
      <c r="BF22" s="73"/>
      <c r="BG22" s="73"/>
      <c r="BH22" s="73"/>
      <c r="BI22" s="73"/>
      <c r="BJ22" s="73"/>
      <c r="BK22" s="73"/>
      <c r="BL22" s="73"/>
      <c r="BM22" s="73"/>
      <c r="BN22" s="73"/>
      <c r="BO22" s="73"/>
      <c r="BP22" s="73"/>
      <c r="BQ22" s="73"/>
      <c r="BR22" s="73"/>
      <c r="BS22" s="73"/>
      <c r="BT22" s="73"/>
      <c r="BY22" s="94"/>
      <c r="BZ22" s="94"/>
      <c r="CA22" s="94"/>
      <c r="CB22" s="94"/>
      <c r="CC22" s="94"/>
      <c r="CD22" s="94"/>
      <c r="CE22" s="94"/>
    </row>
    <row r="23" spans="1:83" ht="13.95" customHeight="1" x14ac:dyDescent="0.25">
      <c r="A23" s="74" t="s">
        <v>110</v>
      </c>
      <c r="B23" s="74"/>
      <c r="C23" s="74"/>
      <c r="D23" s="75" t="s">
        <v>123</v>
      </c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75"/>
      <c r="BR23" s="75"/>
      <c r="BS23" s="75"/>
      <c r="BT23" s="75"/>
      <c r="BY23" s="94"/>
      <c r="BZ23" s="94"/>
      <c r="CA23" s="94"/>
      <c r="CB23" s="94"/>
      <c r="CC23" s="94"/>
      <c r="CD23" s="94"/>
      <c r="CE23" s="94"/>
    </row>
    <row r="24" spans="1:83" x14ac:dyDescent="0.25">
      <c r="A24" s="83" t="s">
        <v>48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83"/>
      <c r="BK24" s="83"/>
      <c r="BL24" s="83"/>
      <c r="BM24" s="83"/>
      <c r="BN24" s="83"/>
      <c r="BO24" s="83"/>
      <c r="BP24" s="83"/>
      <c r="BQ24" s="83"/>
      <c r="BR24" s="83"/>
      <c r="BS24" s="83"/>
      <c r="BT24" s="83"/>
    </row>
    <row r="25" spans="1:83" x14ac:dyDescent="0.25">
      <c r="A25" s="10" t="s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17"/>
      <c r="S25" s="8"/>
      <c r="T25" s="20"/>
      <c r="U25" s="77" t="s">
        <v>112</v>
      </c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7"/>
      <c r="BQ25" s="77"/>
      <c r="BR25" s="77"/>
      <c r="BS25" s="77"/>
      <c r="BT25" s="77"/>
      <c r="BY25" s="94" t="s">
        <v>83</v>
      </c>
      <c r="BZ25" s="94"/>
      <c r="CA25" s="94"/>
      <c r="CB25" s="94"/>
      <c r="CC25" s="94"/>
      <c r="CD25" s="94"/>
    </row>
    <row r="26" spans="1:83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57" t="s">
        <v>19</v>
      </c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  <c r="BM26" s="57"/>
      <c r="BN26" s="57"/>
      <c r="BO26" s="57"/>
      <c r="BP26" s="57"/>
      <c r="BQ26" s="57"/>
      <c r="BR26" s="57"/>
      <c r="BS26" s="57"/>
      <c r="BT26" s="57"/>
      <c r="BY26" s="94"/>
      <c r="BZ26" s="94"/>
      <c r="CA26" s="94"/>
      <c r="CB26" s="94"/>
      <c r="CC26" s="94"/>
      <c r="CD26" s="94"/>
    </row>
    <row r="27" spans="1:83" ht="15" customHeight="1" x14ac:dyDescent="0.25">
      <c r="A27" s="10" t="s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20"/>
      <c r="T27" s="20"/>
      <c r="U27" s="77" t="s">
        <v>52</v>
      </c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7"/>
      <c r="BQ27" s="77"/>
      <c r="BR27" s="77"/>
      <c r="BS27" s="77"/>
      <c r="BT27" s="77"/>
      <c r="BY27" s="94"/>
      <c r="BZ27" s="94"/>
      <c r="CA27" s="94"/>
      <c r="CB27" s="94"/>
      <c r="CC27" s="94"/>
      <c r="CD27" s="94"/>
    </row>
    <row r="28" spans="1:83" x14ac:dyDescent="0.25">
      <c r="A28" s="80" t="s">
        <v>21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0"/>
      <c r="BG28" s="80"/>
      <c r="BH28" s="80"/>
      <c r="BI28" s="80"/>
      <c r="BJ28" s="80"/>
      <c r="BK28" s="80"/>
      <c r="BL28" s="80"/>
      <c r="BM28" s="80"/>
      <c r="BN28" s="80"/>
      <c r="BO28" s="80"/>
      <c r="BP28" s="80"/>
      <c r="BQ28" s="80"/>
      <c r="BR28" s="80"/>
      <c r="BS28" s="80"/>
      <c r="BT28" s="80"/>
    </row>
    <row r="29" spans="1:83" x14ac:dyDescent="0.25">
      <c r="A29" s="8"/>
      <c r="B29" s="8"/>
      <c r="C29" s="8"/>
      <c r="D29" s="8" t="s">
        <v>22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9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</row>
    <row r="30" spans="1:83" x14ac:dyDescent="0.25">
      <c r="A30" s="8" t="s">
        <v>23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27"/>
      <c r="AJ30" s="8"/>
      <c r="AK30" s="97" t="s">
        <v>113</v>
      </c>
      <c r="AL30" s="97"/>
      <c r="AM30" s="97"/>
      <c r="AN30" s="97"/>
      <c r="AO30" s="97"/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97"/>
      <c r="BF30" s="97"/>
      <c r="BG30" s="97"/>
      <c r="BH30" s="97"/>
      <c r="BI30" s="97"/>
      <c r="BJ30" s="97"/>
      <c r="BK30" s="97"/>
      <c r="BL30" s="97"/>
      <c r="BM30" s="97"/>
      <c r="BN30" s="97"/>
      <c r="BO30" s="97"/>
      <c r="BP30" s="97"/>
      <c r="BQ30" s="97"/>
      <c r="BR30" s="97"/>
      <c r="BS30" s="97"/>
      <c r="BT30" s="97"/>
      <c r="BY30" s="8" t="s">
        <v>84</v>
      </c>
    </row>
    <row r="31" spans="1:83" hidden="1" x14ac:dyDescent="0.25">
      <c r="A31" s="98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Y31" s="94" t="s">
        <v>85</v>
      </c>
      <c r="BZ31" s="94"/>
      <c r="CA31" s="94"/>
      <c r="CB31" s="94"/>
      <c r="CC31" s="94"/>
      <c r="CD31" s="94"/>
      <c r="CE31" s="94"/>
    </row>
    <row r="32" spans="1:83" hidden="1" x14ac:dyDescent="0.25">
      <c r="A32" s="98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Y32" s="94"/>
      <c r="BZ32" s="94"/>
      <c r="CA32" s="94"/>
      <c r="CB32" s="94"/>
      <c r="CC32" s="94"/>
      <c r="CD32" s="94"/>
      <c r="CE32" s="94"/>
    </row>
    <row r="33" spans="1:83" x14ac:dyDescent="0.25">
      <c r="A33" s="72" t="s">
        <v>114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49"/>
      <c r="BY33" s="94"/>
      <c r="BZ33" s="94"/>
      <c r="CA33" s="94"/>
      <c r="CB33" s="94"/>
      <c r="CC33" s="94"/>
      <c r="CD33" s="94"/>
      <c r="CE33" s="94"/>
    </row>
    <row r="34" spans="1:83" x14ac:dyDescent="0.25">
      <c r="A34" s="72" t="s">
        <v>115</v>
      </c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49"/>
      <c r="BY34" s="94"/>
      <c r="BZ34" s="94"/>
      <c r="CA34" s="94"/>
      <c r="CB34" s="94"/>
      <c r="CC34" s="94"/>
      <c r="CD34" s="94"/>
      <c r="CE34" s="94"/>
    </row>
    <row r="35" spans="1:83" x14ac:dyDescent="0.25">
      <c r="A35" s="72" t="s">
        <v>116</v>
      </c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51"/>
      <c r="BY35" s="94"/>
      <c r="BZ35" s="94"/>
      <c r="CA35" s="94"/>
      <c r="CB35" s="94"/>
      <c r="CC35" s="94"/>
      <c r="CD35" s="94"/>
      <c r="CE35" s="94"/>
    </row>
    <row r="36" spans="1:83" x14ac:dyDescent="0.25">
      <c r="A36" s="72" t="s">
        <v>117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50"/>
      <c r="BY36" s="94"/>
      <c r="BZ36" s="94"/>
      <c r="CA36" s="94"/>
      <c r="CB36" s="94"/>
      <c r="CC36" s="94"/>
      <c r="CD36" s="94"/>
      <c r="CE36" s="94"/>
    </row>
    <row r="37" spans="1:83" x14ac:dyDescent="0.25">
      <c r="A37" s="72" t="s">
        <v>118</v>
      </c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49"/>
      <c r="BY37" s="94"/>
      <c r="BZ37" s="94"/>
      <c r="CA37" s="94"/>
      <c r="CB37" s="94"/>
      <c r="CC37" s="94"/>
      <c r="CD37" s="94"/>
      <c r="CE37" s="94"/>
    </row>
    <row r="38" spans="1:83" x14ac:dyDescent="0.25">
      <c r="A38" s="72" t="s">
        <v>119</v>
      </c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49"/>
      <c r="BY38" s="94"/>
      <c r="BZ38" s="94"/>
      <c r="CA38" s="94"/>
      <c r="CB38" s="94"/>
      <c r="CC38" s="94"/>
      <c r="CD38" s="94"/>
      <c r="CE38" s="94"/>
    </row>
    <row r="39" spans="1:83" x14ac:dyDescent="0.25">
      <c r="A39" s="72" t="s">
        <v>120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49"/>
      <c r="BY39" s="94"/>
      <c r="BZ39" s="94"/>
      <c r="CA39" s="94"/>
      <c r="CB39" s="94"/>
      <c r="CC39" s="94"/>
      <c r="CD39" s="94"/>
      <c r="CE39" s="94"/>
    </row>
    <row r="40" spans="1:83" x14ac:dyDescent="0.25">
      <c r="A40" s="78" t="s">
        <v>24</v>
      </c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78"/>
      <c r="BJ40" s="78"/>
      <c r="BK40" s="78"/>
      <c r="BL40" s="78"/>
      <c r="BM40" s="78"/>
      <c r="BN40" s="78"/>
      <c r="BO40" s="78"/>
      <c r="BP40" s="78"/>
      <c r="BQ40" s="78"/>
      <c r="BR40" s="78"/>
      <c r="BS40" s="78"/>
      <c r="BT40" s="78"/>
      <c r="BY40" s="94"/>
      <c r="BZ40" s="94"/>
      <c r="CA40" s="94"/>
      <c r="CB40" s="94"/>
      <c r="CC40" s="94"/>
      <c r="CD40" s="94"/>
      <c r="CE40" s="94"/>
    </row>
    <row r="41" spans="1:83" x14ac:dyDescent="0.25">
      <c r="A41" s="99" t="s">
        <v>58</v>
      </c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0"/>
      <c r="BD41" s="100"/>
      <c r="BE41" s="100"/>
      <c r="BF41" s="100"/>
      <c r="BG41" s="100"/>
      <c r="BH41" s="100"/>
      <c r="BI41" s="100"/>
      <c r="BJ41" s="100"/>
      <c r="BK41" s="100"/>
      <c r="BL41" s="100"/>
      <c r="BM41" s="100"/>
      <c r="BN41" s="100"/>
      <c r="BO41" s="100"/>
      <c r="BP41" s="100"/>
      <c r="BQ41" s="100"/>
      <c r="BR41" s="100"/>
      <c r="BS41" s="100"/>
      <c r="BT41" s="100"/>
      <c r="BY41" s="94"/>
      <c r="BZ41" s="94"/>
      <c r="CA41" s="94"/>
      <c r="CB41" s="94"/>
      <c r="CC41" s="94"/>
      <c r="CD41" s="94"/>
      <c r="CE41" s="94"/>
    </row>
    <row r="42" spans="1:83" x14ac:dyDescent="0.25">
      <c r="A42" s="16" t="s">
        <v>110</v>
      </c>
      <c r="B42" s="18"/>
      <c r="C42" s="18"/>
      <c r="D42" s="95" t="str">
        <f>D23</f>
        <v>Фреон R410A</v>
      </c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5"/>
      <c r="AY42" s="95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5"/>
      <c r="BQ42" s="95"/>
      <c r="BR42" s="95"/>
      <c r="BS42" s="95"/>
      <c r="BT42" s="95"/>
      <c r="BY42" s="94"/>
      <c r="BZ42" s="94"/>
      <c r="CA42" s="94"/>
      <c r="CB42" s="94"/>
      <c r="CC42" s="94"/>
      <c r="CD42" s="94"/>
      <c r="CE42" s="94"/>
    </row>
    <row r="43" spans="1:83" x14ac:dyDescent="0.25">
      <c r="A43" s="76" t="e">
        <f>#REF!</f>
        <v>#REF!</v>
      </c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6"/>
      <c r="BC43" s="76"/>
      <c r="BD43" s="76"/>
      <c r="BE43" s="76"/>
      <c r="BF43" s="76"/>
      <c r="BG43" s="76"/>
      <c r="BH43" s="76"/>
      <c r="BI43" s="76"/>
      <c r="BJ43" s="76"/>
      <c r="BK43" s="76"/>
      <c r="BL43" s="76"/>
      <c r="BM43" s="76"/>
      <c r="BN43" s="76"/>
      <c r="BO43" s="76"/>
      <c r="BP43" s="76"/>
      <c r="BQ43" s="76"/>
      <c r="BR43" s="76"/>
      <c r="BS43" s="76"/>
      <c r="BT43" s="76"/>
      <c r="BY43" s="94"/>
      <c r="BZ43" s="94"/>
      <c r="CA43" s="94"/>
      <c r="CB43" s="94"/>
      <c r="CC43" s="94"/>
      <c r="CD43" s="94"/>
      <c r="CE43" s="94"/>
    </row>
    <row r="44" spans="1:83" x14ac:dyDescent="0.25">
      <c r="A44" s="76" t="e">
        <f>#REF!</f>
        <v>#REF!</v>
      </c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6"/>
      <c r="BC44" s="76"/>
      <c r="BD44" s="76"/>
      <c r="BE44" s="76"/>
      <c r="BF44" s="76"/>
      <c r="BG44" s="76"/>
      <c r="BH44" s="76"/>
      <c r="BI44" s="76"/>
      <c r="BJ44" s="76"/>
      <c r="BK44" s="76"/>
      <c r="BL44" s="76"/>
      <c r="BM44" s="76"/>
      <c r="BN44" s="76"/>
      <c r="BO44" s="76"/>
      <c r="BP44" s="76"/>
      <c r="BQ44" s="76"/>
      <c r="BR44" s="76"/>
      <c r="BS44" s="76"/>
      <c r="BT44" s="76"/>
      <c r="BY44" s="94"/>
      <c r="BZ44" s="94"/>
      <c r="CA44" s="94"/>
      <c r="CB44" s="94"/>
      <c r="CC44" s="94"/>
      <c r="CD44" s="94"/>
      <c r="CE44" s="94"/>
    </row>
    <row r="45" spans="1:83" x14ac:dyDescent="0.25">
      <c r="A45" s="76" t="e">
        <f>#REF!</f>
        <v>#REF!</v>
      </c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6"/>
      <c r="BC45" s="76"/>
      <c r="BD45" s="76"/>
      <c r="BE45" s="76"/>
      <c r="BF45" s="76"/>
      <c r="BG45" s="76"/>
      <c r="BH45" s="76"/>
      <c r="BI45" s="76"/>
      <c r="BJ45" s="76"/>
      <c r="BK45" s="76"/>
      <c r="BL45" s="76"/>
      <c r="BM45" s="76"/>
      <c r="BN45" s="76"/>
      <c r="BO45" s="76"/>
      <c r="BP45" s="76"/>
      <c r="BQ45" s="76"/>
      <c r="BR45" s="76"/>
      <c r="BS45" s="76"/>
      <c r="BT45" s="76"/>
      <c r="BY45" s="94"/>
      <c r="BZ45" s="94"/>
      <c r="CA45" s="94"/>
      <c r="CB45" s="94"/>
      <c r="CC45" s="94"/>
      <c r="CD45" s="94"/>
      <c r="CE45" s="94"/>
    </row>
    <row r="46" spans="1:83" x14ac:dyDescent="0.25">
      <c r="A46" s="8"/>
      <c r="B46" s="8"/>
      <c r="C46" s="8"/>
      <c r="D46" s="96" t="s">
        <v>25</v>
      </c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6"/>
      <c r="AT46" s="96"/>
      <c r="AU46" s="96"/>
      <c r="AV46" s="96"/>
      <c r="AW46" s="96"/>
      <c r="AX46" s="96"/>
      <c r="AY46" s="96"/>
      <c r="AZ46" s="96"/>
      <c r="BA46" s="96"/>
      <c r="BB46" s="96"/>
      <c r="BC46" s="96"/>
      <c r="BD46" s="96"/>
      <c r="BE46" s="96"/>
      <c r="BF46" s="96"/>
      <c r="BG46" s="96"/>
      <c r="BH46" s="96"/>
      <c r="BI46" s="96"/>
      <c r="BJ46" s="96"/>
      <c r="BK46" s="96"/>
      <c r="BL46" s="96"/>
      <c r="BM46" s="96"/>
      <c r="BN46" s="96"/>
      <c r="BO46" s="96"/>
      <c r="BP46" s="96"/>
      <c r="BQ46" s="96"/>
      <c r="BR46" s="96"/>
      <c r="BS46" s="96"/>
      <c r="BT46" s="96"/>
      <c r="BY46" s="94"/>
      <c r="BZ46" s="94"/>
      <c r="CA46" s="94"/>
      <c r="CB46" s="94"/>
      <c r="CC46" s="94"/>
      <c r="CD46" s="94"/>
      <c r="CE46" s="94"/>
    </row>
    <row r="47" spans="1:83" x14ac:dyDescent="0.25">
      <c r="A47" s="8" t="s">
        <v>26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47"/>
      <c r="Y47" s="101" t="s">
        <v>109</v>
      </c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2"/>
      <c r="AP47" s="102"/>
      <c r="AQ47" s="102"/>
      <c r="AR47" s="102"/>
      <c r="AS47" s="102"/>
      <c r="AT47" s="102"/>
      <c r="AU47" s="102"/>
      <c r="AV47" s="102"/>
      <c r="AW47" s="102"/>
      <c r="AX47" s="102"/>
      <c r="AY47" s="102"/>
      <c r="AZ47" s="102"/>
      <c r="BA47" s="102"/>
      <c r="BB47" s="102"/>
      <c r="BC47" s="102"/>
      <c r="BD47" s="102"/>
      <c r="BE47" s="102"/>
      <c r="BF47" s="102"/>
      <c r="BG47" s="102"/>
      <c r="BH47" s="102"/>
      <c r="BI47" s="102"/>
      <c r="BJ47" s="102"/>
      <c r="BK47" s="102"/>
      <c r="BL47" s="102"/>
      <c r="BM47" s="102"/>
      <c r="BN47" s="102"/>
      <c r="BO47" s="102"/>
      <c r="BP47" s="102"/>
      <c r="BQ47" s="102"/>
      <c r="BR47" s="102"/>
      <c r="BS47" s="102"/>
      <c r="BT47" s="102"/>
      <c r="BY47" s="94"/>
      <c r="BZ47" s="94"/>
      <c r="CA47" s="94"/>
      <c r="CB47" s="94"/>
      <c r="CC47" s="94"/>
      <c r="CD47" s="94"/>
      <c r="CE47" s="94"/>
    </row>
    <row r="48" spans="1:83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9"/>
      <c r="Y48" s="80" t="s">
        <v>27</v>
      </c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80"/>
      <c r="AR48" s="80"/>
      <c r="AS48" s="80"/>
      <c r="AT48" s="80"/>
      <c r="AU48" s="80"/>
      <c r="AV48" s="80"/>
      <c r="AW48" s="80"/>
      <c r="AX48" s="80"/>
      <c r="AY48" s="80"/>
      <c r="AZ48" s="80"/>
      <c r="BA48" s="80"/>
      <c r="BB48" s="80"/>
      <c r="BC48" s="80"/>
      <c r="BD48" s="80"/>
      <c r="BE48" s="80"/>
      <c r="BF48" s="80"/>
      <c r="BG48" s="80"/>
      <c r="BH48" s="80"/>
      <c r="BI48" s="80"/>
      <c r="BJ48" s="80"/>
      <c r="BK48" s="80"/>
      <c r="BL48" s="80"/>
      <c r="BM48" s="80"/>
      <c r="BN48" s="80"/>
      <c r="BO48" s="80"/>
      <c r="BP48" s="80"/>
      <c r="BQ48" s="80"/>
      <c r="BR48" s="80"/>
      <c r="BS48" s="80"/>
      <c r="BT48" s="80"/>
    </row>
    <row r="49" spans="1:77" x14ac:dyDescent="0.25">
      <c r="A49" s="8" t="s">
        <v>28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7"/>
      <c r="AG49" s="7"/>
      <c r="AH49" s="7"/>
      <c r="AI49" s="7"/>
      <c r="AJ49" s="89" t="s">
        <v>29</v>
      </c>
      <c r="AK49" s="89"/>
      <c r="AL49" s="89"/>
      <c r="AM49" s="89"/>
      <c r="AN49" s="89"/>
      <c r="AO49" s="89"/>
      <c r="AP49" s="89"/>
      <c r="AQ49" s="89"/>
      <c r="AR49" s="89"/>
      <c r="AS49" s="89"/>
      <c r="AT49" s="90" t="s">
        <v>73</v>
      </c>
      <c r="AU49" s="90"/>
      <c r="AV49" s="90"/>
      <c r="AW49" s="90"/>
      <c r="AX49" s="90"/>
      <c r="AY49" s="90"/>
      <c r="AZ49" s="90"/>
      <c r="BA49" s="90"/>
      <c r="BB49" s="90"/>
      <c r="BC49" s="90"/>
      <c r="BD49" s="90"/>
      <c r="BE49" s="90"/>
      <c r="BF49" s="90"/>
      <c r="BG49" s="90"/>
      <c r="BH49" s="90"/>
      <c r="BI49" s="90"/>
      <c r="BJ49" s="90"/>
      <c r="BK49" s="90"/>
      <c r="BL49" s="90"/>
      <c r="BM49" s="90"/>
      <c r="BN49" s="90"/>
      <c r="BO49" s="90"/>
      <c r="BP49" s="90"/>
      <c r="BQ49" s="90"/>
      <c r="BR49" s="90"/>
      <c r="BS49" s="90"/>
      <c r="BT49" s="90"/>
      <c r="BY49" s="48" t="s">
        <v>86</v>
      </c>
    </row>
    <row r="50" spans="1:77" x14ac:dyDescent="0.25">
      <c r="A50" s="10" t="s">
        <v>30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20"/>
      <c r="O50" s="20"/>
      <c r="P50" s="20"/>
      <c r="Q50" s="91" t="str">
        <f>U25</f>
        <v>ПП2020РД-1.2-61.17-ОВ3, ПП2020РД-1.2-61.17-ОВ3.СО изм.2 л. 2</v>
      </c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1"/>
      <c r="AK50" s="91"/>
      <c r="AL50" s="91"/>
      <c r="AM50" s="91"/>
      <c r="AN50" s="91"/>
      <c r="AO50" s="91"/>
      <c r="AP50" s="91"/>
      <c r="AQ50" s="91"/>
      <c r="AR50" s="91"/>
      <c r="AS50" s="91"/>
      <c r="AT50" s="91"/>
      <c r="AU50" s="91"/>
      <c r="AV50" s="91"/>
      <c r="AW50" s="91"/>
      <c r="AX50" s="91"/>
      <c r="AY50" s="91"/>
      <c r="AZ50" s="91"/>
      <c r="BA50" s="91"/>
      <c r="BB50" s="91"/>
      <c r="BC50" s="91"/>
      <c r="BD50" s="91"/>
      <c r="BE50" s="91"/>
      <c r="BF50" s="91"/>
      <c r="BG50" s="91"/>
      <c r="BH50" s="91"/>
      <c r="BI50" s="91"/>
      <c r="BJ50" s="91"/>
      <c r="BK50" s="91"/>
      <c r="BL50" s="91"/>
      <c r="BM50" s="91"/>
      <c r="BN50" s="91"/>
      <c r="BO50" s="91"/>
      <c r="BP50" s="91"/>
      <c r="BQ50" s="91"/>
      <c r="BR50" s="91"/>
      <c r="BS50" s="91"/>
      <c r="BT50" s="91"/>
      <c r="BY50" s="48" t="s">
        <v>87</v>
      </c>
    </row>
    <row r="51" spans="1:77" x14ac:dyDescent="0.25">
      <c r="A51" s="8"/>
      <c r="B51" s="8"/>
      <c r="C51" s="8"/>
      <c r="D51" s="10" t="s">
        <v>31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0"/>
      <c r="X51" s="8"/>
      <c r="Y51" s="28"/>
      <c r="Z51" s="28"/>
      <c r="AA51" s="54" t="str">
        <f>AK30</f>
        <v>Паспорт на изделия № 1632-15 от 23.10.2023 г.;</v>
      </c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</row>
    <row r="52" spans="1:77" hidden="1" x14ac:dyDescent="0.25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56"/>
      <c r="BI52" s="56"/>
      <c r="BJ52" s="56"/>
      <c r="BK52" s="56"/>
      <c r="BL52" s="56"/>
      <c r="BM52" s="56"/>
      <c r="BN52" s="56"/>
      <c r="BO52" s="56"/>
      <c r="BP52" s="56"/>
      <c r="BQ52" s="56"/>
      <c r="BR52" s="56"/>
      <c r="BS52" s="56"/>
      <c r="BT52" s="56"/>
    </row>
    <row r="53" spans="1:77" hidden="1" x14ac:dyDescent="0.25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56"/>
      <c r="BK53" s="56"/>
      <c r="BL53" s="56"/>
      <c r="BM53" s="56"/>
      <c r="BN53" s="56"/>
      <c r="BO53" s="56"/>
      <c r="BP53" s="56"/>
      <c r="BQ53" s="56"/>
      <c r="BR53" s="56"/>
      <c r="BS53" s="56"/>
      <c r="BT53" s="56"/>
    </row>
    <row r="54" spans="1:77" x14ac:dyDescent="0.25">
      <c r="A54" s="53" t="str">
        <f t="shared" ref="A54:A60" si="0">A33</f>
        <v>Сертификат соответствия № РОСС CN.HE06.H04240 с 23.03.2023 г.по 22.03.2026 г.;</v>
      </c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</row>
    <row r="55" spans="1:77" x14ac:dyDescent="0.25">
      <c r="A55" s="53" t="str">
        <f t="shared" si="0"/>
        <v>Паспорт качества № 000553725 от 09.12.2023 г.;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  <c r="BN55" s="53"/>
      <c r="BO55" s="53"/>
      <c r="BP55" s="53"/>
      <c r="BQ55" s="53"/>
      <c r="BR55" s="53"/>
      <c r="BS55" s="53"/>
      <c r="BT55" s="53"/>
    </row>
    <row r="56" spans="1:77" x14ac:dyDescent="0.25">
      <c r="A56" s="53" t="str">
        <f t="shared" si="0"/>
        <v>Сертификат соответствия № ЕАЭС RU C-RU.МЕ77.В.01210/22 с 27.09.2022 г. по 26.09.2027 г.;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53"/>
      <c r="BR56" s="53"/>
      <c r="BS56" s="53"/>
      <c r="BT56" s="53"/>
    </row>
    <row r="57" spans="1:77" x14ac:dyDescent="0.25">
      <c r="A57" s="53" t="str">
        <f t="shared" si="0"/>
        <v>Паспорт качества № 000212196 от 15.11.2023 г.;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53"/>
      <c r="BR57" s="53"/>
      <c r="BS57" s="53"/>
      <c r="BT57" s="53"/>
    </row>
    <row r="58" spans="1:77" x14ac:dyDescent="0.25">
      <c r="A58" s="53" t="str">
        <f t="shared" si="0"/>
        <v>Сертификат соответствия № ЕАЭС RU C-RU.НВ26.В.01833/21 с 30.12.2021 г. по 29.12.2026 г.;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  <c r="BS58" s="53"/>
      <c r="BT58" s="53"/>
    </row>
    <row r="59" spans="1:77" x14ac:dyDescent="0.25">
      <c r="A59" s="53" t="str">
        <f t="shared" si="0"/>
        <v>Паспорт качества 92513 от 13.10.2023 г.;</v>
      </c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53"/>
      <c r="BR59" s="53"/>
      <c r="BS59" s="53"/>
      <c r="BT59" s="53"/>
    </row>
    <row r="60" spans="1:77" x14ac:dyDescent="0.25">
      <c r="A60" s="53" t="str">
        <f t="shared" si="0"/>
        <v>Сертификат соответствия № ЕАЭС RU C-RU.ПБ68.В.00559/21 с 04.10.2021 г. по 15.03.2026 г.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  <c r="BN60" s="53"/>
      <c r="BO60" s="53"/>
      <c r="BP60" s="53"/>
      <c r="BQ60" s="53"/>
      <c r="BR60" s="53"/>
      <c r="BS60" s="53"/>
      <c r="BT60" s="53"/>
    </row>
    <row r="61" spans="1:77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57" t="s">
        <v>32</v>
      </c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  <c r="BC61" s="57"/>
      <c r="BD61" s="57"/>
      <c r="BE61" s="57"/>
      <c r="BF61" s="57"/>
      <c r="BG61" s="57"/>
      <c r="BH61" s="57"/>
      <c r="BI61" s="57"/>
      <c r="BJ61" s="57"/>
      <c r="BK61" s="57"/>
      <c r="BL61" s="57"/>
      <c r="BM61" s="57"/>
      <c r="BN61" s="57"/>
      <c r="BO61" s="57"/>
      <c r="BP61" s="57"/>
      <c r="BQ61" s="57"/>
      <c r="BR61" s="57"/>
      <c r="BS61" s="57"/>
      <c r="BT61" s="57"/>
    </row>
    <row r="62" spans="1:77" x14ac:dyDescent="0.25">
      <c r="A62" s="8" t="s">
        <v>33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22"/>
    </row>
    <row r="63" spans="1:77" x14ac:dyDescent="0.25">
      <c r="A63" s="46"/>
      <c r="B63" s="8"/>
      <c r="C63" s="8"/>
      <c r="D63" s="8" t="s">
        <v>34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7"/>
      <c r="X63" s="7"/>
      <c r="Y63" s="7"/>
      <c r="Z63" s="7"/>
      <c r="AA63" s="46"/>
      <c r="AB63" s="7"/>
      <c r="AC63" s="46"/>
      <c r="AD63" s="58" t="s">
        <v>35</v>
      </c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58"/>
    </row>
    <row r="64" spans="1:77" x14ac:dyDescent="0.25">
      <c r="A64" s="8"/>
      <c r="B64" s="8"/>
      <c r="C64" s="8"/>
      <c r="D64" s="8"/>
      <c r="E64" s="8"/>
      <c r="F64" s="8"/>
      <c r="G64" s="8"/>
      <c r="H64" s="8"/>
      <c r="I64" s="8"/>
      <c r="J64" s="59" t="s">
        <v>36</v>
      </c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BN64" s="59"/>
      <c r="BO64" s="59"/>
      <c r="BP64" s="59"/>
      <c r="BQ64" s="59"/>
      <c r="BR64" s="59"/>
      <c r="BS64" s="59"/>
      <c r="BT64" s="59"/>
    </row>
    <row r="65" spans="1:77" x14ac:dyDescent="0.25">
      <c r="A65" s="10" t="s">
        <v>37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9"/>
      <c r="V65" s="25"/>
      <c r="W65" s="46"/>
      <c r="X65" s="26"/>
      <c r="Y65" s="55" t="str">
        <f>U25</f>
        <v>ПП2020РД-1.2-61.17-ОВ3, ПП2020РД-1.2-61.17-ОВ3.СО изм.2 л. 2</v>
      </c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/>
      <c r="BD65" s="55"/>
      <c r="BE65" s="55"/>
      <c r="BF65" s="55"/>
      <c r="BG65" s="55"/>
      <c r="BH65" s="55"/>
      <c r="BI65" s="55"/>
      <c r="BJ65" s="55"/>
      <c r="BK65" s="55"/>
      <c r="BL65" s="55"/>
      <c r="BM65" s="55"/>
      <c r="BN65" s="55"/>
      <c r="BO65" s="55"/>
      <c r="BP65" s="55"/>
      <c r="BQ65" s="55"/>
      <c r="BR65" s="55"/>
      <c r="BS65" s="55"/>
      <c r="BT65" s="55"/>
      <c r="BY65" s="48" t="s">
        <v>88</v>
      </c>
    </row>
    <row r="66" spans="1:77" hidden="1" x14ac:dyDescent="0.25">
      <c r="A66" s="93" t="e">
        <f>#REF!</f>
        <v>#REF!</v>
      </c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  <c r="AO66" s="93"/>
      <c r="AP66" s="93"/>
      <c r="AQ66" s="93"/>
      <c r="AR66" s="93"/>
      <c r="AS66" s="93"/>
      <c r="AT66" s="93"/>
      <c r="AU66" s="93"/>
      <c r="AV66" s="93"/>
      <c r="AW66" s="93"/>
      <c r="AX66" s="93"/>
      <c r="AY66" s="93"/>
      <c r="AZ66" s="93"/>
      <c r="BA66" s="93"/>
      <c r="BB66" s="93"/>
      <c r="BC66" s="93"/>
      <c r="BD66" s="93"/>
      <c r="BE66" s="93"/>
      <c r="BF66" s="93"/>
      <c r="BG66" s="93"/>
      <c r="BH66" s="93"/>
      <c r="BI66" s="93"/>
      <c r="BJ66" s="93"/>
      <c r="BK66" s="93"/>
      <c r="BL66" s="93"/>
      <c r="BM66" s="93"/>
      <c r="BN66" s="93"/>
      <c r="BO66" s="93"/>
      <c r="BP66" s="93"/>
      <c r="BQ66" s="93"/>
      <c r="BR66" s="93"/>
      <c r="BS66" s="93"/>
      <c r="BT66" s="93"/>
    </row>
    <row r="67" spans="1:77" ht="16.2" customHeight="1" x14ac:dyDescent="0.25">
      <c r="A67" s="8" t="s">
        <v>38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46"/>
      <c r="M67" s="23"/>
      <c r="N67" s="52" t="s">
        <v>121</v>
      </c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  <c r="BT67" s="52"/>
      <c r="BY67" s="48" t="s">
        <v>89</v>
      </c>
    </row>
    <row r="68" spans="1:77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92" t="s">
        <v>122</v>
      </c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2"/>
      <c r="BD68" s="92"/>
      <c r="BE68" s="92"/>
      <c r="BF68" s="92"/>
      <c r="BG68" s="92"/>
      <c r="BH68" s="92"/>
      <c r="BI68" s="92"/>
      <c r="BJ68" s="92"/>
      <c r="BK68" s="92"/>
      <c r="BL68" s="92"/>
      <c r="BM68" s="92"/>
      <c r="BN68" s="92"/>
      <c r="BO68" s="92"/>
      <c r="BP68" s="92"/>
      <c r="BQ68" s="92"/>
      <c r="BR68" s="92"/>
      <c r="BS68" s="92"/>
      <c r="BT68" s="92"/>
      <c r="BY68" s="48" t="s">
        <v>90</v>
      </c>
    </row>
    <row r="69" spans="1:77" x14ac:dyDescent="0.25">
      <c r="A69" s="8" t="s">
        <v>39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12"/>
    </row>
    <row r="70" spans="1:77" x14ac:dyDescent="0.25">
      <c r="A70" s="8" t="s">
        <v>12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8" t="str">
        <f>BJ15</f>
        <v>Кострова Н.Л.</v>
      </c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"/>
      <c r="AP70" s="8"/>
      <c r="AQ70" s="86"/>
      <c r="AR70" s="86"/>
      <c r="AS70" s="86"/>
      <c r="AT70" s="86"/>
      <c r="AU70" s="86"/>
      <c r="AV70" s="86"/>
      <c r="AW70" s="86"/>
      <c r="AX70" s="86"/>
      <c r="AY70" s="86"/>
      <c r="AZ70" s="86"/>
      <c r="BA70" s="86"/>
      <c r="BB70" s="86"/>
      <c r="BC70" s="86"/>
      <c r="BD70" s="86"/>
      <c r="BE70" s="86"/>
      <c r="BF70" s="8"/>
      <c r="BG70" s="8"/>
      <c r="BH70" s="87">
        <f>AE13</f>
        <v>45273</v>
      </c>
      <c r="BI70" s="87"/>
      <c r="BJ70" s="87"/>
      <c r="BK70" s="87"/>
      <c r="BL70" s="87"/>
      <c r="BM70" s="87"/>
      <c r="BN70" s="87"/>
      <c r="BO70" s="87"/>
      <c r="BP70" s="87"/>
      <c r="BQ70" s="87"/>
      <c r="BR70" s="87"/>
      <c r="BS70" s="87"/>
      <c r="BT70" s="12"/>
    </row>
    <row r="71" spans="1:77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78" t="s">
        <v>59</v>
      </c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  <c r="AN71" s="78"/>
      <c r="AO71" s="8"/>
      <c r="AP71" s="8"/>
      <c r="AQ71" s="78" t="s">
        <v>40</v>
      </c>
      <c r="AR71" s="78"/>
      <c r="AS71" s="78"/>
      <c r="AT71" s="78"/>
      <c r="AU71" s="78"/>
      <c r="AV71" s="78"/>
      <c r="AW71" s="78"/>
      <c r="AX71" s="78"/>
      <c r="AY71" s="78"/>
      <c r="AZ71" s="78"/>
      <c r="BA71" s="78"/>
      <c r="BB71" s="78"/>
      <c r="BC71" s="78"/>
      <c r="BD71" s="78"/>
      <c r="BE71" s="78"/>
      <c r="BF71" s="8"/>
      <c r="BG71" s="8"/>
      <c r="BH71" s="78" t="s">
        <v>41</v>
      </c>
      <c r="BI71" s="78"/>
      <c r="BJ71" s="78"/>
      <c r="BK71" s="78"/>
      <c r="BL71" s="78"/>
      <c r="BM71" s="78"/>
      <c r="BN71" s="78"/>
      <c r="BO71" s="78"/>
      <c r="BP71" s="78"/>
      <c r="BQ71" s="78"/>
      <c r="BR71" s="78"/>
      <c r="BS71" s="78"/>
      <c r="BT71" s="24"/>
    </row>
    <row r="72" spans="1:77" x14ac:dyDescent="0.25">
      <c r="A72" s="8" t="s">
        <v>42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12"/>
    </row>
    <row r="73" spans="1:77" x14ac:dyDescent="0.25">
      <c r="A73" s="8" t="s">
        <v>43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8" t="str">
        <f>BJ17</f>
        <v>Халыгов Э. А.</v>
      </c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"/>
      <c r="AP73" s="8"/>
      <c r="AQ73" s="86"/>
      <c r="AR73" s="86"/>
      <c r="AS73" s="86"/>
      <c r="AT73" s="86"/>
      <c r="AU73" s="86"/>
      <c r="AV73" s="86"/>
      <c r="AW73" s="86"/>
      <c r="AX73" s="86"/>
      <c r="AY73" s="86"/>
      <c r="AZ73" s="86"/>
      <c r="BA73" s="86"/>
      <c r="BB73" s="86"/>
      <c r="BC73" s="86"/>
      <c r="BD73" s="86"/>
      <c r="BE73" s="86"/>
      <c r="BF73" s="8"/>
      <c r="BG73" s="8"/>
      <c r="BH73" s="87">
        <f>BH70</f>
        <v>45273</v>
      </c>
      <c r="BI73" s="82"/>
      <c r="BJ73" s="82"/>
      <c r="BK73" s="82"/>
      <c r="BL73" s="82"/>
      <c r="BM73" s="82"/>
      <c r="BN73" s="82"/>
      <c r="BO73" s="82"/>
      <c r="BP73" s="82"/>
      <c r="BQ73" s="82"/>
      <c r="BR73" s="82"/>
      <c r="BS73" s="82"/>
      <c r="BT73" s="12"/>
    </row>
    <row r="74" spans="1:77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78" t="s">
        <v>59</v>
      </c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8"/>
      <c r="AP74" s="8"/>
      <c r="AQ74" s="78" t="s">
        <v>40</v>
      </c>
      <c r="AR74" s="78"/>
      <c r="AS74" s="78"/>
      <c r="AT74" s="78"/>
      <c r="AU74" s="78"/>
      <c r="AV74" s="78"/>
      <c r="AW74" s="78"/>
      <c r="AX74" s="78"/>
      <c r="AY74" s="78"/>
      <c r="AZ74" s="78"/>
      <c r="BA74" s="78"/>
      <c r="BB74" s="78"/>
      <c r="BC74" s="78"/>
      <c r="BD74" s="78"/>
      <c r="BE74" s="78"/>
      <c r="BF74" s="8"/>
      <c r="BG74" s="8"/>
      <c r="BH74" s="78" t="s">
        <v>41</v>
      </c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78"/>
      <c r="BT74" s="12"/>
    </row>
    <row r="75" spans="1:77" x14ac:dyDescent="0.25">
      <c r="A75" s="8" t="s">
        <v>39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12"/>
    </row>
    <row r="76" spans="1:77" x14ac:dyDescent="0.25">
      <c r="A76" s="8" t="s">
        <v>44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2" t="str">
        <f>BJ19</f>
        <v>Тюкин Е.В.</v>
      </c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  <c r="AM76" s="82"/>
      <c r="AN76" s="82"/>
      <c r="AO76" s="8"/>
      <c r="AP76" s="8"/>
      <c r="AQ76" s="86"/>
      <c r="AR76" s="86"/>
      <c r="AS76" s="86"/>
      <c r="AT76" s="86"/>
      <c r="AU76" s="86"/>
      <c r="AV76" s="86"/>
      <c r="AW76" s="86"/>
      <c r="AX76" s="86"/>
      <c r="AY76" s="86"/>
      <c r="AZ76" s="86"/>
      <c r="BA76" s="86"/>
      <c r="BB76" s="86"/>
      <c r="BC76" s="86"/>
      <c r="BD76" s="86"/>
      <c r="BE76" s="86"/>
      <c r="BF76" s="8"/>
      <c r="BG76" s="8"/>
      <c r="BH76" s="87">
        <f>BH70</f>
        <v>45273</v>
      </c>
      <c r="BI76" s="82"/>
      <c r="BJ76" s="82"/>
      <c r="BK76" s="82"/>
      <c r="BL76" s="82"/>
      <c r="BM76" s="82"/>
      <c r="BN76" s="82"/>
      <c r="BO76" s="82"/>
      <c r="BP76" s="82"/>
      <c r="BQ76" s="82"/>
      <c r="BR76" s="82"/>
      <c r="BS76" s="82"/>
      <c r="BT76" s="12"/>
    </row>
    <row r="77" spans="1:77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78" t="s">
        <v>59</v>
      </c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8"/>
      <c r="AP77" s="8"/>
      <c r="AQ77" s="78" t="s">
        <v>40</v>
      </c>
      <c r="AR77" s="78"/>
      <c r="AS77" s="78"/>
      <c r="AT77" s="78"/>
      <c r="AU77" s="78"/>
      <c r="AV77" s="78"/>
      <c r="AW77" s="78"/>
      <c r="AX77" s="78"/>
      <c r="AY77" s="78"/>
      <c r="AZ77" s="78"/>
      <c r="BA77" s="78"/>
      <c r="BB77" s="78"/>
      <c r="BC77" s="78"/>
      <c r="BD77" s="78"/>
      <c r="BE77" s="78"/>
      <c r="BF77" s="8"/>
      <c r="BG77" s="8"/>
      <c r="BH77" s="78" t="s">
        <v>41</v>
      </c>
      <c r="BI77" s="78"/>
      <c r="BJ77" s="78"/>
      <c r="BK77" s="78"/>
      <c r="BL77" s="78"/>
      <c r="BM77" s="78"/>
      <c r="BN77" s="78"/>
      <c r="BO77" s="78"/>
      <c r="BP77" s="78"/>
      <c r="BQ77" s="78"/>
      <c r="BR77" s="78"/>
      <c r="BS77" s="78"/>
      <c r="BT77" s="12"/>
    </row>
    <row r="78" spans="1:77" x14ac:dyDescent="0.25">
      <c r="A78" s="13"/>
      <c r="B78" s="13"/>
      <c r="C78" s="13"/>
      <c r="D78" s="7"/>
      <c r="E78" s="7"/>
      <c r="F78" s="7"/>
      <c r="G78" s="7"/>
      <c r="H78" s="7"/>
      <c r="I78" s="7"/>
      <c r="J78" s="7"/>
      <c r="K78" s="7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12"/>
    </row>
    <row r="79" spans="1:77" x14ac:dyDescent="0.25">
      <c r="A79" s="84" t="s">
        <v>67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8"/>
      <c r="AP79" s="8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8"/>
      <c r="BG79" s="8"/>
      <c r="BH79" s="85"/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12"/>
    </row>
    <row r="80" spans="1:77" x14ac:dyDescent="0.25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"/>
      <c r="W80" s="8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8"/>
      <c r="AP80" s="8"/>
      <c r="AQ80" s="80"/>
      <c r="AR80" s="80"/>
      <c r="AS80" s="80"/>
      <c r="AT80" s="80"/>
      <c r="AU80" s="80"/>
      <c r="AV80" s="80"/>
      <c r="AW80" s="80"/>
      <c r="AX80" s="80"/>
      <c r="AY80" s="80"/>
      <c r="AZ80" s="80"/>
      <c r="BA80" s="80"/>
      <c r="BB80" s="80"/>
      <c r="BC80" s="80"/>
      <c r="BD80" s="80"/>
      <c r="BE80" s="80"/>
      <c r="BF80" s="8"/>
      <c r="BG80" s="8"/>
      <c r="BH80" s="80"/>
      <c r="BI80" s="80"/>
      <c r="BJ80" s="80"/>
      <c r="BK80" s="80"/>
      <c r="BL80" s="80"/>
      <c r="BM80" s="80"/>
      <c r="BN80" s="80"/>
      <c r="BO80" s="80"/>
      <c r="BP80" s="80"/>
      <c r="BQ80" s="80"/>
      <c r="BR80" s="80"/>
      <c r="BS80" s="80"/>
      <c r="BT80" s="12"/>
    </row>
    <row r="81" spans="1:72" x14ac:dyDescent="0.25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12"/>
    </row>
  </sheetData>
  <mergeCells count="97">
    <mergeCell ref="BY21:CE23"/>
    <mergeCell ref="BY25:CD27"/>
    <mergeCell ref="BY31:CE47"/>
    <mergeCell ref="D23:BT23"/>
    <mergeCell ref="D42:BT42"/>
    <mergeCell ref="D46:BT46"/>
    <mergeCell ref="A28:BT28"/>
    <mergeCell ref="AK30:BT30"/>
    <mergeCell ref="A31:BT31"/>
    <mergeCell ref="A32:BT32"/>
    <mergeCell ref="A40:BT40"/>
    <mergeCell ref="A41:BT41"/>
    <mergeCell ref="A37:BT37"/>
    <mergeCell ref="A45:BT45"/>
    <mergeCell ref="Y47:BT47"/>
    <mergeCell ref="A36:BT36"/>
    <mergeCell ref="X73:AN73"/>
    <mergeCell ref="AQ73:BE73"/>
    <mergeCell ref="BH73:BS73"/>
    <mergeCell ref="X74:AN74"/>
    <mergeCell ref="AQ74:BE74"/>
    <mergeCell ref="BH74:BS74"/>
    <mergeCell ref="Y48:BT48"/>
    <mergeCell ref="AJ49:AS49"/>
    <mergeCell ref="AT49:BT49"/>
    <mergeCell ref="Q50:BT50"/>
    <mergeCell ref="A59:BT59"/>
    <mergeCell ref="A60:BT60"/>
    <mergeCell ref="A57:BT57"/>
    <mergeCell ref="X70:AN70"/>
    <mergeCell ref="AQ70:BE70"/>
    <mergeCell ref="BH70:BS70"/>
    <mergeCell ref="X71:AN71"/>
    <mergeCell ref="AQ71:BE71"/>
    <mergeCell ref="BH71:BS71"/>
    <mergeCell ref="N68:BT68"/>
    <mergeCell ref="A66:BT66"/>
    <mergeCell ref="A55:BT55"/>
    <mergeCell ref="A79:U81"/>
    <mergeCell ref="AQ79:BE79"/>
    <mergeCell ref="BH79:BS79"/>
    <mergeCell ref="AQ80:BE80"/>
    <mergeCell ref="BH80:BS80"/>
    <mergeCell ref="X76:AN76"/>
    <mergeCell ref="AQ76:BE76"/>
    <mergeCell ref="BH76:BS76"/>
    <mergeCell ref="X77:AN77"/>
    <mergeCell ref="AQ77:BE77"/>
    <mergeCell ref="BH77:BS77"/>
    <mergeCell ref="A44:BT44"/>
    <mergeCell ref="T16:BJ16"/>
    <mergeCell ref="S17:BI17"/>
    <mergeCell ref="BJ17:BT17"/>
    <mergeCell ref="T18:BJ18"/>
    <mergeCell ref="S19:BI19"/>
    <mergeCell ref="BJ19:BT19"/>
    <mergeCell ref="O21:BP21"/>
    <mergeCell ref="A24:BT24"/>
    <mergeCell ref="U25:BT25"/>
    <mergeCell ref="P26:BT26"/>
    <mergeCell ref="T20:BJ20"/>
    <mergeCell ref="A38:BT38"/>
    <mergeCell ref="A39:BT39"/>
    <mergeCell ref="S15:BI15"/>
    <mergeCell ref="BJ15:BT15"/>
    <mergeCell ref="A35:BT35"/>
    <mergeCell ref="E22:BT22"/>
    <mergeCell ref="A23:C23"/>
    <mergeCell ref="A33:BT33"/>
    <mergeCell ref="A43:BT43"/>
    <mergeCell ref="A34:BT34"/>
    <mergeCell ref="U27:BT27"/>
    <mergeCell ref="AF9:AW9"/>
    <mergeCell ref="A10:BT10"/>
    <mergeCell ref="A12:BT12"/>
    <mergeCell ref="AE13:AT13"/>
    <mergeCell ref="A11:BT11"/>
    <mergeCell ref="A3:E3"/>
    <mergeCell ref="F3:H3"/>
    <mergeCell ref="I3:K3"/>
    <mergeCell ref="A6:E6"/>
    <mergeCell ref="F6:H6"/>
    <mergeCell ref="I6:K6"/>
    <mergeCell ref="AH6:BT7"/>
    <mergeCell ref="G7:H7"/>
    <mergeCell ref="I7:O7"/>
    <mergeCell ref="N67:BT67"/>
    <mergeCell ref="A56:BT56"/>
    <mergeCell ref="A58:BT58"/>
    <mergeCell ref="AA51:BT51"/>
    <mergeCell ref="A54:BT54"/>
    <mergeCell ref="Y65:BT65"/>
    <mergeCell ref="A53:BT53"/>
    <mergeCell ref="V61:BT61"/>
    <mergeCell ref="AD63:BT63"/>
    <mergeCell ref="J64:BT64"/>
    <mergeCell ref="A52:BT52"/>
  </mergeCells>
  <dataValidations count="4">
    <dataValidation type="list" errorStyle="information" allowBlank="1" showInputMessage="1" sqref="O21:BP21" xr:uid="{00000000-0002-0000-0000-000000000000}">
      <formula1>"выборочный,сплошной"</formula1>
    </dataValidation>
    <dataValidation type="list" allowBlank="1" showInputMessage="1" showErrorMessage="1" sqref="N21" xr:uid="{00000000-0002-0000-0000-000001000000}">
      <formula1>"выборочный,сплошной"</formula1>
    </dataValidation>
    <dataValidation type="list" allowBlank="1" showInputMessage="1" showErrorMessage="1" sqref="F6:H6 F3:H3" xr:uid="{00000000-0002-0000-0000-000002000000}">
      <formula1>"I.I,I.II,II,III,IV,V,V.I,V.II"</formula1>
    </dataValidation>
    <dataValidation type="list" showInputMessage="1" showErrorMessage="1" sqref="G7:H7" xr:uid="{00000000-0002-0000-0000-000003000000}">
      <formula1>"1,2"</formula1>
    </dataValidation>
  </dataValidations>
  <pageMargins left="0.59055118110236227" right="0.19685039370078741" top="0.39370078740157483" bottom="0.39370078740157483" header="0.19685039370078741" footer="0.19685039370078741"/>
  <pageSetup paperSize="9" scale="87" fitToHeight="0" orientation="portrait" blackAndWhite="1" r:id="rId1"/>
  <headerFooter>
    <oddFooter>&amp;R&amp;"Times New Roman,обычный"стр. &amp;P из &amp;N</oddFooter>
  </headerFooter>
  <rowBreaks count="1" manualBreakCount="1">
    <brk id="58" max="72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4000000}">
          <x14:formula1>
            <xm:f>подписанты!$B$8:$B$9</xm:f>
          </x14:formula1>
          <xm:sqref>BJ19:BT19</xm:sqref>
        </x14:dataValidation>
        <x14:dataValidation type="list" allowBlank="1" showInputMessage="1" showErrorMessage="1" xr:uid="{00000000-0002-0000-0000-000005000000}">
          <x14:formula1>
            <xm:f>подписанты!$B$5:$B$7</xm:f>
          </x14:formula1>
          <xm:sqref>BJ17:BT17</xm:sqref>
        </x14:dataValidation>
        <x14:dataValidation type="list" allowBlank="1" showInputMessage="1" showErrorMessage="1" xr:uid="{00000000-0002-0000-0000-000006000000}">
          <x14:formula1>
            <xm:f>подписанты!$B$3:$B$4</xm:f>
          </x14:formula1>
          <xm:sqref>BJ15:BT15</xm:sqref>
        </x14:dataValidation>
        <x14:dataValidation type="list" errorStyle="information" allowBlank="1" showInputMessage="1" xr:uid="{00000000-0002-0000-0000-000007000000}">
          <x14:formula1>
            <xm:f>'Лист общих данных'!$C$6:$C$12</xm:f>
          </x14:formula1>
          <xm:sqref>T25:U25</xm:sqref>
        </x14:dataValidation>
        <x14:dataValidation type="list" errorStyle="warning" allowBlank="1" showInputMessage="1" showErrorMessage="1" xr:uid="{00000000-0002-0000-0000-000008000000}">
          <x14:formula1>
            <xm:f>'Лист общих данных'!$B$6:$B$12</xm:f>
          </x14:formula1>
          <xm:sqref>S27:U27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2"/>
  <sheetViews>
    <sheetView workbookViewId="0">
      <selection activeCell="C18" sqref="C18"/>
    </sheetView>
  </sheetViews>
  <sheetFormatPr defaultColWidth="8.88671875" defaultRowHeight="13.8" x14ac:dyDescent="0.25"/>
  <cols>
    <col min="1" max="1" width="27.109375" style="29" customWidth="1"/>
    <col min="2" max="2" width="21.6640625" style="29" customWidth="1"/>
    <col min="3" max="3" width="49.6640625" style="29" customWidth="1"/>
    <col min="4" max="5" width="10.109375" style="29" customWidth="1"/>
    <col min="6" max="6" width="44.6640625" style="29" customWidth="1"/>
    <col min="7" max="16384" width="8.88671875" style="29"/>
  </cols>
  <sheetData>
    <row r="2" spans="1:6" ht="29.4" customHeight="1" x14ac:dyDescent="0.25">
      <c r="A2" s="35" t="s">
        <v>10</v>
      </c>
      <c r="B2" s="36" t="s">
        <v>77</v>
      </c>
      <c r="C2" s="36" t="s">
        <v>76</v>
      </c>
      <c r="D2" s="34" t="s">
        <v>74</v>
      </c>
      <c r="E2" s="34" t="s">
        <v>75</v>
      </c>
    </row>
    <row r="3" spans="1:6" x14ac:dyDescent="0.25">
      <c r="A3" s="30" t="s">
        <v>12</v>
      </c>
      <c r="B3" s="29" t="s">
        <v>63</v>
      </c>
      <c r="C3" s="37" t="s">
        <v>64</v>
      </c>
      <c r="D3" s="32">
        <v>44927</v>
      </c>
      <c r="E3" s="32">
        <v>45337</v>
      </c>
    </row>
    <row r="4" spans="1:6" x14ac:dyDescent="0.25">
      <c r="A4" s="30" t="s">
        <v>12</v>
      </c>
      <c r="B4" s="45" t="s">
        <v>111</v>
      </c>
      <c r="C4" s="37" t="s">
        <v>78</v>
      </c>
      <c r="D4" s="32">
        <v>45337</v>
      </c>
      <c r="E4" s="32">
        <v>45657</v>
      </c>
    </row>
    <row r="5" spans="1:6" x14ac:dyDescent="0.25">
      <c r="A5" s="30" t="s">
        <v>14</v>
      </c>
      <c r="B5" s="29" t="s">
        <v>69</v>
      </c>
      <c r="C5" s="31" t="s">
        <v>68</v>
      </c>
      <c r="D5" s="32">
        <v>45166</v>
      </c>
      <c r="E5" s="32">
        <v>45657</v>
      </c>
    </row>
    <row r="6" spans="1:6" x14ac:dyDescent="0.25">
      <c r="A6" s="30" t="s">
        <v>14</v>
      </c>
      <c r="B6" s="29" t="s">
        <v>80</v>
      </c>
      <c r="C6" s="31" t="s">
        <v>79</v>
      </c>
      <c r="D6" s="32">
        <v>44927</v>
      </c>
      <c r="E6" s="32">
        <v>45166</v>
      </c>
    </row>
    <row r="7" spans="1:6" ht="27.6" x14ac:dyDescent="0.25">
      <c r="A7" s="30" t="s">
        <v>14</v>
      </c>
      <c r="B7" s="40" t="s">
        <v>94</v>
      </c>
      <c r="C7" s="31" t="s">
        <v>68</v>
      </c>
      <c r="D7" s="32">
        <v>45278</v>
      </c>
      <c r="E7" s="32">
        <v>45342</v>
      </c>
      <c r="F7" s="39" t="s">
        <v>95</v>
      </c>
    </row>
    <row r="8" spans="1:6" ht="55.2" x14ac:dyDescent="0.25">
      <c r="A8" s="41" t="s">
        <v>15</v>
      </c>
      <c r="B8" s="42" t="s">
        <v>66</v>
      </c>
      <c r="C8" s="43" t="s">
        <v>65</v>
      </c>
      <c r="D8" s="44">
        <v>44927</v>
      </c>
      <c r="E8" s="44">
        <v>45657</v>
      </c>
    </row>
    <row r="9" spans="1:6" ht="55.2" x14ac:dyDescent="0.25">
      <c r="A9" s="33" t="s">
        <v>15</v>
      </c>
      <c r="B9" s="29" t="s">
        <v>93</v>
      </c>
      <c r="C9" s="38" t="s">
        <v>92</v>
      </c>
      <c r="F9" s="45" t="s">
        <v>96</v>
      </c>
    </row>
    <row r="11" spans="1:6" x14ac:dyDescent="0.25">
      <c r="A11" s="30"/>
    </row>
    <row r="12" spans="1:6" x14ac:dyDescent="0.25">
      <c r="A12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D12"/>
  <sheetViews>
    <sheetView workbookViewId="0">
      <selection activeCell="B12" sqref="B12"/>
    </sheetView>
  </sheetViews>
  <sheetFormatPr defaultColWidth="9.109375" defaultRowHeight="13.8" x14ac:dyDescent="0.25"/>
  <cols>
    <col min="1" max="1" width="9.109375" style="1"/>
    <col min="2" max="2" width="47" style="1" customWidth="1"/>
    <col min="3" max="3" width="28.44140625" style="1" customWidth="1"/>
    <col min="4" max="4" width="17.5546875" style="1" customWidth="1"/>
    <col min="5" max="16384" width="9.109375" style="1"/>
  </cols>
  <sheetData>
    <row r="5" spans="1:4" x14ac:dyDescent="0.25">
      <c r="A5" s="2" t="s">
        <v>100</v>
      </c>
      <c r="B5" s="2" t="s">
        <v>49</v>
      </c>
      <c r="C5" s="2" t="s">
        <v>50</v>
      </c>
      <c r="D5" s="2" t="s">
        <v>108</v>
      </c>
    </row>
    <row r="6" spans="1:4" ht="27.6" x14ac:dyDescent="0.25">
      <c r="A6" s="6" t="s">
        <v>97</v>
      </c>
      <c r="B6" s="3" t="s">
        <v>51</v>
      </c>
      <c r="C6" s="5" t="s">
        <v>101</v>
      </c>
    </row>
    <row r="7" spans="1:4" x14ac:dyDescent="0.25">
      <c r="A7" s="6" t="s">
        <v>98</v>
      </c>
      <c r="B7" s="3" t="s">
        <v>52</v>
      </c>
      <c r="C7" s="1" t="s">
        <v>102</v>
      </c>
    </row>
    <row r="8" spans="1:4" x14ac:dyDescent="0.25">
      <c r="A8" s="6" t="s">
        <v>99</v>
      </c>
      <c r="B8" s="3" t="s">
        <v>53</v>
      </c>
      <c r="C8" s="1" t="s">
        <v>103</v>
      </c>
    </row>
    <row r="9" spans="1:4" x14ac:dyDescent="0.25">
      <c r="A9" s="6">
        <v>56</v>
      </c>
      <c r="B9" s="3" t="s">
        <v>54</v>
      </c>
      <c r="C9" s="1" t="s">
        <v>104</v>
      </c>
    </row>
    <row r="10" spans="1:4" ht="27.6" x14ac:dyDescent="0.25">
      <c r="A10" s="6">
        <v>57</v>
      </c>
      <c r="B10" s="3" t="s">
        <v>55</v>
      </c>
      <c r="C10" s="4" t="s">
        <v>105</v>
      </c>
    </row>
    <row r="11" spans="1:4" ht="27.6" x14ac:dyDescent="0.25">
      <c r="A11" s="6">
        <v>110</v>
      </c>
      <c r="B11" s="3" t="s">
        <v>56</v>
      </c>
      <c r="C11" s="6" t="s">
        <v>106</v>
      </c>
    </row>
    <row r="12" spans="1:4" ht="27.6" x14ac:dyDescent="0.25">
      <c r="A12" s="6">
        <v>111</v>
      </c>
      <c r="B12" s="3" t="s">
        <v>57</v>
      </c>
      <c r="C12" s="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акт</vt:lpstr>
      <vt:lpstr>подписанты</vt:lpstr>
      <vt:lpstr>Лист общих данных</vt:lpstr>
      <vt:lpstr>акт!Область_печати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sasha</cp:lastModifiedBy>
  <cp:lastPrinted>2026-01-23T12:08:22Z</cp:lastPrinted>
  <dcterms:created xsi:type="dcterms:W3CDTF">2023-09-19T09:44:50Z</dcterms:created>
  <dcterms:modified xsi:type="dcterms:W3CDTF">2026-01-23T14:03:43Z</dcterms:modified>
</cp:coreProperties>
</file>