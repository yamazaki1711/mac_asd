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F630A9DE-B4CC-460A-A30A-3771B818906B}" xr6:coauthVersionLast="47" xr6:coauthVersionMax="47" xr10:uidLastSave="{00000000-0000-0000-0000-000000000000}"/>
  <bookViews>
    <workbookView xWindow="3432" yWindow="144" windowWidth="11544" windowHeight="122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8" i="18" l="1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76" i="18"/>
  <c r="D77" i="18"/>
  <c r="AA104" i="18"/>
  <c r="Q103" i="18" l="1"/>
  <c r="BW35" i="18" l="1"/>
  <c r="S40" i="18" l="1"/>
  <c r="S38" i="18"/>
  <c r="S36" i="18"/>
  <c r="X118" i="18" l="1"/>
  <c r="X115" i="18"/>
  <c r="BH112" i="18"/>
  <c r="BH118" i="18" s="1"/>
  <c r="X112" i="18"/>
  <c r="Y109" i="18"/>
  <c r="BH115" i="18" l="1"/>
</calcChain>
</file>

<file path=xl/sharedStrings.xml><?xml version="1.0" encoding="utf-8"?>
<sst xmlns="http://schemas.openxmlformats.org/spreadsheetml/2006/main" count="178" uniqueCount="155">
  <si>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</si>
  <si>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</si>
  <si>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</si>
  <si>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</si>
  <si>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</si>
  <si>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</si>
  <si>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</si>
  <si>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</si>
  <si>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</si>
  <si>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</si>
  <si>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</si>
  <si>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</si>
  <si>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</si>
  <si>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</si>
  <si>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</si>
  <si>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</si>
  <si>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</si>
  <si>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</si>
  <si>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</si>
  <si>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</si>
  <si>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</si>
  <si>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</si>
  <si>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</si>
  <si>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</si>
  <si>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</si>
  <si>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</si>
  <si>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</si>
  <si>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</si>
  <si>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</si>
  <si>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</si>
  <si>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</si>
  <si>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</si>
  <si>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</si>
  <si>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</si>
  <si>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</si>
  <si>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</si>
  <si>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</si>
  <si>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</si>
  <si>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</si>
  <si>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</si>
  <si>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</si>
  <si>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</si>
  <si>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</si>
  <si>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</si>
  <si>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</si>
  <si>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</si>
  <si>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</si>
  <si>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</si>
  <si>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</si>
  <si>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</si>
  <si>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</si>
  <si>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</si>
  <si>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</si>
  <si>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</si>
  <si>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</si>
  <si>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</si>
  <si>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</si>
  <si>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</si>
  <si>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</si>
  <si>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</si>
  <si>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</si>
  <si>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</si>
  <si>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</si>
  <si>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</si>
  <si>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</si>
  <si>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</si>
  <si>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</si>
  <si>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</si>
  <si>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</si>
  <si>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</si>
  <si>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</si>
  <si>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</si>
  <si>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</si>
  <si>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</si>
  <si>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</si>
  <si>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</si>
  <si>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</si>
  <si>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</si>
  <si>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</si>
  <si>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</si>
  <si>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</si>
  <si>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</si>
  <si>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</si>
  <si>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</si>
  <si>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</si>
  <si>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</si>
  <si>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</si>
  <si>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</si>
  <si>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</si>
  <si>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</si>
  <si>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</si>
  <si>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</si>
  <si>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</si>
  <si>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</si>
  <si>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</si>
  <si>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</si>
  <si>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</si>
  <si>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</si>
  <si>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</si>
  <si>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</si>
  <si>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</si>
  <si>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</si>
  <si>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</si>
  <si>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</si>
  <si>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</si>
  <si>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</si>
  <si>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Кострова Н.Л.</t>
  </si>
  <si>
    <t>Руководитель группы МТО АО «Газстройпроект»</t>
  </si>
  <si>
    <t>ПП2020РД-1.2-61.17-ИТП; ПП2020РД-1.2-61.17-ИТП.СО; изм.4; л. 5-8</t>
  </si>
  <si>
    <t xml:space="preserve">2. Электропривод ARV-1000R 082G6011R, 230V, импульсное управление; </t>
  </si>
  <si>
    <t xml:space="preserve">3. Термометр биметаллический O80мм 0..120С, L=100 мм, кл. точн. 1.5, IP43; </t>
  </si>
  <si>
    <t xml:space="preserve">4. Манометр показывающий ТМ510 0..16бар. 100мм. G1/2. кл. точн. 1.5. IP43; </t>
  </si>
  <si>
    <t xml:space="preserve">5. Кран под манометр трехходовой резьбовой G1/2/Py25/Tmax150; </t>
  </si>
  <si>
    <t xml:space="preserve">6. Спускник Ду15/Ру40/Тmax180 сталь с/с; 7. Манометр показывающий ТМ510 0..10бар. 100мм. G1/2. кл. точн. 1.5. IP43; </t>
  </si>
  <si>
    <t xml:space="preserve">8. Термометр биметаллический O80мм 0..120С, L=100 мм, кл. точн. 1.5, IP43; </t>
  </si>
  <si>
    <t xml:space="preserve">9. Преобразователь давления MBS1700R. 4-20 мА/0-10 бар; </t>
  </si>
  <si>
    <t xml:space="preserve">10. Шаровой кран Ду40/Ру16/Tmax130 латунь р/р; 11. Обратный клапан NVD-812R/Dy40/Py40/Tmax240 нерж.сталь м/ф; </t>
  </si>
  <si>
    <t>12. Датчик температуры погружной с гильзой из нерж. стали, L=100 мм, Pt1000, T=-50...+200°С, G1/2", IP65;</t>
  </si>
  <si>
    <t xml:space="preserve">13. Обратный клапан NRV-R EF/Dy40/Py18/Tmax110 латунь р/р; </t>
  </si>
  <si>
    <t xml:space="preserve">14. Спускник Ду15/Ру16/Tmax130 латунь р/р; 15. Вибровставка ZKV EPDM PN16 DN32; </t>
  </si>
  <si>
    <t>16. Насос RMV 5-2F; 17. Прессостат KPI 35R, диап. настр. давл. -0,2-7,5 бар, PN17, Tmax=120°C, G1/2", IP44;</t>
  </si>
  <si>
    <t xml:space="preserve">18. Шаровой кран трехходовой резьбовой G1/2/Py25/Tmax150; </t>
  </si>
  <si>
    <t xml:space="preserve">19. Предохранительный клапан 1/2" OR 1832.015; </t>
  </si>
  <si>
    <t xml:space="preserve">20. Спускник Ду25/Ру16/Tmax130 латунь р/р; 21. Фильтр FVR-R/Dy40/Py25/Tmax130 латунь р/р; </t>
  </si>
  <si>
    <t xml:space="preserve">22. Шаровой кран RJIP Standard WW/Ду32/Ру16/Тmax150 сталь с/с; </t>
  </si>
  <si>
    <t>23. Балансировочный клапан MVT-R/Dy25/Kvs8.03/PN16/Tmax120 р/р;</t>
  </si>
  <si>
    <t xml:space="preserve">24. Регулятор перепада давлений VFG-2R/Dy15/Kvs4/Tmax150/Pmax16 сталь ф/ф; </t>
  </si>
  <si>
    <t>25. Регулирующий блок AFP-R 0,15-1,50; 26. Трубная обвязка элементов блока; 27. Наклейка для шильдика БТП;</t>
  </si>
  <si>
    <t>28. Шаровой кран ДУ15/Ру40/Tmax180 сталь с/с.</t>
  </si>
  <si>
    <t xml:space="preserve">БТП Ридан N0507232064-3: 1. Регулирующий клапан VFM-2VR/Dy15/Kvs4/Tmax150/Pmax25 чугун ф/ф; </t>
  </si>
  <si>
    <t xml:space="preserve">БТП Ридан N0507232064-3 - 1 компл.: 1. Регулирующий клапан VFM-2VR/Dy15/Kvs4/Tmax150/Pmax25 чугун ф/ф - 1 шт; </t>
  </si>
  <si>
    <t xml:space="preserve">2. Электропривод ARV-1000R 082G6011R, 230V, импульсное управление - 1 шт; </t>
  </si>
  <si>
    <t xml:space="preserve">3. Термометр биметаллический O80мм 0..120С, L=100 мм, кл. точн. 1.5, IP43 - 1 шт; </t>
  </si>
  <si>
    <t xml:space="preserve">4. Манометр показывающий ТМ510 0..16бар. 100мм. G1/2. кл. точн. 1.5. IP43 - 4 шт; </t>
  </si>
  <si>
    <t xml:space="preserve">5. Кран под манометр трехходовой резьбовой G1/2/Py25/Tmax150 - 14 шт; </t>
  </si>
  <si>
    <t xml:space="preserve">8. Термометр биметаллический O80мм 0..120С, L=100 мм, кл. точн. 1.5, IP43 - 3 шт; </t>
  </si>
  <si>
    <t xml:space="preserve">9. Преобразователь давления MBS1700R. 4-20 мА/0-10 бар - 2 шт; </t>
  </si>
  <si>
    <t>12. Датчик температуры погружной с гильзой из нерж. стали, L=100 мм, Pt1000, T=-50...+200°С, G1/2", IP65 - 2 шт;</t>
  </si>
  <si>
    <t xml:space="preserve">13. Обратный клапан NRV-R EF/Dy40/Py18/Tmax110 латунь р/р - 2 шт; </t>
  </si>
  <si>
    <t xml:space="preserve">14. Спускник Ду15/Ру16/Tmax130 латунь р/р - 2 шт; 15. Вибровставка ZKV EPDM PN16 DN32 - 4 шт; </t>
  </si>
  <si>
    <t>16. Насос RMV 5-2F - 2 шт; 17. Прессостат KPI 35R, диап. настр. давл. -0,2-7,5 бар, PN17, Tmax=120°C, G1/2", IP44 - 1 шт;</t>
  </si>
  <si>
    <t xml:space="preserve">18. Шаровой кран трехходовой резьбовой G1/2/Py25/Tmax150 - 1 шт; </t>
  </si>
  <si>
    <t xml:space="preserve">19. Предохранительный клапан 1/2" OR 1832.015 - 1 шт; </t>
  </si>
  <si>
    <t xml:space="preserve">20. Спускник Ду25/Ру16/Tmax130 латунь р/р - 2 шт; 21. Фильтр FVR-R/Dy40/Py25/Tmax130 латунь р/р - 1 шт; </t>
  </si>
  <si>
    <t xml:space="preserve">22. Шаровой кран RJIP Standard WW/Ду32/Ру16/Тmax150 сталь с/с - 1 шт; </t>
  </si>
  <si>
    <t>23. Балансировочный клапан MVT-R/Dy25/Kvs8.03/PN16/Tmax120 р/р - 1 шт;</t>
  </si>
  <si>
    <t xml:space="preserve">24. Регулятор перепада давлений VFG-2R/Dy15/Kvs4/Tmax150/Pmax16 сталь ф/ф - 1 шт; </t>
  </si>
  <si>
    <t xml:space="preserve">6. Спускник Ду15/Ру40/Тmax180 сталь с/с - 1 шт; </t>
  </si>
  <si>
    <t xml:space="preserve">7. Манометр показывающий ТМ510 0..10бар. 100мм. G1/2. кл. точн. 1.5. IP43 - 8 шт; </t>
  </si>
  <si>
    <t xml:space="preserve">25. Регулирующий блок AFP-R 0,15-1,50 - 1 шт; 26. Трубная обвязка элементов блока - 1 шт; </t>
  </si>
  <si>
    <t>27. Наклейка для шильдика БТП - 1 шт; 28. Шаровой кран ДУ15/Ру40/Tmax180 сталь с/с - 2 шт.</t>
  </si>
  <si>
    <t xml:space="preserve">10. Шаровой кран Ду40/Ру16/Tmax130 латунь р/р - 6 шт; </t>
  </si>
  <si>
    <t xml:space="preserve">11. Обратный клапан NVD-812R/Dy40/Py40/Tmax240 нерж.сталь м/ф - 1 шт; </t>
  </si>
  <si>
    <t>Паспорт б/н (АУУ/HS23L-1898) от октября 2023.</t>
  </si>
  <si>
    <t>АИР 1.2-61.17-ИТП/БТП3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</si>
</sst>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7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14" fontId="14" fillId="2" borderId="0" xfId="1" applyNumberFormat="1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14" fontId="14" fillId="4" borderId="0" xfId="1" applyNumberFormat="1" applyFont="1" applyFill="1" applyBorder="1" applyAlignment="1">
      <alignment horizontal="justify" vertical="center" wrapText="1"/>
    </xf>
    <xf numFmtId="14" fontId="14" fillId="3" borderId="0" xfId="1" applyNumberFormat="1" applyFont="1" applyFill="1" applyBorder="1" applyAlignment="1">
      <alignment horizontal="left" vertical="center" wrapText="1"/>
    </xf>
    <xf numFmtId="14" fontId="14" fillId="3" borderId="3" xfId="1" applyNumberFormat="1" applyFont="1" applyFill="1" applyBorder="1" applyAlignment="1">
      <alignment horizontal="left" vertical="center" wrapText="1"/>
    </xf>
    <xf numFmtId="14" fontId="14" fillId="4" borderId="3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 vertical="top"/>
    </xf>
    <xf numFmtId="14" fontId="14" fillId="3" borderId="1" xfId="1" applyNumberFormat="1" applyFont="1" applyFill="1" applyBorder="1" applyAlignment="1">
      <alignment horizontal="left" vertical="top" wrapText="1"/>
    </xf>
    <xf numFmtId="0" fontId="17" fillId="0" borderId="0" xfId="1" applyFont="1" applyAlignment="1">
      <alignment horizontal="center" vertical="top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6" fillId="2" borderId="0" xfId="1" applyFont="1" applyFill="1" applyBorder="1" applyAlignment="1">
      <alignment horizontal="center" vertical="top"/>
    </xf>
    <xf numFmtId="0" fontId="12" fillId="2" borderId="0" xfId="1" applyFont="1" applyFill="1" applyAlignment="1">
      <alignment horizontal="left" vertical="center"/>
    </xf>
    <xf numFmtId="0" fontId="11" fillId="4" borderId="0" xfId="1" applyFont="1" applyFill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4" fillId="4" borderId="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justify" vertic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right" vertical="center"/>
    </xf>
    <xf numFmtId="0" fontId="16" fillId="2" borderId="0" xfId="1" applyFont="1" applyFill="1" applyAlignment="1">
      <alignment horizontal="center" vertical="center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0" xfId="1" applyFont="1" applyFill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1" fillId="3" borderId="0" xfId="1" applyFont="1" applyFill="1" applyAlignment="1">
      <alignment horizontal="lef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32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42</xdr:row>
      <xdr:rowOff>0</xdr:rowOff>
    </xdr:from>
    <xdr:to>
      <xdr:col>75</xdr:col>
      <xdr:colOff>521970</xdr:colOff>
      <xdr:row>43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67</xdr:row>
      <xdr:rowOff>0</xdr:rowOff>
    </xdr:from>
    <xdr:to>
      <xdr:col>75</xdr:col>
      <xdr:colOff>521970</xdr:colOff>
      <xdr:row>67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70</xdr:row>
      <xdr:rowOff>0</xdr:rowOff>
    </xdr:from>
    <xdr:to>
      <xdr:col>75</xdr:col>
      <xdr:colOff>521970</xdr:colOff>
      <xdr:row>73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104</xdr:row>
      <xdr:rowOff>0</xdr:rowOff>
    </xdr:from>
    <xdr:to>
      <xdr:col>75</xdr:col>
      <xdr:colOff>521970</xdr:colOff>
      <xdr:row>104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113</xdr:row>
      <xdr:rowOff>0</xdr:rowOff>
    </xdr:from>
    <xdr:to>
      <xdr:col>75</xdr:col>
      <xdr:colOff>521970</xdr:colOff>
      <xdr:row>115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E128"/>
  <sheetViews>
    <sheetView tabSelected="1" view="pageBreakPreview" zoomScaleNormal="100" zoomScaleSheetLayoutView="100" workbookViewId="0">
      <selection activeCell="A105" sqref="A105:XFD105"/>
    </sheetView>
  </sheetViews>
  <sheetFormatPr defaultRowHeight="13.8" x14ac:dyDescent="0.25"/>
  <cols>
    <col min="1" max="12" width="1.44140625" customWidth="1"/>
    <col min="13" max="13" width="2.33203125" customWidth="1"/>
    <col min="14" max="18" width="1.44140625" customWidth="1"/>
    <col min="19" max="19" width="2" customWidth="1"/>
    <col min="20" max="20" width="1.44140625" customWidth="1"/>
    <col min="21" max="21" width="2" customWidth="1"/>
    <col min="22" max="22" width="1.44140625" customWidth="1"/>
    <col min="23" max="23" width="1.77734375" customWidth="1"/>
    <col min="24" max="26" width="1.44140625" customWidth="1"/>
    <col min="27" max="27" width="2.109375" customWidth="1"/>
    <col min="28" max="28" width="1.44140625" customWidth="1"/>
    <col min="29" max="29" width="1.88671875" customWidth="1"/>
    <col min="30" max="30" width="1.44140625" customWidth="1"/>
    <col min="31" max="31" width="1.88671875" customWidth="1"/>
    <col min="32" max="32" width="1.44140625" customWidth="1"/>
    <col min="33" max="33" width="2.21875" customWidth="1"/>
    <col min="34" max="35" width="1.44140625" customWidth="1"/>
    <col min="36" max="36" width="1.6640625" customWidth="1"/>
    <col min="37" max="37" width="1.44140625" customWidth="1"/>
    <col min="38" max="38" width="1.88671875" customWidth="1"/>
    <col min="39" max="39" width="1.44140625" customWidth="1"/>
    <col min="40" max="40" width="2.21875" customWidth="1"/>
    <col min="41" max="41" width="1.44140625" customWidth="1"/>
    <col min="42" max="42" width="2" customWidth="1"/>
    <col min="43" max="45" width="1.44140625" customWidth="1"/>
    <col min="46" max="46" width="1.88671875" customWidth="1"/>
    <col min="47" max="47" width="1.44140625" customWidth="1"/>
    <col min="48" max="48" width="1.88671875" customWidth="1"/>
    <col min="49" max="49" width="1.44140625" customWidth="1"/>
    <col min="50" max="50" width="1.88671875" customWidth="1"/>
    <col min="51" max="52" width="1.44140625" customWidth="1"/>
    <col min="53" max="53" width="2.109375" customWidth="1"/>
    <col min="54" max="55" width="1.44140625" customWidth="1"/>
    <col min="56" max="56" width="2" customWidth="1"/>
    <col min="57" max="59" width="1.44140625" customWidth="1"/>
    <col min="60" max="60" width="2" customWidth="1"/>
    <col min="61" max="61" width="1.44140625" customWidth="1"/>
    <col min="62" max="62" width="2" customWidth="1"/>
    <col min="63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5" t="s">
        <v>4</v>
      </c>
      <c r="B3" s="65"/>
      <c r="C3" s="65"/>
      <c r="D3" s="65"/>
      <c r="E3" s="65"/>
      <c r="F3" s="86" t="s">
        <v>5</v>
      </c>
      <c r="G3" s="86"/>
      <c r="H3" s="86"/>
      <c r="I3" s="87" t="s">
        <v>6</v>
      </c>
      <c r="J3" s="87"/>
      <c r="K3" s="8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65"/>
      <c r="B6" s="65"/>
      <c r="C6" s="65"/>
      <c r="D6" s="65"/>
      <c r="E6" s="65"/>
      <c r="F6" s="86"/>
      <c r="G6" s="86"/>
      <c r="H6" s="86"/>
      <c r="I6" s="87"/>
      <c r="J6" s="87"/>
      <c r="K6" s="8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88" t="s">
        <v>61</v>
      </c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</row>
    <row r="7" spans="1:72" x14ac:dyDescent="0.25">
      <c r="A7" s="8"/>
      <c r="B7" s="8"/>
      <c r="C7" s="8"/>
      <c r="D7" s="8"/>
      <c r="E7" s="8"/>
      <c r="F7" s="8"/>
      <c r="G7" s="89"/>
      <c r="H7" s="89"/>
      <c r="I7" s="87"/>
      <c r="J7" s="87"/>
      <c r="K7" s="87"/>
      <c r="L7" s="87"/>
      <c r="M7" s="87"/>
      <c r="N7" s="87"/>
      <c r="O7" s="8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90" t="s">
        <v>154</v>
      </c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91" t="s">
        <v>45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</row>
    <row r="11" spans="1:72" ht="4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x14ac:dyDescent="0.25">
      <c r="A12" s="92" t="s">
        <v>129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</row>
    <row r="13" spans="1:72" x14ac:dyDescent="0.25">
      <c r="A13" s="64" t="s">
        <v>109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1"/>
    </row>
    <row r="14" spans="1:72" x14ac:dyDescent="0.25">
      <c r="A14" s="64" t="s">
        <v>110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1"/>
    </row>
    <row r="15" spans="1:72" x14ac:dyDescent="0.25">
      <c r="A15" s="64" t="s">
        <v>111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1"/>
    </row>
    <row r="16" spans="1:72" x14ac:dyDescent="0.25">
      <c r="A16" s="64" t="s">
        <v>112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1"/>
    </row>
    <row r="17" spans="1:72" x14ac:dyDescent="0.25">
      <c r="A17" s="64" t="s">
        <v>113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1"/>
    </row>
    <row r="18" spans="1:72" x14ac:dyDescent="0.25">
      <c r="A18" s="64" t="s">
        <v>114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1"/>
    </row>
    <row r="19" spans="1:72" x14ac:dyDescent="0.25">
      <c r="A19" s="64" t="s">
        <v>115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1"/>
    </row>
    <row r="20" spans="1:72" x14ac:dyDescent="0.25">
      <c r="A20" s="64" t="s">
        <v>116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1"/>
    </row>
    <row r="21" spans="1:72" x14ac:dyDescent="0.25">
      <c r="A21" s="64" t="s">
        <v>117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1"/>
    </row>
    <row r="22" spans="1:72" x14ac:dyDescent="0.25">
      <c r="A22" s="64" t="s">
        <v>118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1"/>
    </row>
    <row r="23" spans="1:72" x14ac:dyDescent="0.25">
      <c r="A23" s="64" t="s">
        <v>119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1"/>
    </row>
    <row r="24" spans="1:72" x14ac:dyDescent="0.25">
      <c r="A24" s="64" t="s">
        <v>120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1"/>
    </row>
    <row r="25" spans="1:72" x14ac:dyDescent="0.25">
      <c r="A25" s="64" t="s">
        <v>121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1"/>
    </row>
    <row r="26" spans="1:72" x14ac:dyDescent="0.25">
      <c r="A26" s="64" t="s">
        <v>122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1"/>
    </row>
    <row r="27" spans="1:72" x14ac:dyDescent="0.25">
      <c r="A27" s="64" t="s">
        <v>123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1"/>
    </row>
    <row r="28" spans="1:72" x14ac:dyDescent="0.25">
      <c r="A28" s="64" t="s">
        <v>124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1"/>
    </row>
    <row r="29" spans="1:72" x14ac:dyDescent="0.25">
      <c r="A29" s="64" t="s">
        <v>125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1"/>
    </row>
    <row r="30" spans="1:72" x14ac:dyDescent="0.25">
      <c r="A30" s="64" t="s">
        <v>126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1"/>
    </row>
    <row r="31" spans="1:72" x14ac:dyDescent="0.25">
      <c r="A31" s="64" t="s">
        <v>127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1"/>
    </row>
    <row r="32" spans="1:72" x14ac:dyDescent="0.25">
      <c r="A32" s="64" t="s">
        <v>128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1"/>
    </row>
    <row r="33" spans="1:83" ht="13.8" customHeight="1" x14ac:dyDescent="0.25">
      <c r="A33" s="96" t="s">
        <v>46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</row>
    <row r="34" spans="1:83" ht="12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3" t="s">
        <v>9</v>
      </c>
      <c r="AB34" s="8"/>
      <c r="AC34" s="8"/>
      <c r="AD34" s="8"/>
      <c r="AE34" s="93">
        <v>45244</v>
      </c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15"/>
      <c r="AV34" s="15"/>
      <c r="AW34" s="15"/>
      <c r="AX34" s="15"/>
      <c r="AY34" s="15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12"/>
    </row>
    <row r="35" spans="1:83" x14ac:dyDescent="0.25">
      <c r="A35" s="8" t="s">
        <v>10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 t="s">
        <v>11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12"/>
      <c r="BW35" s="51">
        <f>AE34</f>
        <v>45244</v>
      </c>
    </row>
    <row r="36" spans="1:83" x14ac:dyDescent="0.25">
      <c r="A36" s="8" t="s">
        <v>12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4" t="str">
        <f>VLOOKUP(BJ36,подписанты!$B$3:$C$11,2,FALSE)</f>
        <v>Руководитель группы МТО АО «Газстройпроект»</v>
      </c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5" t="s">
        <v>106</v>
      </c>
      <c r="BK36" s="95"/>
      <c r="BL36" s="95"/>
      <c r="BM36" s="95"/>
      <c r="BN36" s="95"/>
      <c r="BO36" s="95"/>
      <c r="BP36" s="95"/>
      <c r="BQ36" s="95"/>
      <c r="BR36" s="95"/>
      <c r="BS36" s="95"/>
      <c r="BT36" s="95"/>
    </row>
    <row r="37" spans="1:8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78" t="s">
        <v>13</v>
      </c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0"/>
      <c r="BK37" s="25"/>
      <c r="BL37" s="25"/>
      <c r="BM37" s="25"/>
      <c r="BN37" s="25"/>
      <c r="BO37" s="25"/>
      <c r="BP37" s="16"/>
      <c r="BQ37" s="16"/>
      <c r="BR37" s="16"/>
      <c r="BS37" s="16"/>
      <c r="BT37" s="16"/>
    </row>
    <row r="38" spans="1:83" x14ac:dyDescent="0.25">
      <c r="A38" s="8" t="s">
        <v>14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4" t="str">
        <f>VLOOKUP(BJ38,подписанты!$B$3:$C$11,2,FALSE)</f>
        <v>Инженер отдела технического надзора АО «Газстройпроект»</v>
      </c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 t="s">
        <v>66</v>
      </c>
      <c r="BK38" s="95"/>
      <c r="BL38" s="95"/>
      <c r="BM38" s="95"/>
      <c r="BN38" s="95"/>
      <c r="BO38" s="95"/>
      <c r="BP38" s="95"/>
      <c r="BQ38" s="95"/>
      <c r="BR38" s="95"/>
      <c r="BS38" s="95"/>
      <c r="BT38" s="95"/>
    </row>
    <row r="39" spans="1:8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8" t="s">
        <v>13</v>
      </c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0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83" ht="40.799999999999997" customHeight="1" x14ac:dyDescent="0.25">
      <c r="A40" s="8" t="s">
        <v>15</v>
      </c>
      <c r="B40" s="8"/>
      <c r="C40" s="8"/>
      <c r="D40" s="8"/>
      <c r="E40" s="8"/>
      <c r="F40" s="8"/>
      <c r="G40" s="8"/>
      <c r="H40" s="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94" t="str">
        <f>VLOOKUP(BJ40,подписанты!$B$3:$C$11,2,FALSE)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7" t="s">
        <v>88</v>
      </c>
      <c r="BK40" s="97"/>
      <c r="BL40" s="97"/>
      <c r="BM40" s="97"/>
      <c r="BN40" s="97"/>
      <c r="BO40" s="97"/>
      <c r="BP40" s="97"/>
      <c r="BQ40" s="97"/>
      <c r="BR40" s="97"/>
      <c r="BS40" s="97"/>
      <c r="BT40" s="97"/>
    </row>
    <row r="41" spans="1:83" ht="13.2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8" t="s">
        <v>13</v>
      </c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spans="1:83" x14ac:dyDescent="0.25">
      <c r="A42" s="8" t="s">
        <v>16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7"/>
      <c r="O42" s="71" t="s">
        <v>86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8" t="s">
        <v>17</v>
      </c>
      <c r="BR42" s="13"/>
      <c r="BS42" s="13"/>
      <c r="BT42" s="13"/>
    </row>
    <row r="43" spans="1:83" x14ac:dyDescent="0.25">
      <c r="A43" s="8"/>
      <c r="B43" s="8"/>
      <c r="C43" s="8"/>
      <c r="D43" s="8"/>
      <c r="E43" s="98" t="s">
        <v>47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Y43" s="76" t="s">
        <v>79</v>
      </c>
      <c r="BZ43" s="76"/>
      <c r="CA43" s="76"/>
      <c r="CB43" s="76"/>
      <c r="CC43" s="76"/>
      <c r="CD43" s="76"/>
      <c r="CE43" s="76"/>
    </row>
    <row r="44" spans="1:83" ht="13.8" customHeight="1" x14ac:dyDescent="0.25">
      <c r="A44" s="92" t="s">
        <v>130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Y44" s="76"/>
      <c r="BZ44" s="76"/>
      <c r="CA44" s="76"/>
      <c r="CB44" s="76"/>
      <c r="CC44" s="76"/>
      <c r="CD44" s="76"/>
      <c r="CE44" s="76"/>
    </row>
    <row r="45" spans="1:83" x14ac:dyDescent="0.25">
      <c r="A45" s="64" t="s">
        <v>131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1"/>
      <c r="BY45" s="60"/>
      <c r="BZ45" s="60"/>
      <c r="CA45" s="60"/>
      <c r="CB45" s="60"/>
      <c r="CC45" s="60"/>
      <c r="CD45" s="60"/>
      <c r="CE45" s="60"/>
    </row>
    <row r="46" spans="1:83" x14ac:dyDescent="0.25">
      <c r="A46" s="64" t="s">
        <v>132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1"/>
      <c r="BY46" s="60"/>
      <c r="BZ46" s="60"/>
      <c r="CA46" s="60"/>
      <c r="CB46" s="60"/>
      <c r="CC46" s="60"/>
      <c r="CD46" s="60"/>
      <c r="CE46" s="60"/>
    </row>
    <row r="47" spans="1:83" x14ac:dyDescent="0.25">
      <c r="A47" s="64" t="s">
        <v>133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1"/>
      <c r="BY47" s="60"/>
      <c r="BZ47" s="60"/>
      <c r="CA47" s="60"/>
      <c r="CB47" s="60"/>
      <c r="CC47" s="60"/>
      <c r="CD47" s="60"/>
      <c r="CE47" s="60"/>
    </row>
    <row r="48" spans="1:83" x14ac:dyDescent="0.25">
      <c r="A48" s="64" t="s">
        <v>134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1"/>
      <c r="BY48" s="60"/>
      <c r="BZ48" s="60"/>
      <c r="CA48" s="60"/>
      <c r="CB48" s="60"/>
      <c r="CC48" s="60"/>
      <c r="CD48" s="60"/>
      <c r="CE48" s="60"/>
    </row>
    <row r="49" spans="1:83" x14ac:dyDescent="0.25">
      <c r="A49" s="64" t="s">
        <v>147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1"/>
      <c r="BY49" s="60"/>
      <c r="BZ49" s="60"/>
      <c r="CA49" s="60"/>
      <c r="CB49" s="60"/>
      <c r="CC49" s="60"/>
      <c r="CD49" s="60"/>
      <c r="CE49" s="60"/>
    </row>
    <row r="50" spans="1:83" x14ac:dyDescent="0.25">
      <c r="A50" s="64" t="s">
        <v>148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1"/>
      <c r="BY50" s="60"/>
      <c r="BZ50" s="60"/>
      <c r="CA50" s="60"/>
      <c r="CB50" s="60"/>
      <c r="CC50" s="60"/>
      <c r="CD50" s="60"/>
      <c r="CE50" s="60"/>
    </row>
    <row r="51" spans="1:83" x14ac:dyDescent="0.25">
      <c r="A51" s="64" t="s">
        <v>135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1"/>
      <c r="BY51" s="60"/>
      <c r="BZ51" s="60"/>
      <c r="CA51" s="60"/>
      <c r="CB51" s="60"/>
      <c r="CC51" s="60"/>
      <c r="CD51" s="60"/>
      <c r="CE51" s="60"/>
    </row>
    <row r="52" spans="1:83" x14ac:dyDescent="0.25">
      <c r="A52" s="64" t="s">
        <v>136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1"/>
      <c r="BY52" s="60"/>
      <c r="BZ52" s="60"/>
      <c r="CA52" s="60"/>
      <c r="CB52" s="60"/>
      <c r="CC52" s="60"/>
      <c r="CD52" s="60"/>
      <c r="CE52" s="60"/>
    </row>
    <row r="53" spans="1:83" x14ac:dyDescent="0.25">
      <c r="A53" s="64" t="s">
        <v>151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1"/>
      <c r="BY53" s="60"/>
      <c r="BZ53" s="60"/>
      <c r="CA53" s="60"/>
      <c r="CB53" s="60"/>
      <c r="CC53" s="60"/>
      <c r="CD53" s="60"/>
      <c r="CE53" s="60"/>
    </row>
    <row r="54" spans="1:83" x14ac:dyDescent="0.25">
      <c r="A54" s="64" t="s">
        <v>152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1"/>
      <c r="BY54" s="60"/>
      <c r="BZ54" s="60"/>
      <c r="CA54" s="60"/>
      <c r="CB54" s="60"/>
      <c r="CC54" s="60"/>
      <c r="CD54" s="60"/>
      <c r="CE54" s="60"/>
    </row>
    <row r="55" spans="1:83" x14ac:dyDescent="0.25">
      <c r="A55" s="64" t="s">
        <v>137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1"/>
      <c r="BY55" s="60"/>
      <c r="BZ55" s="60"/>
      <c r="CA55" s="60"/>
      <c r="CB55" s="60"/>
      <c r="CC55" s="60"/>
      <c r="CD55" s="60"/>
      <c r="CE55" s="60"/>
    </row>
    <row r="56" spans="1:83" x14ac:dyDescent="0.25">
      <c r="A56" s="64" t="s">
        <v>138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1"/>
      <c r="BY56" s="60"/>
      <c r="BZ56" s="60"/>
      <c r="CA56" s="60"/>
      <c r="CB56" s="60"/>
      <c r="CC56" s="60"/>
      <c r="CD56" s="60"/>
      <c r="CE56" s="60"/>
    </row>
    <row r="57" spans="1:83" x14ac:dyDescent="0.25">
      <c r="A57" s="64" t="s">
        <v>139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1"/>
      <c r="BY57" s="60"/>
      <c r="BZ57" s="60"/>
      <c r="CA57" s="60"/>
      <c r="CB57" s="60"/>
      <c r="CC57" s="60"/>
      <c r="CD57" s="60"/>
      <c r="CE57" s="60"/>
    </row>
    <row r="58" spans="1:83" x14ac:dyDescent="0.25">
      <c r="A58" s="64" t="s">
        <v>140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1"/>
      <c r="BY58" s="60"/>
      <c r="BZ58" s="60"/>
      <c r="CA58" s="60"/>
      <c r="CB58" s="60"/>
      <c r="CC58" s="60"/>
      <c r="CD58" s="60"/>
      <c r="CE58" s="60"/>
    </row>
    <row r="59" spans="1:83" x14ac:dyDescent="0.25">
      <c r="A59" s="64" t="s">
        <v>141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1"/>
      <c r="BY59" s="60"/>
      <c r="BZ59" s="60"/>
      <c r="CA59" s="60"/>
      <c r="CB59" s="60"/>
      <c r="CC59" s="60"/>
      <c r="CD59" s="60"/>
      <c r="CE59" s="60"/>
    </row>
    <row r="60" spans="1:83" x14ac:dyDescent="0.25">
      <c r="A60" s="64" t="s">
        <v>142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1"/>
      <c r="BY60" s="60"/>
      <c r="BZ60" s="60"/>
      <c r="CA60" s="60"/>
      <c r="CB60" s="60"/>
      <c r="CC60" s="60"/>
      <c r="CD60" s="60"/>
      <c r="CE60" s="60"/>
    </row>
    <row r="61" spans="1:83" x14ac:dyDescent="0.25">
      <c r="A61" s="64" t="s">
        <v>143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1"/>
      <c r="BY61" s="60"/>
      <c r="BZ61" s="60"/>
      <c r="CA61" s="60"/>
      <c r="CB61" s="60"/>
      <c r="CC61" s="60"/>
      <c r="CD61" s="60"/>
      <c r="CE61" s="60"/>
    </row>
    <row r="62" spans="1:83" x14ac:dyDescent="0.25">
      <c r="A62" s="64" t="s">
        <v>144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1"/>
      <c r="BY62" s="60"/>
      <c r="BZ62" s="60"/>
      <c r="CA62" s="60"/>
      <c r="CB62" s="60"/>
      <c r="CC62" s="60"/>
      <c r="CD62" s="60"/>
      <c r="CE62" s="60"/>
    </row>
    <row r="63" spans="1:83" x14ac:dyDescent="0.25">
      <c r="A63" s="64" t="s">
        <v>145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1"/>
      <c r="BY63" s="60"/>
      <c r="BZ63" s="60"/>
      <c r="CA63" s="60"/>
      <c r="CB63" s="60"/>
      <c r="CC63" s="60"/>
      <c r="CD63" s="60"/>
      <c r="CE63" s="60"/>
    </row>
    <row r="64" spans="1:83" x14ac:dyDescent="0.25">
      <c r="A64" s="64" t="s">
        <v>146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1"/>
      <c r="BY64" s="60"/>
      <c r="BZ64" s="60"/>
      <c r="CA64" s="60"/>
      <c r="CB64" s="60"/>
      <c r="CC64" s="60"/>
      <c r="CD64" s="60"/>
      <c r="CE64" s="60"/>
    </row>
    <row r="65" spans="1:83" x14ac:dyDescent="0.25">
      <c r="A65" s="64" t="s">
        <v>149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1"/>
      <c r="BY65" s="60"/>
      <c r="BZ65" s="60"/>
      <c r="CA65" s="60"/>
      <c r="CB65" s="60"/>
      <c r="CC65" s="60"/>
      <c r="CD65" s="60"/>
      <c r="CE65" s="60"/>
    </row>
    <row r="66" spans="1:83" x14ac:dyDescent="0.25">
      <c r="A66" s="64" t="s">
        <v>150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1"/>
      <c r="BY66" s="60"/>
      <c r="BZ66" s="60"/>
      <c r="CA66" s="60"/>
      <c r="CB66" s="60"/>
      <c r="CC66" s="60"/>
      <c r="CD66" s="60"/>
      <c r="CE66" s="60"/>
    </row>
    <row r="67" spans="1:83" s="57" customFormat="1" ht="13.2" customHeigh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Y67" s="58"/>
      <c r="BZ67" s="58"/>
      <c r="CA67" s="58"/>
      <c r="CB67" s="58"/>
      <c r="CC67" s="58"/>
      <c r="CD67" s="58"/>
      <c r="CE67" s="58"/>
    </row>
    <row r="68" spans="1:83" ht="13.8" customHeight="1" x14ac:dyDescent="0.25">
      <c r="A68" s="10" t="s">
        <v>18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53"/>
      <c r="S68" s="8"/>
      <c r="T68" s="52"/>
      <c r="U68" s="82" t="s">
        <v>108</v>
      </c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Y68" s="76"/>
      <c r="BZ68" s="76"/>
      <c r="CA68" s="76"/>
      <c r="CB68" s="76"/>
      <c r="CC68" s="76"/>
      <c r="CD68" s="76"/>
    </row>
    <row r="69" spans="1:8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3" t="s">
        <v>19</v>
      </c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</row>
    <row r="70" spans="1:83" x14ac:dyDescent="0.25">
      <c r="A70" s="10" t="s">
        <v>20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20"/>
      <c r="T70" s="20"/>
      <c r="U70" s="82" t="s">
        <v>51</v>
      </c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</row>
    <row r="71" spans="1:83" ht="13.2" customHeight="1" x14ac:dyDescent="0.25">
      <c r="A71" s="78" t="s">
        <v>21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Y71" s="41" t="s">
        <v>80</v>
      </c>
    </row>
    <row r="72" spans="1:83" ht="13.95" customHeight="1" x14ac:dyDescent="0.25">
      <c r="A72" s="8"/>
      <c r="B72" s="8"/>
      <c r="C72" s="8"/>
      <c r="D72" s="8" t="s">
        <v>22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9"/>
      <c r="AG72" s="7"/>
      <c r="AH72" s="7"/>
      <c r="AI72" s="7"/>
      <c r="AJ72" s="7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Y72" s="76" t="s">
        <v>81</v>
      </c>
      <c r="BZ72" s="76"/>
      <c r="CA72" s="76"/>
      <c r="CB72" s="76"/>
      <c r="CC72" s="76"/>
      <c r="CD72" s="76"/>
      <c r="CE72" s="76"/>
    </row>
    <row r="73" spans="1:83" x14ac:dyDescent="0.25">
      <c r="A73" s="8" t="s">
        <v>23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29"/>
      <c r="AJ73" s="8"/>
      <c r="AK73" s="79" t="s">
        <v>153</v>
      </c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Y73" s="76"/>
      <c r="BZ73" s="76"/>
      <c r="CA73" s="76"/>
      <c r="CB73" s="76"/>
      <c r="CC73" s="76"/>
      <c r="CD73" s="76"/>
      <c r="CE73" s="76"/>
    </row>
    <row r="74" spans="1:83" x14ac:dyDescent="0.25">
      <c r="A74" s="78" t="s">
        <v>24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80"/>
      <c r="BY74" s="76"/>
      <c r="BZ74" s="76"/>
      <c r="CA74" s="76"/>
      <c r="CB74" s="76"/>
      <c r="CC74" s="76"/>
      <c r="CD74" s="76"/>
      <c r="CE74" s="76"/>
    </row>
    <row r="75" spans="1:83" x14ac:dyDescent="0.25">
      <c r="A75" s="81" t="s">
        <v>57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Y75" s="76"/>
      <c r="BZ75" s="76"/>
      <c r="CA75" s="76"/>
      <c r="CB75" s="76"/>
      <c r="CC75" s="76"/>
      <c r="CD75" s="76"/>
      <c r="CE75" s="76"/>
    </row>
    <row r="76" spans="1:83" x14ac:dyDescent="0.25">
      <c r="A76" s="17" t="s">
        <v>58</v>
      </c>
      <c r="B76" s="18"/>
      <c r="C76" s="18"/>
      <c r="D76" s="77" t="str">
        <f>A44</f>
        <v xml:space="preserve">БТП Ридан N0507232064-3 - 1 компл.: 1. Регулирующий клапан VFM-2VR/Dy15/Kvs4/Tmax150/Pmax25 чугун ф/ф - 1 шт; </v>
      </c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Y76" s="76"/>
      <c r="BZ76" s="76"/>
      <c r="CA76" s="76"/>
      <c r="CB76" s="76"/>
      <c r="CC76" s="76"/>
      <c r="CD76" s="76"/>
      <c r="CE76" s="76"/>
    </row>
    <row r="77" spans="1:83" x14ac:dyDescent="0.25">
      <c r="A77" s="17"/>
      <c r="B77" s="18"/>
      <c r="C77" s="18"/>
      <c r="D77" s="63" t="str">
        <f>A45</f>
        <v xml:space="preserve">2. Электропривод ARV-1000R 082G6011R, 230V, импульсное управление - 1 шт; </v>
      </c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2"/>
      <c r="BY77" s="76"/>
      <c r="BZ77" s="76"/>
      <c r="CA77" s="76"/>
      <c r="CB77" s="76"/>
      <c r="CC77" s="76"/>
      <c r="CD77" s="76"/>
      <c r="CE77" s="76"/>
    </row>
    <row r="78" spans="1:83" ht="13.8" customHeight="1" x14ac:dyDescent="0.25">
      <c r="A78" s="17"/>
      <c r="B78" s="18"/>
      <c r="C78" s="18"/>
      <c r="D78" s="63" t="str">
        <f t="shared" ref="D78:D97" si="0">A46</f>
        <v xml:space="preserve">3. Термометр биметаллический O80мм 0..120С, L=100 мм, кл. точн. 1.5, IP43 - 1 шт; </v>
      </c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2"/>
      <c r="BY78" s="76"/>
      <c r="BZ78" s="76"/>
      <c r="CA78" s="76"/>
      <c r="CB78" s="76"/>
      <c r="CC78" s="76"/>
      <c r="CD78" s="76"/>
      <c r="CE78" s="76"/>
    </row>
    <row r="79" spans="1:83" ht="13.8" customHeight="1" x14ac:dyDescent="0.25">
      <c r="A79" s="17"/>
      <c r="B79" s="18"/>
      <c r="C79" s="18"/>
      <c r="D79" s="63" t="str">
        <f t="shared" si="0"/>
        <v xml:space="preserve">4. Манометр показывающий ТМ510 0..16бар. 100мм. G1/2. кл. точн. 1.5. IP43 - 4 шт; </v>
      </c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2"/>
      <c r="BY79" s="76"/>
      <c r="BZ79" s="76"/>
      <c r="CA79" s="76"/>
      <c r="CB79" s="76"/>
      <c r="CC79" s="76"/>
      <c r="CD79" s="76"/>
      <c r="CE79" s="76"/>
    </row>
    <row r="80" spans="1:83" ht="13.8" customHeight="1" x14ac:dyDescent="0.25">
      <c r="A80" s="17"/>
      <c r="B80" s="18"/>
      <c r="C80" s="18"/>
      <c r="D80" s="63" t="str">
        <f t="shared" si="0"/>
        <v xml:space="preserve">5. Кран под манометр трехходовой резьбовой G1/2/Py25/Tmax150 - 14 шт; </v>
      </c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2"/>
      <c r="BY80" s="76"/>
      <c r="BZ80" s="76"/>
      <c r="CA80" s="76"/>
      <c r="CB80" s="76"/>
      <c r="CC80" s="76"/>
      <c r="CD80" s="76"/>
      <c r="CE80" s="76"/>
    </row>
    <row r="81" spans="1:83" ht="13.8" customHeight="1" x14ac:dyDescent="0.25">
      <c r="A81" s="17"/>
      <c r="B81" s="18"/>
      <c r="C81" s="18"/>
      <c r="D81" s="63" t="str">
        <f t="shared" si="0"/>
        <v xml:space="preserve">6. Спускник Ду15/Ру40/Тmax180 сталь с/с - 1 шт; </v>
      </c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2"/>
      <c r="BY81" s="76"/>
      <c r="BZ81" s="76"/>
      <c r="CA81" s="76"/>
      <c r="CB81" s="76"/>
      <c r="CC81" s="76"/>
      <c r="CD81" s="76"/>
      <c r="CE81" s="76"/>
    </row>
    <row r="82" spans="1:83" ht="13.8" customHeight="1" x14ac:dyDescent="0.25">
      <c r="A82" s="17"/>
      <c r="B82" s="18"/>
      <c r="C82" s="18"/>
      <c r="D82" s="63" t="str">
        <f t="shared" si="0"/>
        <v xml:space="preserve">7. Манометр показывающий ТМ510 0..10бар. 100мм. G1/2. кл. точн. 1.5. IP43 - 8 шт; </v>
      </c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2"/>
      <c r="BY82" s="76"/>
      <c r="BZ82" s="76"/>
      <c r="CA82" s="76"/>
      <c r="CB82" s="76"/>
      <c r="CC82" s="76"/>
      <c r="CD82" s="76"/>
      <c r="CE82" s="76"/>
    </row>
    <row r="83" spans="1:83" ht="13.8" customHeight="1" x14ac:dyDescent="0.25">
      <c r="A83" s="17"/>
      <c r="B83" s="18"/>
      <c r="C83" s="18"/>
      <c r="D83" s="63" t="str">
        <f t="shared" si="0"/>
        <v xml:space="preserve">8. Термометр биметаллический O80мм 0..120С, L=100 мм, кл. точн. 1.5, IP43 - 3 шт; </v>
      </c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2"/>
      <c r="BY83" s="76"/>
      <c r="BZ83" s="76"/>
      <c r="CA83" s="76"/>
      <c r="CB83" s="76"/>
      <c r="CC83" s="76"/>
      <c r="CD83" s="76"/>
      <c r="CE83" s="76"/>
    </row>
    <row r="84" spans="1:83" ht="13.8" customHeight="1" x14ac:dyDescent="0.25">
      <c r="A84" s="17"/>
      <c r="B84" s="18"/>
      <c r="C84" s="18"/>
      <c r="D84" s="63" t="str">
        <f t="shared" si="0"/>
        <v xml:space="preserve">9. Преобразователь давления MBS1700R. 4-20 мА/0-10 бар - 2 шт; </v>
      </c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2"/>
      <c r="BY84" s="76"/>
      <c r="BZ84" s="76"/>
      <c r="CA84" s="76"/>
      <c r="CB84" s="76"/>
      <c r="CC84" s="76"/>
      <c r="CD84" s="76"/>
      <c r="CE84" s="76"/>
    </row>
    <row r="85" spans="1:83" x14ac:dyDescent="0.25">
      <c r="A85" s="17"/>
      <c r="B85" s="18"/>
      <c r="C85" s="18"/>
      <c r="D85" s="63" t="str">
        <f t="shared" si="0"/>
        <v xml:space="preserve">10. Шаровой кран Ду40/Ру16/Tmax130 латунь р/р - 6 шт; </v>
      </c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2"/>
      <c r="BY85" s="76"/>
      <c r="BZ85" s="76"/>
      <c r="CA85" s="76"/>
      <c r="CB85" s="76"/>
      <c r="CC85" s="76"/>
      <c r="CD85" s="76"/>
      <c r="CE85" s="76"/>
    </row>
    <row r="86" spans="1:83" ht="13.8" customHeight="1" x14ac:dyDescent="0.25">
      <c r="A86" s="17"/>
      <c r="B86" s="18"/>
      <c r="C86" s="18"/>
      <c r="D86" s="63" t="str">
        <f t="shared" si="0"/>
        <v xml:space="preserve">11. Обратный клапан NVD-812R/Dy40/Py40/Tmax240 нерж.сталь м/ф - 1 шт; </v>
      </c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2"/>
      <c r="BY86" s="76"/>
      <c r="BZ86" s="76"/>
      <c r="CA86" s="76"/>
      <c r="CB86" s="76"/>
      <c r="CC86" s="76"/>
      <c r="CD86" s="76"/>
      <c r="CE86" s="76"/>
    </row>
    <row r="87" spans="1:83" ht="13.8" customHeight="1" x14ac:dyDescent="0.25">
      <c r="A87" s="17"/>
      <c r="B87" s="18"/>
      <c r="C87" s="18"/>
      <c r="D87" s="63" t="str">
        <f t="shared" si="0"/>
        <v>12. Датчик температуры погружной с гильзой из нерж. стали, L=100 мм, Pt1000, T=-50...+200°С, G1/2", IP65 - 2 шт;</v>
      </c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2"/>
      <c r="BY87" s="76"/>
      <c r="BZ87" s="76"/>
      <c r="CA87" s="76"/>
      <c r="CB87" s="76"/>
      <c r="CC87" s="76"/>
      <c r="CD87" s="76"/>
      <c r="CE87" s="76"/>
    </row>
    <row r="88" spans="1:83" ht="13.8" customHeight="1" x14ac:dyDescent="0.25">
      <c r="A88" s="17"/>
      <c r="B88" s="18"/>
      <c r="C88" s="18"/>
      <c r="D88" s="63" t="str">
        <f t="shared" si="0"/>
        <v xml:space="preserve">13. Обратный клапан NRV-R EF/Dy40/Py18/Tmax110 латунь р/р - 2 шт; </v>
      </c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2"/>
      <c r="BY88" s="76"/>
      <c r="BZ88" s="76"/>
      <c r="CA88" s="76"/>
      <c r="CB88" s="76"/>
      <c r="CC88" s="76"/>
      <c r="CD88" s="76"/>
      <c r="CE88" s="76"/>
    </row>
    <row r="89" spans="1:83" ht="13.8" customHeight="1" x14ac:dyDescent="0.25">
      <c r="A89" s="17"/>
      <c r="B89" s="18"/>
      <c r="C89" s="18"/>
      <c r="D89" s="63" t="str">
        <f t="shared" si="0"/>
        <v xml:space="preserve">14. Спускник Ду15/Ру16/Tmax130 латунь р/р - 2 шт; 15. Вибровставка ZKV EPDM PN16 DN32 - 4 шт; </v>
      </c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2"/>
      <c r="BY89" s="76"/>
      <c r="BZ89" s="76"/>
      <c r="CA89" s="76"/>
      <c r="CB89" s="76"/>
      <c r="CC89" s="76"/>
      <c r="CD89" s="76"/>
      <c r="CE89" s="76"/>
    </row>
    <row r="90" spans="1:83" ht="13.8" customHeight="1" x14ac:dyDescent="0.25">
      <c r="A90" s="17"/>
      <c r="B90" s="18"/>
      <c r="C90" s="18"/>
      <c r="D90" s="63" t="str">
        <f t="shared" si="0"/>
        <v>16. Насос RMV 5-2F - 2 шт; 17. Прессостат KPI 35R, диап. настр. давл. -0,2-7,5 бар, PN17, Tmax=120°C, G1/2", IP44 - 1 шт;</v>
      </c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2"/>
      <c r="BY90" s="76"/>
      <c r="BZ90" s="76"/>
      <c r="CA90" s="76"/>
      <c r="CB90" s="76"/>
      <c r="CC90" s="76"/>
      <c r="CD90" s="76"/>
      <c r="CE90" s="76"/>
    </row>
    <row r="91" spans="1:83" ht="13.8" customHeight="1" x14ac:dyDescent="0.25">
      <c r="A91" s="17"/>
      <c r="B91" s="18"/>
      <c r="C91" s="18"/>
      <c r="D91" s="63" t="str">
        <f t="shared" si="0"/>
        <v xml:space="preserve">18. Шаровой кран трехходовой резьбовой G1/2/Py25/Tmax150 - 1 шт; </v>
      </c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2"/>
      <c r="BY91" s="76"/>
      <c r="BZ91" s="76"/>
      <c r="CA91" s="76"/>
      <c r="CB91" s="76"/>
      <c r="CC91" s="76"/>
      <c r="CD91" s="76"/>
      <c r="CE91" s="76"/>
    </row>
    <row r="92" spans="1:83" ht="13.8" customHeight="1" x14ac:dyDescent="0.25">
      <c r="A92" s="17"/>
      <c r="B92" s="18"/>
      <c r="C92" s="18"/>
      <c r="D92" s="63" t="str">
        <f t="shared" si="0"/>
        <v xml:space="preserve">19. Предохранительный клапан 1/2" OR 1832.015 - 1 шт; </v>
      </c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2"/>
      <c r="BY92" s="76"/>
      <c r="BZ92" s="76"/>
      <c r="CA92" s="76"/>
      <c r="CB92" s="76"/>
      <c r="CC92" s="76"/>
      <c r="CD92" s="76"/>
      <c r="CE92" s="76"/>
    </row>
    <row r="93" spans="1:83" ht="13.8" customHeight="1" x14ac:dyDescent="0.25">
      <c r="A93" s="17"/>
      <c r="B93" s="18"/>
      <c r="C93" s="18"/>
      <c r="D93" s="63" t="str">
        <f t="shared" si="0"/>
        <v xml:space="preserve">20. Спускник Ду25/Ру16/Tmax130 латунь р/р - 2 шт; 21. Фильтр FVR-R/Dy40/Py25/Tmax130 латунь р/р - 1 шт; </v>
      </c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2"/>
      <c r="BY93" s="76"/>
      <c r="BZ93" s="76"/>
      <c r="CA93" s="76"/>
      <c r="CB93" s="76"/>
      <c r="CC93" s="76"/>
      <c r="CD93" s="76"/>
      <c r="CE93" s="76"/>
    </row>
    <row r="94" spans="1:83" ht="13.8" customHeight="1" x14ac:dyDescent="0.25">
      <c r="A94" s="17"/>
      <c r="B94" s="18"/>
      <c r="C94" s="18"/>
      <c r="D94" s="63" t="str">
        <f t="shared" si="0"/>
        <v xml:space="preserve">22. Шаровой кран RJIP Standard WW/Ду32/Ру16/Тmax150 сталь с/с - 1 шт; </v>
      </c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2"/>
      <c r="BY94" s="76"/>
      <c r="BZ94" s="76"/>
      <c r="CA94" s="76"/>
      <c r="CB94" s="76"/>
      <c r="CC94" s="76"/>
      <c r="CD94" s="76"/>
      <c r="CE94" s="76"/>
    </row>
    <row r="95" spans="1:83" ht="13.8" customHeight="1" x14ac:dyDescent="0.25">
      <c r="A95" s="17"/>
      <c r="B95" s="18"/>
      <c r="C95" s="18"/>
      <c r="D95" s="63" t="str">
        <f t="shared" si="0"/>
        <v>23. Балансировочный клапан MVT-R/Dy25/Kvs8.03/PN16/Tmax120 р/р - 1 шт;</v>
      </c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2"/>
      <c r="BY95" s="76"/>
      <c r="BZ95" s="76"/>
      <c r="CA95" s="76"/>
      <c r="CB95" s="76"/>
      <c r="CC95" s="76"/>
      <c r="CD95" s="76"/>
      <c r="CE95" s="76"/>
    </row>
    <row r="96" spans="1:83" ht="13.8" customHeight="1" x14ac:dyDescent="0.25">
      <c r="A96" s="17"/>
      <c r="B96" s="18"/>
      <c r="C96" s="18"/>
      <c r="D96" s="63" t="str">
        <f t="shared" si="0"/>
        <v xml:space="preserve">24. Регулятор перепада давлений VFG-2R/Dy15/Kvs4/Tmax150/Pmax16 сталь ф/ф - 1 шт; </v>
      </c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2"/>
      <c r="BY96" s="76"/>
      <c r="BZ96" s="76"/>
      <c r="CA96" s="76"/>
      <c r="CB96" s="76"/>
      <c r="CC96" s="76"/>
      <c r="CD96" s="76"/>
      <c r="CE96" s="76"/>
    </row>
    <row r="97" spans="1:83" ht="13.8" customHeight="1" x14ac:dyDescent="0.25">
      <c r="A97" s="17"/>
      <c r="B97" s="18"/>
      <c r="C97" s="18"/>
      <c r="D97" s="63" t="str">
        <f t="shared" si="0"/>
        <v xml:space="preserve">25. Регулирующий блок AFP-R 0,15-1,50 - 1 шт; 26. Трубная обвязка элементов блока - 1 шт; </v>
      </c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2"/>
      <c r="BY97" s="76"/>
      <c r="BZ97" s="76"/>
      <c r="CA97" s="76"/>
      <c r="CB97" s="76"/>
      <c r="CC97" s="76"/>
      <c r="CD97" s="76"/>
      <c r="CE97" s="76"/>
    </row>
    <row r="98" spans="1:83" ht="13.8" customHeight="1" x14ac:dyDescent="0.25">
      <c r="A98" s="17"/>
      <c r="B98" s="18"/>
      <c r="C98" s="18"/>
      <c r="D98" s="63" t="str">
        <f t="shared" ref="D98" si="1">A66</f>
        <v>27. Наклейка для шильдика БТП - 1 шт; 28. Шаровой кран ДУ15/Ру40/Tmax180 сталь с/с - 2 шт.</v>
      </c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2"/>
      <c r="BY98" s="76"/>
      <c r="BZ98" s="76"/>
      <c r="CA98" s="76"/>
      <c r="CB98" s="76"/>
      <c r="CC98" s="76"/>
      <c r="CD98" s="76"/>
      <c r="CE98" s="76"/>
    </row>
    <row r="99" spans="1:83" ht="13.8" customHeight="1" x14ac:dyDescent="0.25">
      <c r="A99" s="75" t="s">
        <v>25</v>
      </c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Y99" s="76"/>
      <c r="BZ99" s="76"/>
      <c r="CA99" s="76"/>
      <c r="CB99" s="76"/>
      <c r="CC99" s="76"/>
      <c r="CD99" s="76"/>
      <c r="CE99" s="76"/>
    </row>
    <row r="100" spans="1:83" ht="13.8" customHeight="1" x14ac:dyDescent="0.25">
      <c r="A100" s="8" t="s">
        <v>26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55"/>
      <c r="Y100" s="84" t="s">
        <v>105</v>
      </c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54"/>
      <c r="BY100" s="76"/>
      <c r="BZ100" s="76"/>
      <c r="CA100" s="76"/>
      <c r="CB100" s="76"/>
      <c r="CC100" s="76"/>
      <c r="CD100" s="76"/>
      <c r="CE100" s="76"/>
    </row>
    <row r="101" spans="1: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9"/>
      <c r="Y101" s="70" t="s">
        <v>27</v>
      </c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Y101" s="76"/>
      <c r="BZ101" s="76"/>
      <c r="CA101" s="76"/>
      <c r="CB101" s="76"/>
      <c r="CC101" s="76"/>
      <c r="CD101" s="76"/>
      <c r="CE101" s="76"/>
    </row>
    <row r="102" spans="1:83" x14ac:dyDescent="0.25">
      <c r="A102" s="8" t="s">
        <v>28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7"/>
      <c r="AG102" s="7"/>
      <c r="AH102" s="7"/>
      <c r="AI102" s="7"/>
      <c r="AJ102" s="104" t="s">
        <v>29</v>
      </c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5" t="s">
        <v>70</v>
      </c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</row>
    <row r="103" spans="1:83" x14ac:dyDescent="0.25">
      <c r="A103" s="10" t="s">
        <v>30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52"/>
      <c r="O103" s="52"/>
      <c r="P103" s="52"/>
      <c r="Q103" s="106" t="str">
        <f>U68</f>
        <v>ПП2020РД-1.2-61.17-ИТП; ПП2020РД-1.2-61.17-ИТП.СО; изм.4; л. 5-8</v>
      </c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</row>
    <row r="104" spans="1:83" x14ac:dyDescent="0.25">
      <c r="A104" s="8"/>
      <c r="B104" s="8"/>
      <c r="C104" s="8"/>
      <c r="D104" s="10" t="s">
        <v>31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0"/>
      <c r="X104" s="8"/>
      <c r="Y104" s="30"/>
      <c r="Z104" s="30"/>
      <c r="AA104" s="74" t="str">
        <f>AK73</f>
        <v>Паспорт б/н (АУУ/HS23L-1898) от октября 2023.</v>
      </c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</row>
    <row r="105" spans="1:83" ht="10.8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100" t="s">
        <v>32</v>
      </c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Y105" t="s">
        <v>82</v>
      </c>
    </row>
    <row r="106" spans="1:83" x14ac:dyDescent="0.25">
      <c r="A106" s="8" t="s">
        <v>33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22"/>
    </row>
    <row r="107" spans="1:83" x14ac:dyDescent="0.25">
      <c r="A107" s="31"/>
      <c r="B107" s="8"/>
      <c r="C107" s="8"/>
      <c r="D107" s="8" t="s">
        <v>34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7"/>
      <c r="X107" s="7"/>
      <c r="Y107" s="7"/>
      <c r="Z107" s="7"/>
      <c r="AA107" s="31"/>
      <c r="AB107" s="7"/>
      <c r="AC107" s="31"/>
      <c r="AD107" s="101" t="s">
        <v>35</v>
      </c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</row>
    <row r="108" spans="1:83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103" t="s">
        <v>36</v>
      </c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3"/>
      <c r="BN108" s="103"/>
      <c r="BO108" s="103"/>
      <c r="BP108" s="103"/>
      <c r="BQ108" s="103"/>
      <c r="BR108" s="103"/>
      <c r="BS108" s="103"/>
      <c r="BT108" s="103"/>
    </row>
    <row r="109" spans="1:83" x14ac:dyDescent="0.25">
      <c r="A109" s="10" t="s">
        <v>37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26"/>
      <c r="W109" s="32"/>
      <c r="X109" s="27"/>
      <c r="Y109" s="99" t="str">
        <f>U68</f>
        <v>ПП2020РД-1.2-61.17-ИТП; ПП2020РД-1.2-61.17-ИТП.СО; изм.4; л. 5-8</v>
      </c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</row>
    <row r="110" spans="1:83" x14ac:dyDescent="0.25">
      <c r="A110" s="8" t="s">
        <v>38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31"/>
      <c r="M110" s="23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</row>
    <row r="111" spans="1:83" ht="40.799999999999997" customHeight="1" x14ac:dyDescent="0.25">
      <c r="A111" s="8" t="s">
        <v>39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12"/>
    </row>
    <row r="112" spans="1:83" x14ac:dyDescent="0.25">
      <c r="A112" s="8" t="s">
        <v>12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67" t="str">
        <f>BJ36</f>
        <v>Кострова Н.Л.</v>
      </c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8"/>
      <c r="AP112" s="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8"/>
      <c r="BG112" s="8"/>
      <c r="BH112" s="69">
        <f>AE34</f>
        <v>45244</v>
      </c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12"/>
    </row>
    <row r="113" spans="1:77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70" t="s">
        <v>59</v>
      </c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28"/>
      <c r="AP113" s="28"/>
      <c r="AQ113" s="70" t="s">
        <v>40</v>
      </c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28"/>
      <c r="BG113" s="28"/>
      <c r="BH113" s="70" t="s">
        <v>41</v>
      </c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24"/>
    </row>
    <row r="114" spans="1:77" ht="35.4" customHeight="1" x14ac:dyDescent="0.25">
      <c r="A114" s="8" t="s">
        <v>42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12"/>
      <c r="BY114" t="s">
        <v>83</v>
      </c>
    </row>
    <row r="115" spans="1:77" x14ac:dyDescent="0.25">
      <c r="A115" s="8" t="s">
        <v>43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67" t="str">
        <f>BJ38</f>
        <v>Халыгов Э. А.</v>
      </c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8"/>
      <c r="AP115" s="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8"/>
      <c r="BG115" s="8"/>
      <c r="BH115" s="69">
        <f>BH112</f>
        <v>45244</v>
      </c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12"/>
    </row>
    <row r="116" spans="1:77" ht="16.2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70" t="s">
        <v>59</v>
      </c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28"/>
      <c r="AP116" s="28"/>
      <c r="AQ116" s="70" t="s">
        <v>40</v>
      </c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28"/>
      <c r="BG116" s="28"/>
      <c r="BH116" s="70" t="s">
        <v>41</v>
      </c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12"/>
      <c r="BY116" t="s">
        <v>84</v>
      </c>
    </row>
    <row r="117" spans="1:77" ht="40.200000000000003" customHeight="1" x14ac:dyDescent="0.25">
      <c r="A117" s="8" t="s">
        <v>39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12"/>
      <c r="BY117" t="s">
        <v>85</v>
      </c>
    </row>
    <row r="118" spans="1:77" x14ac:dyDescent="0.25">
      <c r="A118" s="8" t="s">
        <v>44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71" t="str">
        <f>BJ40</f>
        <v>Тюкин Е.В.</v>
      </c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8"/>
      <c r="AP118" s="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8"/>
      <c r="BG118" s="8"/>
      <c r="BH118" s="69">
        <f>BH112</f>
        <v>45244</v>
      </c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12"/>
    </row>
    <row r="119" spans="1:77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70" t="s">
        <v>59</v>
      </c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28"/>
      <c r="AP119" s="28"/>
      <c r="AQ119" s="70" t="s">
        <v>40</v>
      </c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28"/>
      <c r="BG119" s="28"/>
      <c r="BH119" s="70" t="s">
        <v>41</v>
      </c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12"/>
    </row>
    <row r="120" spans="1:77" ht="3.6" customHeight="1" x14ac:dyDescent="0.25">
      <c r="A120" s="13"/>
      <c r="B120" s="13"/>
      <c r="C120" s="13"/>
      <c r="D120" s="7"/>
      <c r="E120" s="7"/>
      <c r="F120" s="7"/>
      <c r="G120" s="7"/>
      <c r="H120" s="7"/>
      <c r="I120" s="7"/>
      <c r="J120" s="7"/>
      <c r="K120" s="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12"/>
    </row>
    <row r="121" spans="1:77" x14ac:dyDescent="0.25">
      <c r="A121" s="72" t="s">
        <v>104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13"/>
      <c r="AN121" s="13"/>
      <c r="AO121" s="8"/>
      <c r="AP121" s="8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8"/>
      <c r="BG121" s="8"/>
      <c r="BH121" s="66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12"/>
    </row>
    <row r="122" spans="1:77" ht="16.8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10"/>
      <c r="AN122" s="10"/>
      <c r="AO122" s="8"/>
      <c r="AP122" s="8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8"/>
      <c r="BG122" s="8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12"/>
    </row>
    <row r="123" spans="1:77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12"/>
    </row>
    <row r="125" spans="1:77" ht="13.8" customHeight="1" x14ac:dyDescent="0.25"/>
    <row r="128" spans="1:77" ht="13.8" customHeight="1" x14ac:dyDescent="0.25"/>
  </sheetData>
  <mergeCells count="137">
    <mergeCell ref="Y109:BT109"/>
    <mergeCell ref="V105:BT105"/>
    <mergeCell ref="AD107:BT107"/>
    <mergeCell ref="N110:BT110"/>
    <mergeCell ref="J108:BT108"/>
    <mergeCell ref="AJ102:AS102"/>
    <mergeCell ref="AT102:BT102"/>
    <mergeCell ref="Q103:BT103"/>
    <mergeCell ref="S40:BI40"/>
    <mergeCell ref="BJ40:BT40"/>
    <mergeCell ref="T41:BJ41"/>
    <mergeCell ref="O42:BP42"/>
    <mergeCell ref="A44:BT44"/>
    <mergeCell ref="E43:BT43"/>
    <mergeCell ref="A46:BS46"/>
    <mergeCell ref="A47:BS47"/>
    <mergeCell ref="A48:BS48"/>
    <mergeCell ref="AF9:AW9"/>
    <mergeCell ref="A10:BT10"/>
    <mergeCell ref="A12:BT12"/>
    <mergeCell ref="AE34:AT34"/>
    <mergeCell ref="T37:BJ37"/>
    <mergeCell ref="S36:BI36"/>
    <mergeCell ref="BJ36:BT36"/>
    <mergeCell ref="A33:BT33"/>
    <mergeCell ref="A13:BS13"/>
    <mergeCell ref="A14:BS14"/>
    <mergeCell ref="A15:BS15"/>
    <mergeCell ref="A16:BS16"/>
    <mergeCell ref="A17:BS17"/>
    <mergeCell ref="A18:BS18"/>
    <mergeCell ref="A19:BS19"/>
    <mergeCell ref="A20:BS20"/>
    <mergeCell ref="A21:BS21"/>
    <mergeCell ref="A22:BS2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BY43:CE44"/>
    <mergeCell ref="BY68:CD68"/>
    <mergeCell ref="BY72:CE101"/>
    <mergeCell ref="D76:BT76"/>
    <mergeCell ref="A71:BT71"/>
    <mergeCell ref="AK73:BT73"/>
    <mergeCell ref="A74:BT74"/>
    <mergeCell ref="A75:BT75"/>
    <mergeCell ref="U68:BT68"/>
    <mergeCell ref="P69:BT69"/>
    <mergeCell ref="U70:BT70"/>
    <mergeCell ref="Y100:BT100"/>
    <mergeCell ref="Y101:BT101"/>
    <mergeCell ref="AK72:BT72"/>
    <mergeCell ref="A45:BS45"/>
    <mergeCell ref="D77:BS77"/>
    <mergeCell ref="A58:BS58"/>
    <mergeCell ref="A59:BS59"/>
    <mergeCell ref="A60:BS60"/>
    <mergeCell ref="A61:BS61"/>
    <mergeCell ref="A62:BS62"/>
    <mergeCell ref="D98:BS98"/>
    <mergeCell ref="D94:BS94"/>
    <mergeCell ref="A49:BS49"/>
    <mergeCell ref="AA104:BT104"/>
    <mergeCell ref="A23:BS23"/>
    <mergeCell ref="A24:BS24"/>
    <mergeCell ref="A25:BS25"/>
    <mergeCell ref="A26:BS26"/>
    <mergeCell ref="A27:BS27"/>
    <mergeCell ref="A99:BT99"/>
    <mergeCell ref="A52:BS52"/>
    <mergeCell ref="A53:BS53"/>
    <mergeCell ref="A55:BS55"/>
    <mergeCell ref="A56:BS56"/>
    <mergeCell ref="A57:BS57"/>
    <mergeCell ref="A28:BS28"/>
    <mergeCell ref="A29:BS29"/>
    <mergeCell ref="A30:BS30"/>
    <mergeCell ref="A31:BS31"/>
    <mergeCell ref="A32:BS32"/>
    <mergeCell ref="A64:BS64"/>
    <mergeCell ref="A65:BS65"/>
    <mergeCell ref="A66:BS66"/>
    <mergeCell ref="S38:BI38"/>
    <mergeCell ref="BJ38:BT38"/>
    <mergeCell ref="T39:BJ39"/>
    <mergeCell ref="AQ121:BE121"/>
    <mergeCell ref="BH121:BS121"/>
    <mergeCell ref="X112:AN112"/>
    <mergeCell ref="AQ112:BE112"/>
    <mergeCell ref="BH112:BS112"/>
    <mergeCell ref="AQ116:BE116"/>
    <mergeCell ref="BH116:BS116"/>
    <mergeCell ref="X115:AN115"/>
    <mergeCell ref="AQ115:BE115"/>
    <mergeCell ref="BH115:BS115"/>
    <mergeCell ref="A121:AL123"/>
    <mergeCell ref="X119:AN119"/>
    <mergeCell ref="AQ119:BE119"/>
    <mergeCell ref="X113:AN113"/>
    <mergeCell ref="AQ113:BE113"/>
    <mergeCell ref="BH113:BS113"/>
    <mergeCell ref="AQ122:BE122"/>
    <mergeCell ref="BH122:BS122"/>
    <mergeCell ref="X118:AN118"/>
    <mergeCell ref="AQ118:BE118"/>
    <mergeCell ref="BH118:BS118"/>
    <mergeCell ref="BH119:BS119"/>
    <mergeCell ref="X116:AN116"/>
    <mergeCell ref="D95:BS95"/>
    <mergeCell ref="D96:BS96"/>
    <mergeCell ref="D97:BS97"/>
    <mergeCell ref="A50:BS50"/>
    <mergeCell ref="D85:BS85"/>
    <mergeCell ref="A54:BS54"/>
    <mergeCell ref="D89:BS89"/>
    <mergeCell ref="D90:BS90"/>
    <mergeCell ref="D91:BS91"/>
    <mergeCell ref="D92:BS92"/>
    <mergeCell ref="D93:BS93"/>
    <mergeCell ref="D83:BS83"/>
    <mergeCell ref="D84:BS84"/>
    <mergeCell ref="D86:BS86"/>
    <mergeCell ref="D87:BS87"/>
    <mergeCell ref="D88:BS88"/>
    <mergeCell ref="D78:BS78"/>
    <mergeCell ref="D79:BS79"/>
    <mergeCell ref="D80:BS80"/>
    <mergeCell ref="D81:BS81"/>
    <mergeCell ref="D82:BS82"/>
    <mergeCell ref="A63:BS63"/>
    <mergeCell ref="A51:BS51"/>
  </mergeCells>
  <phoneticPr fontId="21" type="noConversion"/>
  <dataValidations count="4">
    <dataValidation type="list" errorStyle="information" allowBlank="1" showInputMessage="1" sqref="O42:BP42" xr:uid="{00000000-0002-0000-0000-000000000000}">
      <formula1>"выборочный,сплошной"</formula1>
    </dataValidation>
    <dataValidation type="list" allowBlank="1" showInputMessage="1" showErrorMessage="1" sqref="N42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0" fitToHeight="2" orientation="portrait" blackAndWhite="1" r:id="rId1"/>
  <rowBreaks count="1" manualBreakCount="1">
    <brk id="69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BJ40:BT40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BJ38:BT38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BJ36:BT36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T68:U68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S70:U70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3" customWidth="1"/>
    <col min="2" max="2" width="21.6640625" style="33" customWidth="1"/>
    <col min="3" max="3" width="49.77734375" style="33" customWidth="1"/>
    <col min="4" max="5" width="10.109375" style="33" customWidth="1"/>
    <col min="6" max="6" width="44.77734375" style="33" customWidth="1"/>
    <col min="7" max="16384" width="8.88671875" style="33"/>
  </cols>
  <sheetData>
    <row r="2" spans="1:6" ht="29.4" customHeight="1" x14ac:dyDescent="0.25">
      <c r="A2" s="39" t="s">
        <v>10</v>
      </c>
      <c r="B2" s="40" t="s">
        <v>74</v>
      </c>
      <c r="C2" s="40" t="s">
        <v>73</v>
      </c>
      <c r="D2" s="38" t="s">
        <v>71</v>
      </c>
      <c r="E2" s="38" t="s">
        <v>72</v>
      </c>
    </row>
    <row r="3" spans="1:6" x14ac:dyDescent="0.25">
      <c r="A3" s="34" t="s">
        <v>12</v>
      </c>
      <c r="B3" s="50" t="s">
        <v>106</v>
      </c>
      <c r="C3" s="59" t="s">
        <v>107</v>
      </c>
      <c r="D3" s="36">
        <v>44927</v>
      </c>
      <c r="E3" s="36">
        <v>45337</v>
      </c>
    </row>
    <row r="4" spans="1:6" x14ac:dyDescent="0.25">
      <c r="A4" s="34" t="s">
        <v>12</v>
      </c>
      <c r="B4" s="33" t="s">
        <v>75</v>
      </c>
      <c r="C4" s="42" t="s">
        <v>76</v>
      </c>
      <c r="D4" s="36">
        <v>45337</v>
      </c>
      <c r="E4" s="36">
        <v>45657</v>
      </c>
    </row>
    <row r="5" spans="1:6" x14ac:dyDescent="0.25">
      <c r="A5" s="34" t="s">
        <v>14</v>
      </c>
      <c r="B5" s="33" t="s">
        <v>66</v>
      </c>
      <c r="C5" s="35" t="s">
        <v>65</v>
      </c>
      <c r="D5" s="36">
        <v>45166</v>
      </c>
      <c r="E5" s="36">
        <v>45657</v>
      </c>
    </row>
    <row r="6" spans="1:6" x14ac:dyDescent="0.25">
      <c r="A6" s="34" t="s">
        <v>14</v>
      </c>
      <c r="B6" s="33" t="s">
        <v>78</v>
      </c>
      <c r="C6" s="35" t="s">
        <v>77</v>
      </c>
      <c r="D6" s="36">
        <v>44927</v>
      </c>
      <c r="E6" s="36">
        <v>45166</v>
      </c>
    </row>
    <row r="7" spans="1:6" ht="27.6" x14ac:dyDescent="0.25">
      <c r="A7" s="34" t="s">
        <v>14</v>
      </c>
      <c r="B7" s="45" t="s">
        <v>89</v>
      </c>
      <c r="C7" s="35" t="s">
        <v>65</v>
      </c>
      <c r="D7" s="36">
        <v>45278</v>
      </c>
      <c r="E7" s="36">
        <v>45342</v>
      </c>
      <c r="F7" s="44" t="s">
        <v>90</v>
      </c>
    </row>
    <row r="8" spans="1:6" ht="55.2" x14ac:dyDescent="0.25">
      <c r="A8" s="46" t="s">
        <v>15</v>
      </c>
      <c r="B8" s="47" t="s">
        <v>64</v>
      </c>
      <c r="C8" s="48" t="s">
        <v>63</v>
      </c>
      <c r="D8" s="49">
        <v>44927</v>
      </c>
      <c r="E8" s="49">
        <v>45657</v>
      </c>
    </row>
    <row r="9" spans="1:6" ht="55.2" x14ac:dyDescent="0.25">
      <c r="A9" s="37" t="s">
        <v>15</v>
      </c>
      <c r="B9" s="33" t="s">
        <v>88</v>
      </c>
      <c r="C9" s="43" t="s">
        <v>87</v>
      </c>
      <c r="F9" s="50" t="s">
        <v>91</v>
      </c>
    </row>
    <row r="11" spans="1:6" x14ac:dyDescent="0.25">
      <c r="A11" s="34"/>
    </row>
    <row r="12" spans="1:6" x14ac:dyDescent="0.25">
      <c r="A1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2025-11-26T07:56:53Z</cp:lastPrinted>
  <dcterms:created xsi:type="dcterms:W3CDTF">2023-09-19T09:44:50Z</dcterms:created>
  <dcterms:modified xsi:type="dcterms:W3CDTF">2025-11-26T08:04:54Z</dcterms:modified>
</cp:coreProperties>
</file>