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E0D17632-974D-461E-883C-6C72998CA4B3}" xr6:coauthVersionLast="47" xr6:coauthVersionMax="47" xr10:uidLastSave="{00000000-0000-0000-0000-000000000000}"/>
  <bookViews>
    <workbookView xWindow="2688" yWindow="744" windowWidth="11544" windowHeight="1221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3" i="18" l="1"/>
  <c r="A44" i="18" l="1"/>
  <c r="D36" i="18"/>
  <c r="AA42" i="18" l="1"/>
  <c r="Q41" i="18" l="1"/>
  <c r="BW15" i="18" l="1"/>
  <c r="S20" i="18" l="1"/>
  <c r="S18" i="18"/>
  <c r="S16" i="18"/>
  <c r="X59" i="18" l="1"/>
  <c r="X56" i="18"/>
  <c r="BH53" i="18"/>
  <c r="BH59" i="18" s="1"/>
  <c r="X53" i="18"/>
  <c r="Y49" i="18"/>
  <c r="BH56" i="18" l="1"/>
</calcChain>
</file>

<file path=xl/sharedStrings.xml><?xml version="1.0" encoding="utf-8"?>
<sst xmlns="http://schemas.openxmlformats.org/spreadsheetml/2006/main" count="139" uniqueCount="116">
  <si>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</si>
  <si>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</si>
  <si>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</si>
  <si>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</si>
  <si>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</si>
  <si>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</si>
  <si>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</si>
  <si>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</si>
  <si>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</si>
  <si>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</si>
  <si>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</si>
  <si>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</si>
  <si>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</si>
  <si>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</si>
  <si>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</si>
  <si>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</si>
  <si>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</si>
  <si>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</si>
  <si>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</si>
  <si>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</si>
  <si>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</si>
  <si>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</si>
  <si>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</si>
  <si>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</si>
  <si>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</si>
  <si>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</si>
  <si>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</si>
  <si>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</si>
  <si>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</si>
  <si>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</si>
  <si>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</si>
  <si>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</si>
  <si>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</si>
  <si>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</si>
  <si>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</si>
  <si>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</si>
  <si>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</si>
  <si>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</si>
  <si>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</si>
  <si>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</si>
  <si>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</si>
  <si>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</si>
  <si>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</si>
  <si>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</si>
  <si>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</si>
  <si>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</si>
  <si>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</si>
  <si>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</si>
  <si>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</si>
  <si>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</si>
  <si>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</si>
  <si>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</si>
  <si>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</si>
  <si>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</si>
  <si>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</si>
  <si>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</si>
  <si>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</si>
  <si>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</si>
  <si>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</si>
  <si>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</si>
  <si>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</si>
  <si>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</si>
  <si>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</si>
  <si>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</si>
  <si>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</si>
  <si>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</si>
  <si>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</si>
  <si>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</si>
  <si>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</si>
  <si>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</si>
  <si>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</si>
  <si>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</si>
  <si>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</si>
  <si>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</si>
  <si>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</si>
  <si>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</si>
  <si>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</si>
  <si>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</si>
  <si>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</si>
  <si>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</si>
  <si>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</si>
  <si>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</si>
  <si>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</si>
  <si>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</si>
  <si>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</si>
  <si>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</si>
  <si>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</si>
  <si>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</si>
  <si>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</si>
  <si>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</si>
  <si>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</si>
  <si>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</si>
  <si>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</si>
  <si>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</si>
  <si>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</si>
  <si>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</si>
  <si>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</si>
  <si>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</si>
  <si>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</si>
  <si>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</si>
  <si>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</si>
  <si>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</si>
  <si>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</si>
  <si>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</si>
  <si>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</si>
  <si>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Кремне-органическая краска КО 81-01 Тм150С</t>
  </si>
  <si>
    <t>-</t>
  </si>
  <si>
    <t>ТУ 2312-237-05763441-98</t>
  </si>
  <si>
    <t>Кострова Н.Л.</t>
  </si>
  <si>
    <t>Руководитель группы МТО АО «Газстройпроект»</t>
  </si>
  <si>
    <t>Термостойкая эмаль КО-8101 - 20 л</t>
  </si>
  <si>
    <t>АИР 1.2-61.17-ИТП/1э</t>
  </si>
  <si>
    <t>ПП2020РД-1.2-61.17-ИТП; ПП2020РД-1.2-61.17-ИТП.СО изм. 4, лист 11</t>
  </si>
  <si>
    <t>Паспорт качества№ 1180 от 18.09.2023,</t>
  </si>
  <si>
    <t xml:space="preserve">декларация о соответствии № РОСС RU Д-RU.PA01.B.12495/22 с 12.04.2022 по 06.04.2027, </t>
  </si>
  <si>
    <t>свидетельство о государственной регистрации №RU.77.01.34.008.E.000842.03.14 от 18.03.2014.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</si>
</sst>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09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2" fillId="2" borderId="0" xfId="1" applyFont="1" applyFill="1" applyAlignment="1">
      <alignment horizontal="center" vertical="top"/>
    </xf>
    <xf numFmtId="0" fontId="14" fillId="4" borderId="2" xfId="1" applyFont="1" applyFill="1" applyBorder="1" applyAlignment="1">
      <alignment horizontal="left"/>
    </xf>
    <xf numFmtId="0" fontId="14" fillId="3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4" fillId="4" borderId="3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14" fontId="14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wrapText="1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3" fillId="2" borderId="0" xfId="1" applyFont="1" applyFill="1" applyAlignment="1">
      <alignment horizontal="left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14" fontId="14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14" fontId="14" fillId="4" borderId="1" xfId="1" applyNumberFormat="1" applyFont="1" applyFill="1" applyBorder="1" applyAlignment="1">
      <alignment horizontal="left" vertical="center" wrapText="1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0" xfId="1" applyFont="1" applyFill="1" applyAlignment="1">
      <alignment vertical="top"/>
    </xf>
    <xf numFmtId="0" fontId="16" fillId="2" borderId="2" xfId="1" applyFont="1" applyFill="1" applyBorder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11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0" fontId="14" fillId="3" borderId="3" xfId="1" applyFont="1" applyFill="1" applyBorder="1" applyAlignment="1">
      <alignment horizontal="left"/>
    </xf>
    <xf numFmtId="0" fontId="14" fillId="2" borderId="0" xfId="1" applyFont="1" applyFill="1" applyAlignment="1">
      <alignment horizontal="left" vertical="top" wrapText="1"/>
    </xf>
    <xf numFmtId="0" fontId="16" fillId="2" borderId="0" xfId="1" applyFont="1" applyFill="1" applyAlignment="1">
      <alignment horizontal="center" vertical="center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25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28</xdr:row>
      <xdr:rowOff>0</xdr:rowOff>
    </xdr:from>
    <xdr:to>
      <xdr:col>75</xdr:col>
      <xdr:colOff>521970</xdr:colOff>
      <xdr:row>33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44</xdr:row>
      <xdr:rowOff>0</xdr:rowOff>
    </xdr:from>
    <xdr:to>
      <xdr:col>75</xdr:col>
      <xdr:colOff>521970</xdr:colOff>
      <xdr:row>44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54</xdr:row>
      <xdr:rowOff>0</xdr:rowOff>
    </xdr:from>
    <xdr:to>
      <xdr:col>75</xdr:col>
      <xdr:colOff>521970</xdr:colOff>
      <xdr:row>56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69"/>
  <sheetViews>
    <sheetView tabSelected="1" view="pageBreakPreview" zoomScaleNormal="100" zoomScaleSheetLayoutView="100" workbookViewId="0">
      <selection activeCell="U28" sqref="U28:BT28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75" t="s">
        <v>4</v>
      </c>
      <c r="B3" s="75"/>
      <c r="C3" s="75"/>
      <c r="D3" s="75"/>
      <c r="E3" s="75"/>
      <c r="F3" s="76" t="s">
        <v>5</v>
      </c>
      <c r="G3" s="76"/>
      <c r="H3" s="76"/>
      <c r="I3" s="72" t="s">
        <v>6</v>
      </c>
      <c r="J3" s="72"/>
      <c r="K3" s="7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75"/>
      <c r="B6" s="75"/>
      <c r="C6" s="75"/>
      <c r="D6" s="75"/>
      <c r="E6" s="75"/>
      <c r="F6" s="76"/>
      <c r="G6" s="76"/>
      <c r="H6" s="76"/>
      <c r="I6" s="72"/>
      <c r="J6" s="72"/>
      <c r="K6" s="72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0" t="s">
        <v>61</v>
      </c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</row>
    <row r="7" spans="1:75" x14ac:dyDescent="0.25">
      <c r="A7" s="8"/>
      <c r="B7" s="8"/>
      <c r="C7" s="8"/>
      <c r="D7" s="8"/>
      <c r="E7" s="8"/>
      <c r="F7" s="8"/>
      <c r="G7" s="71"/>
      <c r="H7" s="71"/>
      <c r="I7" s="72"/>
      <c r="J7" s="72"/>
      <c r="K7" s="72"/>
      <c r="L7" s="72"/>
      <c r="M7" s="72"/>
      <c r="N7" s="72"/>
      <c r="O7" s="7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73" t="s">
        <v>111</v>
      </c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74" t="s">
        <v>45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67" t="s">
        <v>105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</row>
    <row r="13" spans="1:75" x14ac:dyDescent="0.25">
      <c r="A13" s="69" t="s">
        <v>46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</row>
    <row r="14" spans="1:75" ht="12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13" t="s">
        <v>9</v>
      </c>
      <c r="AB14" s="8"/>
      <c r="AC14" s="8"/>
      <c r="AD14" s="8"/>
      <c r="AE14" s="68">
        <v>45244</v>
      </c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15"/>
      <c r="AV14" s="15"/>
      <c r="AW14" s="15"/>
      <c r="AX14" s="15"/>
      <c r="AY14" s="15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12"/>
    </row>
    <row r="15" spans="1:75" x14ac:dyDescent="0.25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 t="s">
        <v>11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2">
        <f>AE14</f>
        <v>45244</v>
      </c>
    </row>
    <row r="16" spans="1:75" x14ac:dyDescent="0.25">
      <c r="A16" s="8" t="s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65" t="str">
        <f>VLOOKUP(BJ16,подписанты!$B$3:$C$11,2,FALSE)</f>
        <v>Руководитель группы МТО АО «Газстройпроект»</v>
      </c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3" t="s">
        <v>108</v>
      </c>
      <c r="BK16" s="63"/>
      <c r="BL16" s="63"/>
      <c r="BM16" s="63"/>
      <c r="BN16" s="63"/>
      <c r="BO16" s="63"/>
      <c r="BP16" s="63"/>
      <c r="BQ16" s="63"/>
      <c r="BR16" s="63"/>
      <c r="BS16" s="63"/>
      <c r="BT16" s="63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61" t="s">
        <v>13</v>
      </c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26"/>
      <c r="BL17" s="26"/>
      <c r="BM17" s="26"/>
      <c r="BN17" s="26"/>
      <c r="BO17" s="26"/>
      <c r="BP17" s="16"/>
      <c r="BQ17" s="16"/>
      <c r="BR17" s="16"/>
      <c r="BS17" s="16"/>
      <c r="BT17" s="16"/>
    </row>
    <row r="18" spans="1:83" x14ac:dyDescent="0.25">
      <c r="A18" s="8" t="s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62" t="str">
        <f>VLOOKUP(BJ18,подписанты!$B$3:$C$11,2,FALSE)</f>
        <v>Инженер отдела технического надзора АО «Газстройпроект»</v>
      </c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3" t="s">
        <v>66</v>
      </c>
      <c r="BK18" s="63"/>
      <c r="BL18" s="63"/>
      <c r="BM18" s="63"/>
      <c r="BN18" s="63"/>
      <c r="BO18" s="63"/>
      <c r="BP18" s="63"/>
      <c r="BQ18" s="63"/>
      <c r="BR18" s="63"/>
      <c r="BS18" s="63"/>
      <c r="BT18" s="63"/>
    </row>
    <row r="19" spans="1:83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4" t="s">
        <v>13</v>
      </c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1"/>
      <c r="BK19" s="16"/>
      <c r="BL19" s="16"/>
      <c r="BM19" s="16"/>
      <c r="BN19" s="16"/>
      <c r="BO19" s="16"/>
      <c r="BP19" s="16"/>
      <c r="BQ19" s="16"/>
      <c r="BR19" s="16"/>
      <c r="BS19" s="16"/>
      <c r="BT19" s="16"/>
    </row>
    <row r="20" spans="1:83" ht="41.4" customHeight="1" x14ac:dyDescent="0.25">
      <c r="A20" s="8" t="s">
        <v>15</v>
      </c>
      <c r="B20" s="8"/>
      <c r="C20" s="8"/>
      <c r="D20" s="8"/>
      <c r="E20" s="8"/>
      <c r="F20" s="8"/>
      <c r="G20" s="8"/>
      <c r="H20" s="8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65" t="str">
        <f>VLOOKUP(BJ20,подписанты!$B$3:$C$11,2,FALSE)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6" t="s">
        <v>88</v>
      </c>
      <c r="BK20" s="66"/>
      <c r="BL20" s="66"/>
      <c r="BM20" s="66"/>
      <c r="BN20" s="66"/>
      <c r="BO20" s="66"/>
      <c r="BP20" s="66"/>
      <c r="BQ20" s="66"/>
      <c r="BR20" s="66"/>
      <c r="BS20" s="66"/>
      <c r="BT20" s="66"/>
    </row>
    <row r="21" spans="1:83" x14ac:dyDescent="0.25">
      <c r="A21" s="8"/>
      <c r="B21" s="8"/>
      <c r="C21" s="8"/>
      <c r="D21" s="8"/>
      <c r="E21" s="8"/>
      <c r="F21" s="8"/>
      <c r="G21" s="8"/>
      <c r="H21" s="8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61" t="s">
        <v>13</v>
      </c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83" x14ac:dyDescent="0.25">
      <c r="A22" s="8" t="s">
        <v>16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7"/>
      <c r="O22" s="98" t="s">
        <v>86</v>
      </c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8" t="s">
        <v>17</v>
      </c>
      <c r="BR22" s="13"/>
      <c r="BS22" s="13"/>
      <c r="BT22" s="13"/>
    </row>
    <row r="23" spans="1:83" x14ac:dyDescent="0.25">
      <c r="A23" s="8"/>
      <c r="B23" s="8"/>
      <c r="C23" s="8"/>
      <c r="D23" s="8"/>
      <c r="E23" s="108" t="s">
        <v>47</v>
      </c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Y23" s="77" t="s">
        <v>79</v>
      </c>
      <c r="BZ23" s="77"/>
      <c r="CA23" s="77"/>
      <c r="CB23" s="77"/>
      <c r="CC23" s="77"/>
      <c r="CD23" s="77"/>
      <c r="CE23" s="77"/>
    </row>
    <row r="24" spans="1:83" ht="13.8" customHeight="1" x14ac:dyDescent="0.25">
      <c r="A24" s="86" t="s">
        <v>110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6"/>
      <c r="BK24" s="86"/>
      <c r="BL24" s="86"/>
      <c r="BM24" s="86"/>
      <c r="BN24" s="86"/>
      <c r="BO24" s="86"/>
      <c r="BP24" s="86"/>
      <c r="BQ24" s="86"/>
      <c r="BR24" s="86"/>
      <c r="BS24" s="86"/>
      <c r="BT24" s="86"/>
      <c r="BY24" s="77"/>
      <c r="BZ24" s="77"/>
      <c r="CA24" s="77"/>
      <c r="CB24" s="77"/>
      <c r="CC24" s="77"/>
      <c r="CD24" s="77"/>
      <c r="CE24" s="77"/>
    </row>
    <row r="25" spans="1:83" x14ac:dyDescent="0.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Y25" s="77"/>
      <c r="BZ25" s="77"/>
      <c r="CA25" s="77"/>
      <c r="CB25" s="77"/>
      <c r="CC25" s="77"/>
      <c r="CD25" s="77"/>
    </row>
    <row r="26" spans="1:83" x14ac:dyDescent="0.25">
      <c r="A26" s="10" t="s">
        <v>18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4"/>
      <c r="S26" s="8"/>
      <c r="T26" s="53"/>
      <c r="U26" s="82" t="s">
        <v>112</v>
      </c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Y26" s="77"/>
      <c r="BZ26" s="77"/>
      <c r="CA26" s="77"/>
      <c r="CB26" s="77"/>
      <c r="CC26" s="77"/>
      <c r="CD26" s="77"/>
    </row>
    <row r="27" spans="1:83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83" t="s">
        <v>19</v>
      </c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</row>
    <row r="28" spans="1:83" x14ac:dyDescent="0.25">
      <c r="A28" s="10" t="s">
        <v>20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0"/>
      <c r="T28" s="20"/>
      <c r="U28" s="84" t="s">
        <v>51</v>
      </c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</row>
    <row r="29" spans="1:83" x14ac:dyDescent="0.25">
      <c r="A29" s="64" t="s">
        <v>21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Y29" s="42" t="s">
        <v>80</v>
      </c>
    </row>
    <row r="30" spans="1:83" ht="13.95" customHeight="1" x14ac:dyDescent="0.25">
      <c r="A30" s="8"/>
      <c r="B30" s="8"/>
      <c r="C30" s="8"/>
      <c r="D30" s="8" t="s">
        <v>22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7"/>
      <c r="AH30" s="7"/>
      <c r="AI30" s="7"/>
      <c r="AJ30" s="7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Y30" s="77" t="s">
        <v>81</v>
      </c>
      <c r="BZ30" s="77"/>
      <c r="CA30" s="77"/>
      <c r="CB30" s="77"/>
      <c r="CC30" s="77"/>
      <c r="CD30" s="77"/>
      <c r="CE30" s="77"/>
    </row>
    <row r="31" spans="1:83" ht="13.95" customHeight="1" x14ac:dyDescent="0.25">
      <c r="A31" s="8" t="s">
        <v>23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0"/>
      <c r="AJ31" s="8"/>
      <c r="AK31" s="79" t="s">
        <v>113</v>
      </c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Y31" s="77"/>
      <c r="BZ31" s="77"/>
      <c r="CA31" s="77"/>
      <c r="CB31" s="77"/>
      <c r="CC31" s="77"/>
      <c r="CD31" s="77"/>
      <c r="CE31" s="77"/>
    </row>
    <row r="32" spans="1:83" x14ac:dyDescent="0.25">
      <c r="A32" s="60" t="s">
        <v>114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Y32" s="77"/>
      <c r="BZ32" s="77"/>
      <c r="CA32" s="77"/>
      <c r="CB32" s="77"/>
      <c r="CC32" s="77"/>
      <c r="CD32" s="77"/>
      <c r="CE32" s="77"/>
    </row>
    <row r="33" spans="1:83" x14ac:dyDescent="0.25">
      <c r="A33" s="60" t="s">
        <v>115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57"/>
      <c r="BY33" s="77"/>
      <c r="BZ33" s="77"/>
      <c r="CA33" s="77"/>
      <c r="CB33" s="77"/>
      <c r="CC33" s="77"/>
      <c r="CD33" s="77"/>
      <c r="CE33" s="77"/>
    </row>
    <row r="34" spans="1:83" x14ac:dyDescent="0.25">
      <c r="A34" s="61" t="s">
        <v>24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Y34" s="77"/>
      <c r="BZ34" s="77"/>
      <c r="CA34" s="77"/>
      <c r="CB34" s="77"/>
      <c r="CC34" s="77"/>
      <c r="CD34" s="77"/>
      <c r="CE34" s="77"/>
    </row>
    <row r="35" spans="1:83" x14ac:dyDescent="0.25">
      <c r="A35" s="80" t="s">
        <v>57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Y35" s="77"/>
      <c r="BZ35" s="77"/>
      <c r="CA35" s="77"/>
      <c r="CB35" s="77"/>
      <c r="CC35" s="77"/>
      <c r="CD35" s="77"/>
      <c r="CE35" s="77"/>
    </row>
    <row r="36" spans="1:83" x14ac:dyDescent="0.25">
      <c r="A36" s="17" t="s">
        <v>58</v>
      </c>
      <c r="B36" s="18"/>
      <c r="C36" s="18"/>
      <c r="D36" s="78" t="str">
        <f>A24</f>
        <v>Термостойкая эмаль КО-8101 - 20 л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Y36" s="77"/>
      <c r="BZ36" s="77"/>
      <c r="CA36" s="77"/>
      <c r="CB36" s="77"/>
      <c r="CC36" s="77"/>
      <c r="CD36" s="77"/>
      <c r="CE36" s="77"/>
    </row>
    <row r="37" spans="1:83" ht="13.8" customHeight="1" x14ac:dyDescent="0.25">
      <c r="A37" s="88" t="s">
        <v>25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Y37" s="77"/>
      <c r="BZ37" s="77"/>
      <c r="CA37" s="77"/>
      <c r="CB37" s="77"/>
      <c r="CC37" s="77"/>
      <c r="CD37" s="77"/>
      <c r="CE37" s="77"/>
    </row>
    <row r="38" spans="1:83" ht="13.8" customHeight="1" x14ac:dyDescent="0.25">
      <c r="A38" s="8" t="s">
        <v>26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56"/>
      <c r="Y38" s="85" t="s">
        <v>106</v>
      </c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55"/>
      <c r="BY38" s="77"/>
      <c r="BZ38" s="77"/>
      <c r="CA38" s="77"/>
      <c r="CB38" s="77"/>
      <c r="CC38" s="77"/>
      <c r="CD38" s="77"/>
      <c r="CE38" s="77"/>
    </row>
    <row r="39" spans="1:8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9"/>
      <c r="Y39" s="61" t="s">
        <v>27</v>
      </c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Y39" s="77"/>
      <c r="BZ39" s="77"/>
      <c r="CA39" s="77"/>
      <c r="CB39" s="77"/>
      <c r="CC39" s="77"/>
      <c r="CD39" s="77"/>
      <c r="CE39" s="77"/>
    </row>
    <row r="40" spans="1:83" x14ac:dyDescent="0.25">
      <c r="A40" s="8" t="s">
        <v>28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7"/>
      <c r="AG40" s="7"/>
      <c r="AH40" s="7"/>
      <c r="AI40" s="7"/>
      <c r="AJ40" s="95" t="s">
        <v>29</v>
      </c>
      <c r="AK40" s="95"/>
      <c r="AL40" s="95"/>
      <c r="AM40" s="95"/>
      <c r="AN40" s="95"/>
      <c r="AO40" s="95"/>
      <c r="AP40" s="95"/>
      <c r="AQ40" s="95"/>
      <c r="AR40" s="95"/>
      <c r="AS40" s="95"/>
      <c r="AT40" s="96" t="s">
        <v>70</v>
      </c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</row>
    <row r="41" spans="1:83" x14ac:dyDescent="0.25">
      <c r="A41" s="10" t="s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3"/>
      <c r="O41" s="53"/>
      <c r="P41" s="53"/>
      <c r="Q41" s="97" t="str">
        <f>U26</f>
        <v>ПП2020РД-1.2-61.17-ИТП; ПП2020РД-1.2-61.17-ИТП.СО изм. 4, лист 11</v>
      </c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</row>
    <row r="42" spans="1:83" x14ac:dyDescent="0.25">
      <c r="A42" s="8"/>
      <c r="B42" s="8"/>
      <c r="C42" s="8"/>
      <c r="D42" s="10" t="s">
        <v>31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0"/>
      <c r="X42" s="8"/>
      <c r="Y42" s="31"/>
      <c r="Z42" s="31"/>
      <c r="AA42" s="101" t="str">
        <f>AK31</f>
        <v>Паспорт качества№ 1180 от 18.09.2023,</v>
      </c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</row>
    <row r="43" spans="1:83" x14ac:dyDescent="0.25">
      <c r="A43" s="102" t="str">
        <f>A32</f>
        <v xml:space="preserve">декларация о соответствии № РОСС RU Д-RU.PA01.B.12495/22 с 12.04.2022 по 06.04.2027, 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</row>
    <row r="44" spans="1:83" x14ac:dyDescent="0.25">
      <c r="A44" s="106" t="str">
        <f>A33</f>
        <v>свидетельство о государственной регистрации №RU.77.01.34.008.E.000842.03.14 от 18.03.2014.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06"/>
      <c r="AX44" s="106"/>
      <c r="AY44" s="106"/>
      <c r="AZ44" s="106"/>
      <c r="BA44" s="106"/>
      <c r="BB44" s="106"/>
      <c r="BC44" s="106"/>
      <c r="BD44" s="106"/>
      <c r="BE44" s="106"/>
      <c r="BF44" s="106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58"/>
    </row>
    <row r="45" spans="1:83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90" t="s">
        <v>32</v>
      </c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1"/>
      <c r="BY45" t="s">
        <v>82</v>
      </c>
    </row>
    <row r="46" spans="1:83" x14ac:dyDescent="0.25">
      <c r="A46" s="8" t="s">
        <v>33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22"/>
    </row>
    <row r="47" spans="1:83" x14ac:dyDescent="0.25">
      <c r="A47" s="32"/>
      <c r="B47" s="8"/>
      <c r="C47" s="8"/>
      <c r="D47" s="8" t="s">
        <v>34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7"/>
      <c r="X47" s="7"/>
      <c r="Y47" s="7"/>
      <c r="Z47" s="7"/>
      <c r="AA47" s="32"/>
      <c r="AB47" s="7"/>
      <c r="AC47" s="32"/>
      <c r="AD47" s="92" t="s">
        <v>35</v>
      </c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</row>
    <row r="48" spans="1:83" x14ac:dyDescent="0.25">
      <c r="A48" s="8"/>
      <c r="B48" s="8"/>
      <c r="C48" s="8"/>
      <c r="D48" s="8"/>
      <c r="E48" s="8"/>
      <c r="F48" s="8"/>
      <c r="G48" s="8"/>
      <c r="H48" s="8"/>
      <c r="I48" s="8"/>
      <c r="J48" s="94" t="s">
        <v>36</v>
      </c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</row>
    <row r="49" spans="1:77" x14ac:dyDescent="0.25">
      <c r="A49" s="10" t="s">
        <v>37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27"/>
      <c r="W49" s="33"/>
      <c r="X49" s="28"/>
      <c r="Y49" s="89" t="str">
        <f>U26</f>
        <v>ПП2020РД-1.2-61.17-ИТП; ПП2020РД-1.2-61.17-ИТП.СО изм. 4, лист 11</v>
      </c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</row>
    <row r="50" spans="1:77" x14ac:dyDescent="0.25">
      <c r="A50" s="8" t="s">
        <v>38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32"/>
      <c r="M50" s="23"/>
      <c r="N50" s="93" t="s">
        <v>107</v>
      </c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</row>
    <row r="51" spans="1:77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</row>
    <row r="52" spans="1:77" x14ac:dyDescent="0.25">
      <c r="A52" s="8" t="s">
        <v>39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12"/>
    </row>
    <row r="53" spans="1:77" x14ac:dyDescent="0.25">
      <c r="A53" s="8" t="s">
        <v>12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105" t="str">
        <f>BJ16</f>
        <v>Кострова Н.Л.</v>
      </c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8"/>
      <c r="AP53" s="8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8"/>
      <c r="BG53" s="8"/>
      <c r="BH53" s="100">
        <f>AE14</f>
        <v>45244</v>
      </c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2"/>
    </row>
    <row r="54" spans="1:77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61" t="s">
        <v>59</v>
      </c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29"/>
      <c r="AP54" s="29"/>
      <c r="AQ54" s="61" t="s">
        <v>40</v>
      </c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29"/>
      <c r="BG54" s="29"/>
      <c r="BH54" s="61" t="s">
        <v>41</v>
      </c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25"/>
    </row>
    <row r="55" spans="1:77" x14ac:dyDescent="0.25">
      <c r="A55" s="8" t="s">
        <v>42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12"/>
      <c r="BY55" t="s">
        <v>83</v>
      </c>
    </row>
    <row r="56" spans="1:77" x14ac:dyDescent="0.25">
      <c r="A56" s="8" t="s">
        <v>43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105" t="str">
        <f>BJ18</f>
        <v>Халыгов Э. А.</v>
      </c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8"/>
      <c r="AP56" s="8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8"/>
      <c r="BG56" s="8"/>
      <c r="BH56" s="100">
        <f>BH53</f>
        <v>45244</v>
      </c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12"/>
    </row>
    <row r="57" spans="1:77" ht="16.2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61" t="s">
        <v>59</v>
      </c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29"/>
      <c r="AP57" s="29"/>
      <c r="AQ57" s="61" t="s">
        <v>40</v>
      </c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29"/>
      <c r="BG57" s="29"/>
      <c r="BH57" s="61" t="s">
        <v>41</v>
      </c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12"/>
      <c r="BY57" t="s">
        <v>84</v>
      </c>
    </row>
    <row r="58" spans="1:77" x14ac:dyDescent="0.25">
      <c r="A58" s="8" t="s">
        <v>39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12"/>
      <c r="BY58" t="s">
        <v>85</v>
      </c>
    </row>
    <row r="59" spans="1:77" x14ac:dyDescent="0.25">
      <c r="A59" s="8" t="s">
        <v>44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8" t="str">
        <f>BJ20</f>
        <v>Тюкин Е.В.</v>
      </c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8"/>
      <c r="AP59" s="8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8"/>
      <c r="BG59" s="8"/>
      <c r="BH59" s="100">
        <f>BH53</f>
        <v>45244</v>
      </c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12"/>
    </row>
    <row r="60" spans="1:77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61" t="s">
        <v>59</v>
      </c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29"/>
      <c r="AP60" s="29"/>
      <c r="AQ60" s="61" t="s">
        <v>40</v>
      </c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29"/>
      <c r="BG60" s="29"/>
      <c r="BH60" s="61" t="s">
        <v>41</v>
      </c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12"/>
    </row>
    <row r="61" spans="1:77" x14ac:dyDescent="0.25">
      <c r="A61" s="13"/>
      <c r="B61" s="13"/>
      <c r="C61" s="13"/>
      <c r="D61" s="7"/>
      <c r="E61" s="7"/>
      <c r="F61" s="7"/>
      <c r="G61" s="7"/>
      <c r="H61" s="7"/>
      <c r="I61" s="7"/>
      <c r="J61" s="7"/>
      <c r="K61" s="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12"/>
    </row>
    <row r="62" spans="1:77" x14ac:dyDescent="0.25">
      <c r="A62" s="107" t="s">
        <v>104</v>
      </c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3"/>
      <c r="AN62" s="13"/>
      <c r="AO62" s="8"/>
      <c r="AP62" s="8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8"/>
      <c r="BG62" s="8"/>
      <c r="BH62" s="104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12"/>
    </row>
    <row r="63" spans="1:77" ht="4.8" customHeight="1" x14ac:dyDescent="0.25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"/>
      <c r="AN63" s="10"/>
      <c r="AO63" s="8"/>
      <c r="AP63" s="8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"/>
      <c r="BG63" s="8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12"/>
    </row>
    <row r="64" spans="1:77" x14ac:dyDescent="0.25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12"/>
    </row>
    <row r="66" ht="13.8" customHeight="1" x14ac:dyDescent="0.25"/>
    <row r="69" ht="13.8" customHeight="1" x14ac:dyDescent="0.25"/>
  </sheetData>
  <mergeCells count="78">
    <mergeCell ref="T21:BJ21"/>
    <mergeCell ref="O22:BP22"/>
    <mergeCell ref="AK30:BT30"/>
    <mergeCell ref="AQ62:BE62"/>
    <mergeCell ref="BH62:BS62"/>
    <mergeCell ref="X53:AN53"/>
    <mergeCell ref="AQ53:BE53"/>
    <mergeCell ref="BH53:BS53"/>
    <mergeCell ref="A44:BS44"/>
    <mergeCell ref="AQ57:BE57"/>
    <mergeCell ref="BH57:BS57"/>
    <mergeCell ref="X56:AN56"/>
    <mergeCell ref="AQ56:BE56"/>
    <mergeCell ref="BH56:BS56"/>
    <mergeCell ref="A62:AL64"/>
    <mergeCell ref="E23:BT23"/>
    <mergeCell ref="AQ63:BE63"/>
    <mergeCell ref="BH63:BS63"/>
    <mergeCell ref="A37:BT37"/>
    <mergeCell ref="Y49:BT49"/>
    <mergeCell ref="V45:BT45"/>
    <mergeCell ref="AD47:BT47"/>
    <mergeCell ref="N50:BT50"/>
    <mergeCell ref="J48:BT48"/>
    <mergeCell ref="AJ40:AS40"/>
    <mergeCell ref="AT40:BT40"/>
    <mergeCell ref="Q41:BT41"/>
    <mergeCell ref="X59:AN59"/>
    <mergeCell ref="AQ59:BE59"/>
    <mergeCell ref="BH59:BS59"/>
    <mergeCell ref="AA42:BT42"/>
    <mergeCell ref="A43:BT43"/>
    <mergeCell ref="BY23:CE24"/>
    <mergeCell ref="BY25:CD26"/>
    <mergeCell ref="BY30:CE39"/>
    <mergeCell ref="D36:BT36"/>
    <mergeCell ref="A29:BT29"/>
    <mergeCell ref="AK31:BT31"/>
    <mergeCell ref="A32:BT32"/>
    <mergeCell ref="A34:BT34"/>
    <mergeCell ref="A35:BT35"/>
    <mergeCell ref="A25:BT25"/>
    <mergeCell ref="U26:BT26"/>
    <mergeCell ref="P27:BT27"/>
    <mergeCell ref="U28:BT28"/>
    <mergeCell ref="Y38:BT38"/>
    <mergeCell ref="Y39:BT39"/>
    <mergeCell ref="A24:BT24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AE14:AT14"/>
    <mergeCell ref="T17:BJ17"/>
    <mergeCell ref="S16:BI16"/>
    <mergeCell ref="BJ16:BT16"/>
    <mergeCell ref="A13:BT13"/>
    <mergeCell ref="S18:BI18"/>
    <mergeCell ref="BJ18:BT18"/>
    <mergeCell ref="T19:BJ19"/>
    <mergeCell ref="S20:BI20"/>
    <mergeCell ref="BJ20:BT20"/>
    <mergeCell ref="A33:BS33"/>
    <mergeCell ref="X60:AN60"/>
    <mergeCell ref="AQ60:BE60"/>
    <mergeCell ref="X54:AN54"/>
    <mergeCell ref="AQ54:BE54"/>
    <mergeCell ref="BH54:BS54"/>
    <mergeCell ref="BH60:BS60"/>
    <mergeCell ref="X57:AN57"/>
  </mergeCells>
  <phoneticPr fontId="21" type="noConversion"/>
  <dataValidations count="4">
    <dataValidation type="list" errorStyle="information" allowBlank="1" showInputMessage="1" sqref="O22:BP22" xr:uid="{00000000-0002-0000-0000-000000000000}">
      <formula1>"выборочный,сплошной"</formula1>
    </dataValidation>
    <dataValidation type="list" allowBlank="1" showInputMessage="1" showErrorMessage="1" sqref="N22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8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BJ20:BT20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BJ18:BT18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BJ16:BT16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T26:U26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S28:U28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C4" sqref="C4"/>
    </sheetView>
  </sheetViews>
  <sheetFormatPr defaultColWidth="8.88671875" defaultRowHeight="13.8" x14ac:dyDescent="0.25"/>
  <cols>
    <col min="1" max="1" width="27.109375" style="34" customWidth="1"/>
    <col min="2" max="2" width="21.6640625" style="34" customWidth="1"/>
    <col min="3" max="3" width="49.77734375" style="34" customWidth="1"/>
    <col min="4" max="5" width="10.109375" style="34" customWidth="1"/>
    <col min="6" max="6" width="44.77734375" style="34" customWidth="1"/>
    <col min="7" max="16384" width="8.88671875" style="34"/>
  </cols>
  <sheetData>
    <row r="2" spans="1:6" ht="29.4" customHeight="1" x14ac:dyDescent="0.25">
      <c r="A2" s="40" t="s">
        <v>10</v>
      </c>
      <c r="B2" s="41" t="s">
        <v>74</v>
      </c>
      <c r="C2" s="41" t="s">
        <v>73</v>
      </c>
      <c r="D2" s="39" t="s">
        <v>71</v>
      </c>
      <c r="E2" s="39" t="s">
        <v>72</v>
      </c>
    </row>
    <row r="3" spans="1:6" x14ac:dyDescent="0.25">
      <c r="A3" s="35" t="s">
        <v>12</v>
      </c>
      <c r="B3" s="51" t="s">
        <v>108</v>
      </c>
      <c r="C3" s="59" t="s">
        <v>109</v>
      </c>
      <c r="D3" s="37">
        <v>44927</v>
      </c>
      <c r="E3" s="37">
        <v>45337</v>
      </c>
    </row>
    <row r="4" spans="1:6" x14ac:dyDescent="0.25">
      <c r="A4" s="35" t="s">
        <v>12</v>
      </c>
      <c r="B4" s="34" t="s">
        <v>75</v>
      </c>
      <c r="C4" s="43" t="s">
        <v>76</v>
      </c>
      <c r="D4" s="37">
        <v>45337</v>
      </c>
      <c r="E4" s="37">
        <v>45657</v>
      </c>
    </row>
    <row r="5" spans="1:6" x14ac:dyDescent="0.25">
      <c r="A5" s="35" t="s">
        <v>14</v>
      </c>
      <c r="B5" s="34" t="s">
        <v>66</v>
      </c>
      <c r="C5" s="36" t="s">
        <v>65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78</v>
      </c>
      <c r="C6" s="36" t="s">
        <v>77</v>
      </c>
      <c r="D6" s="37">
        <v>44927</v>
      </c>
      <c r="E6" s="37">
        <v>45166</v>
      </c>
    </row>
    <row r="7" spans="1:6" ht="27.6" x14ac:dyDescent="0.25">
      <c r="A7" s="35" t="s">
        <v>14</v>
      </c>
      <c r="B7" s="46" t="s">
        <v>89</v>
      </c>
      <c r="C7" s="36" t="s">
        <v>65</v>
      </c>
      <c r="D7" s="37">
        <v>45278</v>
      </c>
      <c r="E7" s="37">
        <v>45342</v>
      </c>
      <c r="F7" s="45" t="s">
        <v>90</v>
      </c>
    </row>
    <row r="8" spans="1:6" ht="55.2" x14ac:dyDescent="0.25">
      <c r="A8" s="47" t="s">
        <v>15</v>
      </c>
      <c r="B8" s="48" t="s">
        <v>64</v>
      </c>
      <c r="C8" s="49" t="s">
        <v>63</v>
      </c>
      <c r="D8" s="50">
        <v>44927</v>
      </c>
      <c r="E8" s="50">
        <v>45657</v>
      </c>
    </row>
    <row r="9" spans="1:6" ht="55.2" x14ac:dyDescent="0.25">
      <c r="A9" s="38" t="s">
        <v>15</v>
      </c>
      <c r="B9" s="34" t="s">
        <v>88</v>
      </c>
      <c r="C9" s="44" t="s">
        <v>87</v>
      </c>
      <c r="F9" s="51" t="s">
        <v>91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95</v>
      </c>
      <c r="B5" s="2" t="s">
        <v>48</v>
      </c>
      <c r="C5" s="2" t="s">
        <v>49</v>
      </c>
      <c r="D5" s="2" t="s">
        <v>103</v>
      </c>
    </row>
    <row r="6" spans="1:4" ht="27.6" x14ac:dyDescent="0.25">
      <c r="A6" s="6" t="s">
        <v>92</v>
      </c>
      <c r="B6" s="3" t="s">
        <v>50</v>
      </c>
      <c r="C6" s="5" t="s">
        <v>96</v>
      </c>
    </row>
    <row r="7" spans="1:4" x14ac:dyDescent="0.25">
      <c r="A7" s="6" t="s">
        <v>93</v>
      </c>
      <c r="B7" s="3" t="s">
        <v>51</v>
      </c>
      <c r="C7" s="1" t="s">
        <v>97</v>
      </c>
    </row>
    <row r="8" spans="1:4" x14ac:dyDescent="0.25">
      <c r="A8" s="6" t="s">
        <v>94</v>
      </c>
      <c r="B8" s="3" t="s">
        <v>52</v>
      </c>
      <c r="C8" s="1" t="s">
        <v>98</v>
      </c>
    </row>
    <row r="9" spans="1:4" x14ac:dyDescent="0.25">
      <c r="A9" s="6">
        <v>56</v>
      </c>
      <c r="B9" s="3" t="s">
        <v>53</v>
      </c>
      <c r="C9" s="1" t="s">
        <v>99</v>
      </c>
    </row>
    <row r="10" spans="1:4" ht="27.6" x14ac:dyDescent="0.25">
      <c r="A10" s="6">
        <v>57</v>
      </c>
      <c r="B10" s="3" t="s">
        <v>54</v>
      </c>
      <c r="C10" s="4" t="s">
        <v>100</v>
      </c>
    </row>
    <row r="11" spans="1:4" ht="27.6" x14ac:dyDescent="0.25">
      <c r="A11" s="6">
        <v>110</v>
      </c>
      <c r="B11" s="3" t="s">
        <v>55</v>
      </c>
      <c r="C11" s="6" t="s">
        <v>101</v>
      </c>
    </row>
    <row r="12" spans="1:4" ht="27.6" x14ac:dyDescent="0.25">
      <c r="A12" s="6">
        <v>111</v>
      </c>
      <c r="B12" s="3" t="s">
        <v>56</v>
      </c>
      <c r="C12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2025-11-25T14:56:26Z</cp:lastPrinted>
  <dcterms:created xsi:type="dcterms:W3CDTF">2023-09-19T09:44:50Z</dcterms:created>
  <dcterms:modified xsi:type="dcterms:W3CDTF">2025-11-25T14:58:08Z</dcterms:modified>
</cp:coreProperties>
</file>