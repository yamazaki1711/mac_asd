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Стажеры\Ксюша\ИТП\61.17\"/>
    </mc:Choice>
  </mc:AlternateContent>
  <xr:revisionPtr revIDLastSave="0" documentId="13_ncr:1_{3BE4D34D-C426-4C53-BB50-327215F64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8" l="1"/>
  <c r="AA43" i="18"/>
  <c r="A44" i="18" l="1"/>
  <c r="Q42" i="18" l="1"/>
  <c r="BW15" i="18" l="1"/>
  <c r="S20" i="18" l="1"/>
  <c r="S18" i="18"/>
  <c r="S16" i="18"/>
  <c r="X60" i="18" l="1"/>
  <c r="X57" i="18"/>
  <c r="BH54" i="18"/>
  <c r="BH60" i="18" s="1"/>
  <c r="X54" i="18"/>
  <c r="Y50" i="18"/>
  <c r="BH57" i="18" l="1"/>
</calcChain>
</file>

<file path=xl/sharedStrings.xml><?xml version="1.0" encoding="utf-8"?>
<sst xmlns="http://schemas.openxmlformats.org/spreadsheetml/2006/main" count="143" uniqueCount="120">
  <si>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</si>
  <si>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</si>
  <si>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</si>
  <si>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</si>
  <si>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</si>
  <si>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</si>
  <si>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</si>
  <si>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</si>
  <si>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</si>
  <si>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</si>
  <si>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</si>
  <si>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</si>
  <si>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</si>
  <si>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</si>
  <si>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</si>
  <si>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</si>
  <si>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</si>
  <si>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</si>
  <si>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</si>
  <si>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</si>
  <si>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</si>
  <si>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</si>
  <si>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</si>
  <si>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</si>
  <si>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</si>
  <si>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</si>
  <si>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</si>
  <si>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</si>
  <si>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</si>
  <si>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</si>
  <si>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</si>
  <si>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</si>
  <si>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</si>
  <si>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</si>
  <si>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</si>
  <si>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</si>
  <si>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</si>
  <si>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</si>
  <si>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</si>
  <si>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</si>
  <si>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</si>
  <si>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</si>
  <si>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</si>
  <si>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</si>
  <si>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</si>
  <si>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</si>
  <si>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</si>
  <si>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</si>
  <si>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</si>
  <si>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</si>
  <si>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</si>
  <si>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</si>
  <si>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</si>
  <si>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</si>
  <si>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</si>
  <si>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</si>
  <si>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</si>
  <si>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</si>
  <si>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</si>
  <si>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</si>
  <si>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</si>
  <si>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</si>
  <si>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</si>
  <si>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</si>
  <si>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</si>
  <si>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</si>
  <si>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</si>
  <si>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</si>
  <si>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</si>
  <si>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</si>
  <si>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</si>
  <si>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</si>
  <si>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</si>
  <si>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</si>
  <si>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</si>
  <si>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</si>
  <si>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</si>
  <si>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</si>
  <si>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</si>
  <si>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</si>
  <si>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</si>
  <si>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</si>
  <si>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</si>
  <si>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</si>
  <si>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</si>
  <si>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</si>
  <si>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</si>
  <si>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</si>
  <si>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</si>
  <si>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</si>
  <si>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</si>
  <si>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</si>
  <si>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</si>
  <si>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</si>
  <si>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</si>
  <si>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</si>
  <si>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</si>
  <si>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</si>
  <si>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</si>
  <si>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</si>
  <si>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</si>
  <si>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</si>
  <si>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</si>
  <si>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</si>
  <si>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</si>
  <si>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Кострова Н.Л.</t>
  </si>
  <si>
    <t>Руководитель группы МТО АО «Газстройпроект»</t>
  </si>
  <si>
    <t>АИР 1.2-61.17-ИТП/13</t>
  </si>
  <si>
    <t>Воздухоотводчик автоматический латунь Ду15 НР</t>
  </si>
  <si>
    <t>Кран шаровой латунь Ду15 BVR Ридан</t>
  </si>
  <si>
    <t>ПП2020РД-1.2-61.17-ИТП; ПП2020РД-1.2-61.17-ИТП.СО; изм.4; лист  12</t>
  </si>
  <si>
    <t>Паспорт б/н от 07.08.2023,</t>
  </si>
  <si>
    <t>Декларация о соответствии № ЕАЭС N RU Д-RU.PA02.B.10318/23 с 28.02.2023 по 27.02.2028,</t>
  </si>
  <si>
    <t>Паспорт б/н от 27.07.2023,  Декларация о соответствии № ЕАЭС N RU Д-RU.PA09.B.43820/22 с 27.12.2022 по 25.12.2027</t>
  </si>
  <si>
    <t>ТР ТС 010/2011, ТУ 28.14.11-054-51824620-2023</t>
  </si>
  <si>
    <t>Воздухоотводчик Ду15; Кран Ду15</t>
  </si>
  <si>
    <t>Воздухоотводчик автоматический латунь НР - 4 шт.</t>
  </si>
  <si>
    <t>Кран шаровой латунь BVR Ридан - 4 шт.</t>
  </si>
  <si>
    <t>Воздухоотводчик автоматический латунь НР.</t>
  </si>
  <si>
    <t>Кран шаровой латунь BVR Ридан.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</si>
</sst>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3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14" fontId="14" fillId="4" borderId="0" xfId="1" applyNumberFormat="1" applyFont="1" applyFill="1" applyBorder="1" applyAlignment="1">
      <alignment horizontal="left" vertical="center" wrapText="1"/>
    </xf>
    <xf numFmtId="14" fontId="14" fillId="3" borderId="0" xfId="1" applyNumberFormat="1" applyFont="1" applyFill="1" applyBorder="1" applyAlignment="1">
      <alignment horizontal="left" vertical="center" wrapText="1"/>
    </xf>
    <xf numFmtId="14" fontId="14" fillId="4" borderId="3" xfId="1" applyNumberFormat="1" applyFont="1" applyFill="1" applyBorder="1" applyAlignment="1">
      <alignment horizontal="left" vertical="center" wrapText="1"/>
    </xf>
    <xf numFmtId="14" fontId="14" fillId="3" borderId="1" xfId="1" applyNumberFormat="1" applyFont="1" applyFill="1" applyBorder="1" applyAlignment="1">
      <alignment horizontal="left"/>
    </xf>
    <xf numFmtId="0" fontId="14" fillId="3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4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 vertical="center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14" fontId="14" fillId="4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64" fontId="14" fillId="4" borderId="1" xfId="1" applyNumberFormat="1" applyFont="1" applyFill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4" fillId="4" borderId="3" xfId="1" applyFont="1" applyFill="1" applyBorder="1" applyAlignment="1">
      <alignment horizontal="left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25</xdr:row>
      <xdr:rowOff>0</xdr:rowOff>
    </xdr:from>
    <xdr:to>
      <xdr:col>75</xdr:col>
      <xdr:colOff>521970</xdr:colOff>
      <xdr:row>25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28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45</xdr:row>
      <xdr:rowOff>0</xdr:rowOff>
    </xdr:from>
    <xdr:to>
      <xdr:col>75</xdr:col>
      <xdr:colOff>521970</xdr:colOff>
      <xdr:row>45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55</xdr:row>
      <xdr:rowOff>0</xdr:rowOff>
    </xdr:from>
    <xdr:to>
      <xdr:col>75</xdr:col>
      <xdr:colOff>521970</xdr:colOff>
      <xdr:row>57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70"/>
  <sheetViews>
    <sheetView tabSelected="1" view="pageBreakPreview" zoomScaleNormal="100" zoomScaleSheetLayoutView="100" workbookViewId="0">
      <selection activeCell="BW40" sqref="BW40"/>
    </sheetView>
  </sheetViews>
  <sheetFormatPr defaultRowHeight="13.8" x14ac:dyDescent="0.25"/>
  <cols>
    <col min="1" max="12" width="1.44140625" customWidth="1"/>
    <col min="13" max="13" width="2.33203125" customWidth="1"/>
    <col min="14" max="69" width="1.44140625" customWidth="1"/>
    <col min="70" max="70" width="2.66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8" t="s">
        <v>4</v>
      </c>
      <c r="B3" s="68"/>
      <c r="C3" s="68"/>
      <c r="D3" s="68"/>
      <c r="E3" s="68"/>
      <c r="F3" s="97" t="s">
        <v>5</v>
      </c>
      <c r="G3" s="97"/>
      <c r="H3" s="97"/>
      <c r="I3" s="98" t="s">
        <v>6</v>
      </c>
      <c r="J3" s="98"/>
      <c r="K3" s="9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68"/>
      <c r="B6" s="68"/>
      <c r="C6" s="68"/>
      <c r="D6" s="68"/>
      <c r="E6" s="68"/>
      <c r="F6" s="97"/>
      <c r="G6" s="97"/>
      <c r="H6" s="97"/>
      <c r="I6" s="98"/>
      <c r="J6" s="98"/>
      <c r="K6" s="9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9" t="s">
        <v>61</v>
      </c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</row>
    <row r="7" spans="1:75" x14ac:dyDescent="0.25">
      <c r="A7" s="8"/>
      <c r="B7" s="8"/>
      <c r="C7" s="8"/>
      <c r="D7" s="8"/>
      <c r="E7" s="8"/>
      <c r="F7" s="8"/>
      <c r="G7" s="100"/>
      <c r="H7" s="100"/>
      <c r="I7" s="98"/>
      <c r="J7" s="98"/>
      <c r="K7" s="98"/>
      <c r="L7" s="98"/>
      <c r="M7" s="98"/>
      <c r="N7" s="98"/>
      <c r="O7" s="9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1" t="s">
        <v>107</v>
      </c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2" t="s">
        <v>45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</row>
    <row r="11" spans="1:75" x14ac:dyDescent="0.25">
      <c r="A11" s="95" t="s">
        <v>108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</row>
    <row r="12" spans="1:75" x14ac:dyDescent="0.25">
      <c r="A12" s="62" t="s">
        <v>109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0"/>
    </row>
    <row r="13" spans="1:75" ht="13.8" customHeight="1" x14ac:dyDescent="0.25">
      <c r="A13" s="106" t="s">
        <v>46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</row>
    <row r="14" spans="1:75" ht="12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3" t="s">
        <v>9</v>
      </c>
      <c r="AB14" s="8"/>
      <c r="AC14" s="8"/>
      <c r="AD14" s="8"/>
      <c r="AE14" s="103">
        <v>45225</v>
      </c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4"/>
      <c r="AV14" s="14"/>
      <c r="AW14" s="14"/>
      <c r="AX14" s="14"/>
      <c r="AY14" s="14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</row>
    <row r="15" spans="1:75" x14ac:dyDescent="0.2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 t="s">
        <v>11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1">
        <f>AE14</f>
        <v>45225</v>
      </c>
    </row>
    <row r="16" spans="1:75" x14ac:dyDescent="0.25">
      <c r="A16" s="8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04" t="str">
        <f>VLOOKUP(BJ16,подписанты!$B$3:$C$11,2,FALSE)</f>
        <v>Руководитель группы МТО АО «Газстройпроект»</v>
      </c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5" t="s">
        <v>105</v>
      </c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65" t="s">
        <v>13</v>
      </c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25"/>
      <c r="BL17" s="25"/>
      <c r="BM17" s="25"/>
      <c r="BN17" s="25"/>
      <c r="BO17" s="25"/>
      <c r="BP17" s="15"/>
      <c r="BQ17" s="15"/>
      <c r="BR17" s="15"/>
      <c r="BS17" s="15"/>
      <c r="BT17" s="15"/>
    </row>
    <row r="18" spans="1:83" x14ac:dyDescent="0.25">
      <c r="A18" s="8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07" t="str">
        <f>VLOOKUP(BJ18,подписанты!$B$3:$C$11,2,FALSE)</f>
        <v>Инженер отдела технического надзора АО «Газстройпроект»</v>
      </c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5" t="s">
        <v>66</v>
      </c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7" t="s">
        <v>13</v>
      </c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65"/>
      <c r="BK19" s="15"/>
      <c r="BL19" s="15"/>
      <c r="BM19" s="15"/>
      <c r="BN19" s="15"/>
      <c r="BO19" s="15"/>
      <c r="BP19" s="15"/>
      <c r="BQ19" s="15"/>
      <c r="BR19" s="15"/>
      <c r="BS19" s="15"/>
      <c r="BT19" s="15"/>
    </row>
    <row r="20" spans="1:83" ht="40.200000000000003" customHeight="1" x14ac:dyDescent="0.25">
      <c r="A20" s="8" t="s">
        <v>15</v>
      </c>
      <c r="B20" s="8"/>
      <c r="C20" s="8"/>
      <c r="D20" s="8"/>
      <c r="E20" s="8"/>
      <c r="F20" s="8"/>
      <c r="G20" s="8"/>
      <c r="H20" s="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04" t="str">
        <f>VLOOKUP(BJ20,подписанты!$B$3:$C$11,2,FALSE)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8" t="s">
        <v>88</v>
      </c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</row>
    <row r="21" spans="1:83" ht="13.2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65" t="s">
        <v>13</v>
      </c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83" x14ac:dyDescent="0.25">
      <c r="A22" s="8" t="s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6"/>
      <c r="O22" s="66" t="s">
        <v>86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8" t="s">
        <v>17</v>
      </c>
      <c r="BR22" s="13"/>
      <c r="BS22" s="13"/>
      <c r="BT22" s="13"/>
    </row>
    <row r="23" spans="1:83" x14ac:dyDescent="0.25">
      <c r="A23" s="8"/>
      <c r="B23" s="8"/>
      <c r="C23" s="8"/>
      <c r="D23" s="8"/>
      <c r="E23" s="96" t="s">
        <v>47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Y23" s="85" t="s">
        <v>79</v>
      </c>
      <c r="BZ23" s="85"/>
      <c r="CA23" s="85"/>
      <c r="CB23" s="85"/>
      <c r="CC23" s="85"/>
      <c r="CD23" s="85"/>
      <c r="CE23" s="85"/>
    </row>
    <row r="24" spans="1:83" x14ac:dyDescent="0.25">
      <c r="A24" s="95" t="s">
        <v>116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Y24" s="85"/>
      <c r="BZ24" s="85"/>
      <c r="CA24" s="85"/>
      <c r="CB24" s="85"/>
      <c r="CC24" s="85"/>
      <c r="CD24" s="85"/>
      <c r="CE24" s="85"/>
    </row>
    <row r="25" spans="1:83" x14ac:dyDescent="0.25">
      <c r="A25" s="62" t="s">
        <v>117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0"/>
      <c r="BY25" s="59"/>
      <c r="BZ25" s="59"/>
      <c r="CA25" s="59"/>
      <c r="CB25" s="59"/>
      <c r="CC25" s="59"/>
      <c r="CD25" s="59"/>
      <c r="CE25" s="59"/>
    </row>
    <row r="26" spans="1:83" ht="13.8" customHeight="1" x14ac:dyDescent="0.25">
      <c r="A26" s="10" t="s">
        <v>18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3"/>
      <c r="S26" s="8"/>
      <c r="T26" s="52"/>
      <c r="U26" s="91" t="s">
        <v>110</v>
      </c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Y26" s="85"/>
      <c r="BZ26" s="85"/>
      <c r="CA26" s="85"/>
      <c r="CB26" s="85"/>
      <c r="CC26" s="85"/>
      <c r="CD26" s="85"/>
    </row>
    <row r="27" spans="1:83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2" t="s">
        <v>19</v>
      </c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</row>
    <row r="28" spans="1:83" x14ac:dyDescent="0.25">
      <c r="A28" s="10" t="s">
        <v>20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9"/>
      <c r="T28" s="19"/>
      <c r="U28" s="93" t="s">
        <v>51</v>
      </c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</row>
    <row r="29" spans="1:83" x14ac:dyDescent="0.25">
      <c r="A29" s="87" t="s">
        <v>21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Y29" s="41" t="s">
        <v>80</v>
      </c>
    </row>
    <row r="30" spans="1:83" ht="13.95" customHeight="1" x14ac:dyDescent="0.25">
      <c r="A30" s="8"/>
      <c r="B30" s="8"/>
      <c r="C30" s="8"/>
      <c r="D30" s="8" t="s">
        <v>22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7"/>
      <c r="AH30" s="7"/>
      <c r="AI30" s="7"/>
      <c r="AJ30" s="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Y30" s="85" t="s">
        <v>81</v>
      </c>
      <c r="BZ30" s="85"/>
      <c r="CA30" s="85"/>
      <c r="CB30" s="85"/>
      <c r="CC30" s="85"/>
      <c r="CD30" s="85"/>
      <c r="CE30" s="85"/>
    </row>
    <row r="31" spans="1:83" ht="13.95" customHeight="1" x14ac:dyDescent="0.25">
      <c r="A31" s="8" t="s">
        <v>23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29"/>
      <c r="AJ31" s="8"/>
      <c r="AK31" s="88" t="s">
        <v>111</v>
      </c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Y31" s="85"/>
      <c r="BZ31" s="85"/>
      <c r="CA31" s="85"/>
      <c r="CB31" s="85"/>
      <c r="CC31" s="85"/>
      <c r="CD31" s="85"/>
      <c r="CE31" s="85"/>
    </row>
    <row r="32" spans="1:83" x14ac:dyDescent="0.25">
      <c r="A32" s="89" t="s">
        <v>112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Y32" s="85"/>
      <c r="BZ32" s="85"/>
      <c r="CA32" s="85"/>
      <c r="CB32" s="85"/>
      <c r="CC32" s="85"/>
      <c r="CD32" s="85"/>
      <c r="CE32" s="85"/>
    </row>
    <row r="33" spans="1:83" x14ac:dyDescent="0.25">
      <c r="A33" s="109" t="s">
        <v>113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57"/>
      <c r="BY33" s="85"/>
      <c r="BZ33" s="85"/>
      <c r="CA33" s="85"/>
      <c r="CB33" s="85"/>
      <c r="CC33" s="85"/>
      <c r="CD33" s="85"/>
      <c r="CE33" s="85"/>
    </row>
    <row r="34" spans="1:83" x14ac:dyDescent="0.25">
      <c r="A34" s="65" t="s">
        <v>24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Y34" s="85"/>
      <c r="BZ34" s="85"/>
      <c r="CA34" s="85"/>
      <c r="CB34" s="85"/>
      <c r="CC34" s="85"/>
      <c r="CD34" s="85"/>
      <c r="CE34" s="85"/>
    </row>
    <row r="35" spans="1:83" x14ac:dyDescent="0.25">
      <c r="A35" s="90" t="s">
        <v>57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Y35" s="85"/>
      <c r="BZ35" s="85"/>
      <c r="CA35" s="85"/>
      <c r="CB35" s="85"/>
      <c r="CC35" s="85"/>
      <c r="CD35" s="85"/>
      <c r="CE35" s="85"/>
    </row>
    <row r="36" spans="1:83" x14ac:dyDescent="0.25">
      <c r="A36" s="16" t="s">
        <v>58</v>
      </c>
      <c r="B36" s="17"/>
      <c r="C36" s="17"/>
      <c r="D36" s="86" t="s">
        <v>118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Y36" s="85"/>
      <c r="BZ36" s="85"/>
      <c r="CA36" s="85"/>
      <c r="CB36" s="85"/>
      <c r="CC36" s="85"/>
      <c r="CD36" s="85"/>
      <c r="CE36" s="85"/>
    </row>
    <row r="37" spans="1:83" x14ac:dyDescent="0.25">
      <c r="A37" s="63" t="s">
        <v>119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1"/>
      <c r="BY37" s="85"/>
      <c r="BZ37" s="85"/>
      <c r="CA37" s="85"/>
      <c r="CB37" s="85"/>
      <c r="CC37" s="85"/>
      <c r="CD37" s="85"/>
      <c r="CE37" s="85"/>
    </row>
    <row r="38" spans="1:83" ht="13.8" customHeight="1" x14ac:dyDescent="0.25">
      <c r="A38" s="75" t="s">
        <v>25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Y38" s="85"/>
      <c r="BZ38" s="85"/>
      <c r="CA38" s="85"/>
      <c r="CB38" s="85"/>
      <c r="CC38" s="85"/>
      <c r="CD38" s="85"/>
      <c r="CE38" s="85"/>
    </row>
    <row r="39" spans="1:83" ht="13.8" customHeight="1" x14ac:dyDescent="0.25">
      <c r="A39" s="8" t="s">
        <v>26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55"/>
      <c r="Y39" s="94" t="s">
        <v>115</v>
      </c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54"/>
      <c r="BY39" s="85"/>
      <c r="BZ39" s="85"/>
      <c r="CA39" s="85"/>
      <c r="CB39" s="85"/>
      <c r="CC39" s="85"/>
      <c r="CD39" s="85"/>
      <c r="CE39" s="85"/>
    </row>
    <row r="40" spans="1:8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8"/>
      <c r="Y40" s="65" t="s">
        <v>27</v>
      </c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Y40" s="85"/>
      <c r="BZ40" s="85"/>
      <c r="CA40" s="85"/>
      <c r="CB40" s="85"/>
      <c r="CC40" s="85"/>
      <c r="CD40" s="85"/>
      <c r="CE40" s="85"/>
    </row>
    <row r="41" spans="1:83" x14ac:dyDescent="0.25">
      <c r="A41" s="8" t="s">
        <v>28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7"/>
      <c r="AG41" s="7"/>
      <c r="AH41" s="7"/>
      <c r="AI41" s="7"/>
      <c r="AJ41" s="81" t="s">
        <v>29</v>
      </c>
      <c r="AK41" s="81"/>
      <c r="AL41" s="81"/>
      <c r="AM41" s="81"/>
      <c r="AN41" s="81"/>
      <c r="AO41" s="81"/>
      <c r="AP41" s="81"/>
      <c r="AQ41" s="81"/>
      <c r="AR41" s="81"/>
      <c r="AS41" s="81"/>
      <c r="AT41" s="82" t="s">
        <v>70</v>
      </c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</row>
    <row r="42" spans="1:83" x14ac:dyDescent="0.25">
      <c r="A42" s="10" t="s">
        <v>30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2"/>
      <c r="O42" s="52"/>
      <c r="P42" s="52"/>
      <c r="Q42" s="83" t="str">
        <f>U26</f>
        <v>ПП2020РД-1.2-61.17-ИТП; ПП2020РД-1.2-61.17-ИТП.СО; изм.4; лист  12</v>
      </c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</row>
    <row r="43" spans="1:83" x14ac:dyDescent="0.25">
      <c r="A43" s="8"/>
      <c r="B43" s="8"/>
      <c r="C43" s="8"/>
      <c r="D43" s="10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9"/>
      <c r="X43" s="8"/>
      <c r="Y43" s="30"/>
      <c r="Z43" s="30"/>
      <c r="AA43" s="84" t="str">
        <f>AK31</f>
        <v>Паспорт б/н от 07.08.2023,</v>
      </c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</row>
    <row r="44" spans="1:83" x14ac:dyDescent="0.25">
      <c r="A44" s="64" t="str">
        <f>A32</f>
        <v>Декларация о соответствии № ЕАЭС N RU Д-RU.PA02.B.10318/23 с 28.02.2023 по 27.02.2028,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</row>
    <row r="45" spans="1:83" x14ac:dyDescent="0.25">
      <c r="A45" s="64" t="str">
        <f>A33</f>
        <v>Паспорт б/н от 27.07.2023,  Декларация о соответствии № ЕАЭС N RU Д-RU.PA09.B.43820/22 с 27.12.2022 по 25.12.2027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56"/>
    </row>
    <row r="46" spans="1:83" ht="12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77" t="s">
        <v>32</v>
      </c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Y46" t="s">
        <v>82</v>
      </c>
    </row>
    <row r="47" spans="1:83" x14ac:dyDescent="0.25">
      <c r="A47" s="8" t="s">
        <v>33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21"/>
    </row>
    <row r="48" spans="1:83" x14ac:dyDescent="0.25">
      <c r="A48" s="31"/>
      <c r="B48" s="8"/>
      <c r="C48" s="8"/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7"/>
      <c r="X48" s="7"/>
      <c r="Y48" s="7"/>
      <c r="Z48" s="7"/>
      <c r="AA48" s="31"/>
      <c r="AB48" s="7"/>
      <c r="AC48" s="31"/>
      <c r="AD48" s="78" t="s">
        <v>35</v>
      </c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</row>
    <row r="49" spans="1:77" x14ac:dyDescent="0.25">
      <c r="A49" s="8"/>
      <c r="B49" s="8"/>
      <c r="C49" s="8"/>
      <c r="D49" s="8"/>
      <c r="E49" s="8"/>
      <c r="F49" s="8"/>
      <c r="G49" s="8"/>
      <c r="H49" s="8"/>
      <c r="I49" s="8"/>
      <c r="J49" s="80" t="s">
        <v>36</v>
      </c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</row>
    <row r="50" spans="1:77" x14ac:dyDescent="0.25">
      <c r="A50" s="10" t="s">
        <v>37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26"/>
      <c r="W50" s="32"/>
      <c r="X50" s="27"/>
      <c r="Y50" s="76" t="str">
        <f>U26</f>
        <v>ПП2020РД-1.2-61.17-ИТП; ПП2020РД-1.2-61.17-ИТП.СО; изм.4; лист  12</v>
      </c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</row>
    <row r="51" spans="1:77" x14ac:dyDescent="0.25">
      <c r="A51" s="8" t="s">
        <v>38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31"/>
      <c r="M51" s="22"/>
      <c r="N51" s="79" t="s">
        <v>114</v>
      </c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</row>
    <row r="52" spans="1:77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</row>
    <row r="53" spans="1:77" x14ac:dyDescent="0.25">
      <c r="A53" s="8" t="s">
        <v>39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12"/>
    </row>
    <row r="54" spans="1:77" x14ac:dyDescent="0.25">
      <c r="A54" s="8" t="s">
        <v>12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0" t="str">
        <f>BJ16</f>
        <v>Кострова Н.Л.</v>
      </c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8"/>
      <c r="AP54" s="8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8"/>
      <c r="BG54" s="8"/>
      <c r="BH54" s="72">
        <f>AE14</f>
        <v>45225</v>
      </c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12"/>
    </row>
    <row r="55" spans="1:7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65" t="s">
        <v>59</v>
      </c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28"/>
      <c r="AP55" s="28"/>
      <c r="AQ55" s="65" t="s">
        <v>40</v>
      </c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28"/>
      <c r="BG55" s="28"/>
      <c r="BH55" s="65" t="s">
        <v>41</v>
      </c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24"/>
    </row>
    <row r="56" spans="1:77" x14ac:dyDescent="0.25">
      <c r="A56" s="8" t="s">
        <v>42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12"/>
      <c r="BY56" t="s">
        <v>83</v>
      </c>
    </row>
    <row r="57" spans="1:77" x14ac:dyDescent="0.25">
      <c r="A57" s="8" t="s">
        <v>43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0" t="str">
        <f>BJ18</f>
        <v>Халыгов Э. А.</v>
      </c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8"/>
      <c r="AP57" s="8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8"/>
      <c r="BG57" s="8"/>
      <c r="BH57" s="72">
        <f>BH54</f>
        <v>45225</v>
      </c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12"/>
    </row>
    <row r="58" spans="1:77" ht="16.2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65" t="s">
        <v>59</v>
      </c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28"/>
      <c r="AP58" s="28"/>
      <c r="AQ58" s="65" t="s">
        <v>40</v>
      </c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28"/>
      <c r="BG58" s="28"/>
      <c r="BH58" s="65" t="s">
        <v>41</v>
      </c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12"/>
      <c r="BY58" t="s">
        <v>84</v>
      </c>
    </row>
    <row r="59" spans="1:77" x14ac:dyDescent="0.25">
      <c r="A59" s="8" t="s">
        <v>39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12"/>
      <c r="BY59" t="s">
        <v>85</v>
      </c>
    </row>
    <row r="60" spans="1:77" x14ac:dyDescent="0.25">
      <c r="A60" s="8" t="s">
        <v>44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6" t="str">
        <f>BJ20</f>
        <v>Тюкин Е.В.</v>
      </c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8"/>
      <c r="AP60" s="8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8"/>
      <c r="BG60" s="8"/>
      <c r="BH60" s="72">
        <f>BH54</f>
        <v>45225</v>
      </c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12"/>
    </row>
    <row r="61" spans="1:7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65" t="s">
        <v>59</v>
      </c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28"/>
      <c r="AP61" s="28"/>
      <c r="AQ61" s="65" t="s">
        <v>40</v>
      </c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28"/>
      <c r="BG61" s="28"/>
      <c r="BH61" s="65" t="s">
        <v>41</v>
      </c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12"/>
    </row>
    <row r="62" spans="1:77" hidden="1" x14ac:dyDescent="0.25">
      <c r="A62" s="13"/>
      <c r="B62" s="13"/>
      <c r="C62" s="13"/>
      <c r="D62" s="7"/>
      <c r="E62" s="7"/>
      <c r="F62" s="7"/>
      <c r="G62" s="7"/>
      <c r="H62" s="7"/>
      <c r="I62" s="7"/>
      <c r="J62" s="7"/>
      <c r="K62" s="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77" x14ac:dyDescent="0.25">
      <c r="A63" s="73" t="s">
        <v>104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13"/>
      <c r="AN63" s="13"/>
      <c r="AO63" s="8"/>
      <c r="AP63" s="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8"/>
      <c r="BG63" s="8"/>
      <c r="BH63" s="69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12"/>
    </row>
    <row r="64" spans="1:77" ht="16.8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10"/>
      <c r="AN64" s="10"/>
      <c r="AO64" s="8"/>
      <c r="AP64" s="8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8"/>
      <c r="BG64" s="8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12"/>
    </row>
    <row r="65" spans="1:72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  <row r="67" spans="1:72" ht="13.8" customHeight="1" x14ac:dyDescent="0.25"/>
    <row r="70" spans="1:72" ht="13.8" customHeight="1" x14ac:dyDescent="0.25"/>
  </sheetData>
  <mergeCells count="80">
    <mergeCell ref="S18:BI18"/>
    <mergeCell ref="BJ18:BT18"/>
    <mergeCell ref="T19:BJ19"/>
    <mergeCell ref="S20:BI20"/>
    <mergeCell ref="BJ20:BT20"/>
    <mergeCell ref="A11:BT11"/>
    <mergeCell ref="AE14:AT14"/>
    <mergeCell ref="T17:BJ17"/>
    <mergeCell ref="S16:BI16"/>
    <mergeCell ref="BJ16:BT16"/>
    <mergeCell ref="A13:BT13"/>
    <mergeCell ref="A12:BS12"/>
    <mergeCell ref="AH6:BT7"/>
    <mergeCell ref="G7:H7"/>
    <mergeCell ref="I7:O7"/>
    <mergeCell ref="AF9:AW9"/>
    <mergeCell ref="A10:BT10"/>
    <mergeCell ref="A3:E3"/>
    <mergeCell ref="F3:H3"/>
    <mergeCell ref="I3:K3"/>
    <mergeCell ref="A6:E6"/>
    <mergeCell ref="F6:H6"/>
    <mergeCell ref="I6:K6"/>
    <mergeCell ref="BY23:CE24"/>
    <mergeCell ref="BY26:CD26"/>
    <mergeCell ref="BY30:CE40"/>
    <mergeCell ref="D36:BT36"/>
    <mergeCell ref="A29:BT29"/>
    <mergeCell ref="AK31:BT31"/>
    <mergeCell ref="A32:BT32"/>
    <mergeCell ref="A34:BT34"/>
    <mergeCell ref="A35:BT35"/>
    <mergeCell ref="U26:BT26"/>
    <mergeCell ref="P27:BT27"/>
    <mergeCell ref="U28:BT28"/>
    <mergeCell ref="Y39:BT39"/>
    <mergeCell ref="Y40:BT40"/>
    <mergeCell ref="A24:BT24"/>
    <mergeCell ref="E23:BT23"/>
    <mergeCell ref="A38:BT38"/>
    <mergeCell ref="Y50:BT50"/>
    <mergeCell ref="V46:BT46"/>
    <mergeCell ref="AD48:BT48"/>
    <mergeCell ref="N51:BT51"/>
    <mergeCell ref="J49:BT49"/>
    <mergeCell ref="AJ41:AS41"/>
    <mergeCell ref="AT41:BT41"/>
    <mergeCell ref="Q42:BT42"/>
    <mergeCell ref="AA43:BT43"/>
    <mergeCell ref="A44:BT44"/>
    <mergeCell ref="A45:BS45"/>
    <mergeCell ref="AQ58:BE58"/>
    <mergeCell ref="BH58:BS58"/>
    <mergeCell ref="X57:AN57"/>
    <mergeCell ref="AQ57:BE57"/>
    <mergeCell ref="BH57:BS57"/>
    <mergeCell ref="X55:AN55"/>
    <mergeCell ref="AQ55:BE55"/>
    <mergeCell ref="BH55:BS55"/>
    <mergeCell ref="X58:AN58"/>
    <mergeCell ref="AQ63:BE63"/>
    <mergeCell ref="BH63:BS63"/>
    <mergeCell ref="X54:AN54"/>
    <mergeCell ref="AQ54:BE54"/>
    <mergeCell ref="BH54:BS54"/>
    <mergeCell ref="A63:AL65"/>
    <mergeCell ref="X61:AN61"/>
    <mergeCell ref="AQ64:BE64"/>
    <mergeCell ref="BH64:BS64"/>
    <mergeCell ref="X60:AN60"/>
    <mergeCell ref="AQ60:BE60"/>
    <mergeCell ref="BH60:BS60"/>
    <mergeCell ref="AQ61:BE61"/>
    <mergeCell ref="BH61:BS61"/>
    <mergeCell ref="A25:BS25"/>
    <mergeCell ref="A37:BS37"/>
    <mergeCell ref="T21:BJ21"/>
    <mergeCell ref="O22:BP22"/>
    <mergeCell ref="AK30:BT30"/>
    <mergeCell ref="A33:BS33"/>
  </mergeCells>
  <phoneticPr fontId="21" type="noConversion"/>
  <dataValidations count="4">
    <dataValidation type="list" errorStyle="information" allowBlank="1" showInputMessage="1" sqref="O22:BP22" xr:uid="{00000000-0002-0000-0000-000000000000}">
      <formula1>"выборочный,сплошной"</formula1>
    </dataValidation>
    <dataValidation type="list" allowBlank="1" showInputMessage="1" showErrorMessage="1" sqref="N22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BJ20:BT20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BJ18:BT18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BJ16:BT16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T26:U26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S28:U28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3" customWidth="1"/>
    <col min="2" max="2" width="21.6640625" style="33" customWidth="1"/>
    <col min="3" max="3" width="49.77734375" style="33" customWidth="1"/>
    <col min="4" max="5" width="10.109375" style="33" customWidth="1"/>
    <col min="6" max="6" width="44.77734375" style="33" customWidth="1"/>
    <col min="7" max="16384" width="8.88671875" style="33"/>
  </cols>
  <sheetData>
    <row r="2" spans="1:6" ht="29.4" customHeight="1" x14ac:dyDescent="0.25">
      <c r="A2" s="39" t="s">
        <v>10</v>
      </c>
      <c r="B2" s="40" t="s">
        <v>74</v>
      </c>
      <c r="C2" s="40" t="s">
        <v>73</v>
      </c>
      <c r="D2" s="38" t="s">
        <v>71</v>
      </c>
      <c r="E2" s="38" t="s">
        <v>72</v>
      </c>
    </row>
    <row r="3" spans="1:6" x14ac:dyDescent="0.25">
      <c r="A3" s="34" t="s">
        <v>12</v>
      </c>
      <c r="B3" s="50" t="s">
        <v>105</v>
      </c>
      <c r="C3" s="58" t="s">
        <v>106</v>
      </c>
      <c r="D3" s="36">
        <v>44927</v>
      </c>
      <c r="E3" s="36">
        <v>45337</v>
      </c>
    </row>
    <row r="4" spans="1:6" x14ac:dyDescent="0.25">
      <c r="A4" s="34" t="s">
        <v>12</v>
      </c>
      <c r="B4" s="33" t="s">
        <v>75</v>
      </c>
      <c r="C4" s="42" t="s">
        <v>76</v>
      </c>
      <c r="D4" s="36">
        <v>45337</v>
      </c>
      <c r="E4" s="36">
        <v>45657</v>
      </c>
    </row>
    <row r="5" spans="1:6" x14ac:dyDescent="0.25">
      <c r="A5" s="34" t="s">
        <v>14</v>
      </c>
      <c r="B5" s="33" t="s">
        <v>66</v>
      </c>
      <c r="C5" s="35" t="s">
        <v>65</v>
      </c>
      <c r="D5" s="36">
        <v>45166</v>
      </c>
      <c r="E5" s="36">
        <v>45657</v>
      </c>
    </row>
    <row r="6" spans="1:6" x14ac:dyDescent="0.25">
      <c r="A6" s="34" t="s">
        <v>14</v>
      </c>
      <c r="B6" s="33" t="s">
        <v>78</v>
      </c>
      <c r="C6" s="35" t="s">
        <v>77</v>
      </c>
      <c r="D6" s="36">
        <v>44927</v>
      </c>
      <c r="E6" s="36">
        <v>45166</v>
      </c>
    </row>
    <row r="7" spans="1:6" ht="27.6" x14ac:dyDescent="0.25">
      <c r="A7" s="34" t="s">
        <v>14</v>
      </c>
      <c r="B7" s="45" t="s">
        <v>89</v>
      </c>
      <c r="C7" s="35" t="s">
        <v>65</v>
      </c>
      <c r="D7" s="36">
        <v>45278</v>
      </c>
      <c r="E7" s="36">
        <v>45342</v>
      </c>
      <c r="F7" s="44" t="s">
        <v>90</v>
      </c>
    </row>
    <row r="8" spans="1:6" ht="55.2" x14ac:dyDescent="0.25">
      <c r="A8" s="46" t="s">
        <v>15</v>
      </c>
      <c r="B8" s="47" t="s">
        <v>64</v>
      </c>
      <c r="C8" s="48" t="s">
        <v>63</v>
      </c>
      <c r="D8" s="49">
        <v>44927</v>
      </c>
      <c r="E8" s="49">
        <v>45657</v>
      </c>
    </row>
    <row r="9" spans="1:6" ht="55.2" x14ac:dyDescent="0.25">
      <c r="A9" s="37" t="s">
        <v>15</v>
      </c>
      <c r="B9" s="33" t="s">
        <v>88</v>
      </c>
      <c r="C9" s="43" t="s">
        <v>87</v>
      </c>
      <c r="F9" s="50" t="s">
        <v>91</v>
      </c>
    </row>
    <row r="11" spans="1:6" x14ac:dyDescent="0.25">
      <c r="A11" s="34"/>
    </row>
    <row r="12" spans="1:6" x14ac:dyDescent="0.25">
      <c r="A1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2026-02-16T15:37:04Z</cp:lastPrinted>
  <dcterms:created xsi:type="dcterms:W3CDTF">2023-09-19T09:44:50Z</dcterms:created>
  <dcterms:modified xsi:type="dcterms:W3CDTF">2026-02-16T15:38:19Z</dcterms:modified>
</cp:coreProperties>
</file>