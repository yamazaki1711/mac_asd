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58CF66C3-060A-4E92-80E5-14C3CB5025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акт!$A$1:$BT$117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5" i="18" l="1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74" i="18"/>
  <c r="AA99" i="18"/>
  <c r="A100" i="18" l="1"/>
  <c r="D73" i="18" l="1"/>
  <c r="Q98" i="18" l="1"/>
  <c r="BW34" i="18" l="1"/>
  <c r="S39" i="18" l="1"/>
  <c r="S37" i="18"/>
  <c r="S35" i="18"/>
  <c r="X114" i="18" l="1"/>
  <c r="X111" i="18"/>
  <c r="BH108" i="18"/>
  <c r="BH114" i="18" s="1"/>
  <c r="X108" i="18"/>
  <c r="Y105" i="18"/>
  <c r="BH111" i="18" l="1"/>
</calcChain>
</file>

<file path=xl/sharedStrings.xml><?xml version="1.0" encoding="utf-8"?>
<sst xmlns="http://schemas.openxmlformats.org/spreadsheetml/2006/main" count="177" uniqueCount="153">
  <si>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</si>
  <si>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</si>
  <si>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</si>
  <si>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</si>
  <si>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</si>
  <si>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</si>
  <si>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</si>
  <si>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</si>
  <si>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</si>
  <si>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</si>
  <si>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</si>
  <si>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</si>
  <si>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</si>
  <si>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</si>
  <si>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</si>
  <si>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</si>
  <si>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</si>
  <si>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</si>
  <si>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</si>
  <si>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</si>
  <si>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</si>
  <si>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</si>
  <si>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</si>
  <si>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</si>
  <si>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</si>
  <si>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</si>
  <si>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</si>
  <si>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</si>
  <si>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</si>
  <si>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</si>
  <si>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</si>
  <si>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</si>
  <si>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</si>
  <si>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</si>
  <si>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</si>
  <si>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</si>
  <si>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</si>
  <si>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</si>
  <si>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</si>
  <si>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</si>
  <si>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</si>
  <si>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</si>
  <si>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</si>
  <si>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</si>
  <si>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</si>
  <si>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</si>
  <si>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</si>
  <si>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</si>
  <si>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</si>
  <si>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</si>
  <si>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</si>
  <si>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</si>
  <si>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</si>
  <si>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</si>
  <si>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</si>
  <si>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</si>
  <si>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</si>
  <si>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</si>
  <si>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</si>
  <si>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</si>
  <si>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</si>
  <si>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</si>
  <si>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</si>
  <si>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</si>
  <si>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</si>
  <si>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</si>
  <si>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</si>
  <si>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</si>
  <si>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</si>
  <si>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</si>
  <si>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</si>
  <si>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</si>
  <si>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</si>
  <si>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</si>
  <si>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</si>
  <si>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</si>
  <si>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</si>
  <si>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</si>
  <si>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</si>
  <si>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</si>
  <si>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</si>
  <si>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</si>
  <si>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</si>
  <si>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</si>
  <si>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</si>
  <si>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</si>
  <si>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</si>
  <si>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</si>
  <si>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</si>
  <si>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</si>
  <si>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</si>
  <si>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</si>
  <si>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</si>
  <si>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</si>
  <si>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</si>
  <si>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</si>
  <si>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</si>
  <si>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</si>
  <si>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</si>
  <si>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</si>
  <si>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</si>
  <si>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</si>
  <si>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</si>
  <si>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</si>
  <si>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</si>
  <si>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</si>
  <si>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Кострова Н.Л.</t>
  </si>
  <si>
    <t>Руководитель группы МТО АО «Газстройпроект»</t>
  </si>
  <si>
    <t>АИР 1.2-61.17-ИТП/БТП1</t>
  </si>
  <si>
    <t>2. Манометр показывающий ТМ510 0..16бар. 100мм. G1/2 кл. точн. 1.5 IP43;</t>
  </si>
  <si>
    <t>3. Кран под манометр трехходовой резьбовой G1/2/Ру25/Tmax150;</t>
  </si>
  <si>
    <t>4. Термометр биметаллический О80мм 0..160С, L=100 мм, кл. точн. 1.5, IP43;</t>
  </si>
  <si>
    <t>5. Грязевик DN50 PN16 Cт20 RAL 7016 сталь ф/ф;</t>
  </si>
  <si>
    <t>9. Преобразователь давление СДВ-И 4-20 мА/0-16 бар;</t>
  </si>
  <si>
    <t>10. Расходомер Питерфлоу Dy32/Фланцевый/Qmax15/Tmax150/PN16;</t>
  </si>
  <si>
    <t>11. Модуль присоединительный МП-РС 50/32/50;</t>
  </si>
  <si>
    <t>12. Термометр сопротивления КТС-Б-Рт100-В-х4-П-3-80/8-50-Е;</t>
  </si>
  <si>
    <t>13. Термометр биметаллический О80мм 0..120С, L=100 мм, кл. точн. 1.5, IP43;</t>
  </si>
  <si>
    <t>15. Шкаф учета с тепловычислителем ТВ7-04М(RS232) тип 5;</t>
  </si>
  <si>
    <t>16. Регулятор давления после себя VFG-2R/Dy32/Rvs16/Tmax150/Pmax16 сталь ф/ф;</t>
  </si>
  <si>
    <t>17. Регулирующий блок AFD-R 1,0-6,0;</t>
  </si>
  <si>
    <t>18. Трубная обвязка элементов блока;</t>
  </si>
  <si>
    <t>19. Наклейка для шильдика БТП;</t>
  </si>
  <si>
    <t xml:space="preserve">БТП Ридан N0507232064-1: </t>
  </si>
  <si>
    <t>20. Шаровой кран Ду15/Ру40/Tmax180 сталь с/с.</t>
  </si>
  <si>
    <t xml:space="preserve">БТП Ридан N0507232064-1 - 1 компл.: </t>
  </si>
  <si>
    <t>2. Манометр показывающий ТМ510 0..16бар. 100мм. G1/2 кл. точн. 1.5 IP43 - 8 шт;</t>
  </si>
  <si>
    <t>3. Кран под манометр трехходовой резьбовой G1/2/Ру25/Tmax150 - 10 шт;</t>
  </si>
  <si>
    <t>4. Термометр биметаллический О80мм 0..160С, L=100 мм, кл. точн. 1.5, IP43 - 1 шт;</t>
  </si>
  <si>
    <t>5. Грязевик DN50 PN16 Cт20 RAL 7016 сталь ф/ф - 1 шт;</t>
  </si>
  <si>
    <t>9. Преобразователь давление СДВ-И 4-20 мА/0-16 бар - 2 шт;</t>
  </si>
  <si>
    <t>10. Расходомер Питерфлоу Dy32/Фланцевый/Qmax15/Tmax150/PN16 - 2 шт;</t>
  </si>
  <si>
    <t>11. Модуль присоединительный МП-РС 50/32/50 - 2 шт;</t>
  </si>
  <si>
    <t>12. Термометр сопротивления КТС-Б-Рт100-В-х4-П-3-80/8-50-Е - 1 шт;</t>
  </si>
  <si>
    <t>13. Термометр биметаллический О80мм 0..120С, L=100 мм, кл. точн. 1.5, IP43 - 1 шт;</t>
  </si>
  <si>
    <t>14. Спускник Ду25/РУ40/Tmax180 сталь с/с - 2 шт;</t>
  </si>
  <si>
    <t>15. Шкаф учета с тепловычислителем ТВ7-04М(RS232) тип 5 - 1 шт;</t>
  </si>
  <si>
    <t>16. Регулятор давления после себя VFG-2R/Dy32/Rvs16/Tmax150/Pmax16 сталь ф/ф - 1 шт;</t>
  </si>
  <si>
    <t>17. Регулирующий блок AFD-R 1,0-6,0 - 1 шт;</t>
  </si>
  <si>
    <t>18. Трубная обвязка элементов блока - 1 шт;</t>
  </si>
  <si>
    <t>19. Наклейка для шильдика БТП -- 1 шт;</t>
  </si>
  <si>
    <t>20. Шаровой кран Ду15/Ру40/Tmax180 сталь с/с - 1 шт.</t>
  </si>
  <si>
    <t>ПП2020РД-1.2-61.17-ИТП; ПП2020РД-1.2-61.17-ИТП.СО; изм.4; л. 1, 2</t>
  </si>
  <si>
    <t xml:space="preserve">1. Шаровой кран RJIP Standard FF/Ду50/Ру16/Tmax150 сталь ф/ф; </t>
  </si>
  <si>
    <t xml:space="preserve">1. Шаровой кран RJIP Standard FF/Ду50/Ру16/Tmax150 сталь ф/ф - 4 шт; </t>
  </si>
  <si>
    <t>Паспорт б/н (УВ/НS23L-1896) от октября 2023.</t>
  </si>
  <si>
    <t>6. Воздушник BVS-R/Ду15/Ру63/Tmax180 нерж.сталь р/р;</t>
  </si>
  <si>
    <t>7. Спускник BVS-R/Dу15/Ру63/Tmax180 нерж. сталь р/р;</t>
  </si>
  <si>
    <t>8. Фильтр с магнитной вставкой Dy50/Ру16/Tmax300 чугун ф/ф;</t>
  </si>
  <si>
    <t>14. Спускник Ду25/Ру40/Tmax180 сталь с/с;</t>
  </si>
  <si>
    <t>6. Воздушник BVS-R/Ду15/Ру63/Tmax180 нерж.сталь р/р - 1 шт;</t>
  </si>
  <si>
    <t>7. Спускник BVS-R/Dу15/Ру63/Tmax180 нерж. сталь р/р - 1 шт;</t>
  </si>
  <si>
    <t>8. Фильтр с магнитной вставкой Dy50/Ру16/Tmax300 чугун ф/ф - 2 шт;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</si>
</sst>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3" borderId="0" xfId="1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4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4" fontId="14" fillId="3" borderId="0" xfId="1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4" fontId="14" fillId="3" borderId="0" xfId="1" applyNumberFormat="1" applyFont="1" applyFill="1" applyAlignment="1">
      <alignment horizontal="left" vertical="center" wrapText="1"/>
    </xf>
    <xf numFmtId="14" fontId="14" fillId="4" borderId="0" xfId="1" applyNumberFormat="1" applyFont="1" applyFill="1" applyBorder="1" applyAlignment="1">
      <alignment horizontal="justify" vertic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justify" vertical="center" wrapText="1"/>
    </xf>
    <xf numFmtId="14" fontId="14" fillId="4" borderId="1" xfId="1" applyNumberFormat="1" applyFont="1" applyFill="1" applyBorder="1" applyAlignment="1">
      <alignment horizontal="justify" vertical="center"/>
    </xf>
    <xf numFmtId="164" fontId="14" fillId="4" borderId="1" xfId="1" applyNumberFormat="1" applyFont="1" applyFill="1" applyBorder="1" applyAlignment="1">
      <alignment horizontal="center"/>
    </xf>
    <xf numFmtId="0" fontId="16" fillId="2" borderId="2" xfId="1" applyFont="1" applyFill="1" applyBorder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wrapText="1"/>
    </xf>
    <xf numFmtId="14" fontId="14" fillId="4" borderId="2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left"/>
    </xf>
    <xf numFmtId="0" fontId="11" fillId="2" borderId="0" xfId="1" applyFont="1" applyFill="1" applyAlignment="1">
      <alignment horizontal="center"/>
    </xf>
    <xf numFmtId="0" fontId="16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5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2" fillId="3" borderId="1" xfId="1" applyFont="1" applyFill="1" applyBorder="1" applyAlignment="1">
      <alignment horizontal="left" wrapText="1"/>
    </xf>
    <xf numFmtId="14" fontId="14" fillId="4" borderId="3" xfId="1" applyNumberFormat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right" vertical="center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0</xdr:rowOff>
    </xdr:from>
    <xdr:to>
      <xdr:col>76</xdr:col>
      <xdr:colOff>201930</xdr:colOff>
      <xdr:row>31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41</xdr:row>
      <xdr:rowOff>0</xdr:rowOff>
    </xdr:from>
    <xdr:to>
      <xdr:col>75</xdr:col>
      <xdr:colOff>521970</xdr:colOff>
      <xdr:row>42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63</xdr:row>
      <xdr:rowOff>0</xdr:rowOff>
    </xdr:from>
    <xdr:to>
      <xdr:col>75</xdr:col>
      <xdr:colOff>521970</xdr:colOff>
      <xdr:row>63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66</xdr:row>
      <xdr:rowOff>0</xdr:rowOff>
    </xdr:from>
    <xdr:to>
      <xdr:col>75</xdr:col>
      <xdr:colOff>521970</xdr:colOff>
      <xdr:row>70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100</xdr:row>
      <xdr:rowOff>0</xdr:rowOff>
    </xdr:from>
    <xdr:to>
      <xdr:col>75</xdr:col>
      <xdr:colOff>521970</xdr:colOff>
      <xdr:row>100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109</xdr:row>
      <xdr:rowOff>0</xdr:rowOff>
    </xdr:from>
    <xdr:to>
      <xdr:col>75</xdr:col>
      <xdr:colOff>521970</xdr:colOff>
      <xdr:row>111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E124"/>
  <sheetViews>
    <sheetView tabSelected="1" view="pageBreakPreview" topLeftCell="A56" zoomScaleNormal="100" zoomScaleSheetLayoutView="100" workbookViewId="0">
      <selection activeCell="A55" sqref="A55:BS55"/>
    </sheetView>
  </sheetViews>
  <sheetFormatPr defaultRowHeight="13.8" x14ac:dyDescent="0.25"/>
  <cols>
    <col min="1" max="2" width="1.44140625" customWidth="1"/>
    <col min="3" max="3" width="2.5546875" customWidth="1"/>
    <col min="4" max="4" width="1.77734375" customWidth="1"/>
    <col min="5" max="5" width="1.44140625" customWidth="1"/>
    <col min="6" max="6" width="1.77734375" customWidth="1"/>
    <col min="7" max="7" width="2.6640625" customWidth="1"/>
    <col min="8" max="9" width="1.88671875" customWidth="1"/>
    <col min="10" max="11" width="1.44140625" customWidth="1"/>
    <col min="12" max="12" width="1.77734375" customWidth="1"/>
    <col min="13" max="13" width="2.33203125" customWidth="1"/>
    <col min="14" max="14" width="1.77734375" customWidth="1"/>
    <col min="15" max="15" width="1.44140625" customWidth="1"/>
    <col min="16" max="16" width="1.88671875" customWidth="1"/>
    <col min="17" max="24" width="1.44140625" customWidth="1"/>
    <col min="25" max="26" width="1.88671875" customWidth="1"/>
    <col min="27" max="27" width="1.44140625" customWidth="1"/>
    <col min="28" max="28" width="1.77734375" customWidth="1"/>
    <col min="29" max="29" width="1.44140625" customWidth="1"/>
    <col min="30" max="30" width="1.88671875" customWidth="1"/>
    <col min="31" max="33" width="1.44140625" customWidth="1"/>
    <col min="34" max="34" width="2.33203125" customWidth="1"/>
    <col min="35" max="38" width="1.44140625" customWidth="1"/>
    <col min="39" max="39" width="2.109375" customWidth="1"/>
    <col min="40" max="40" width="1.44140625" customWidth="1"/>
    <col min="41" max="41" width="2.21875" customWidth="1"/>
    <col min="42" max="42" width="1.88671875" customWidth="1"/>
    <col min="43" max="45" width="1.44140625" customWidth="1"/>
    <col min="46" max="46" width="1.77734375" customWidth="1"/>
    <col min="47" max="47" width="2.33203125" customWidth="1"/>
    <col min="48" max="48" width="1.44140625" customWidth="1"/>
    <col min="49" max="49" width="1.77734375" customWidth="1"/>
    <col min="50" max="50" width="2" customWidth="1"/>
    <col min="51" max="51" width="2.77734375" customWidth="1"/>
    <col min="52" max="53" width="1.44140625" customWidth="1"/>
    <col min="54" max="54" width="1.77734375" customWidth="1"/>
    <col min="55" max="55" width="1.44140625" customWidth="1"/>
    <col min="56" max="56" width="1.88671875" customWidth="1"/>
    <col min="57" max="58" width="1.44140625" customWidth="1"/>
    <col min="59" max="59" width="2" customWidth="1"/>
    <col min="60" max="60" width="1.44140625" customWidth="1"/>
    <col min="61" max="61" width="1.77734375" customWidth="1"/>
    <col min="62" max="62" width="1.44140625" customWidth="1"/>
    <col min="63" max="63" width="1.77734375" customWidth="1"/>
    <col min="64" max="66" width="1.44140625" customWidth="1"/>
    <col min="67" max="67" width="1.77734375" customWidth="1"/>
    <col min="68" max="68" width="1.44140625" customWidth="1"/>
    <col min="69" max="69" width="1.88671875" customWidth="1"/>
    <col min="70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5" t="s">
        <v>4</v>
      </c>
      <c r="B3" s="75"/>
      <c r="C3" s="75"/>
      <c r="D3" s="75"/>
      <c r="E3" s="75"/>
      <c r="F3" s="76" t="s">
        <v>5</v>
      </c>
      <c r="G3" s="76"/>
      <c r="H3" s="76"/>
      <c r="I3" s="77" t="s">
        <v>6</v>
      </c>
      <c r="J3" s="77"/>
      <c r="K3" s="7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x14ac:dyDescent="0.25">
      <c r="A6" s="75"/>
      <c r="B6" s="75"/>
      <c r="C6" s="75"/>
      <c r="D6" s="75"/>
      <c r="E6" s="75"/>
      <c r="F6" s="76"/>
      <c r="G6" s="76"/>
      <c r="H6" s="76"/>
      <c r="I6" s="77"/>
      <c r="J6" s="77"/>
      <c r="K6" s="7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8" t="s">
        <v>61</v>
      </c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</row>
    <row r="7" spans="1:72" x14ac:dyDescent="0.25">
      <c r="A7" s="8"/>
      <c r="B7" s="8"/>
      <c r="C7" s="8"/>
      <c r="D7" s="8"/>
      <c r="E7" s="8"/>
      <c r="F7" s="8"/>
      <c r="G7" s="79"/>
      <c r="H7" s="79"/>
      <c r="I7" s="77"/>
      <c r="J7" s="77"/>
      <c r="K7" s="77"/>
      <c r="L7" s="77"/>
      <c r="M7" s="77"/>
      <c r="N7" s="77"/>
      <c r="O7" s="7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65" t="s">
        <v>108</v>
      </c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66" t="s">
        <v>45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</row>
    <row r="11" spans="1:72" x14ac:dyDescent="0.25">
      <c r="A11" s="67" t="s">
        <v>123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</row>
    <row r="12" spans="1:72" x14ac:dyDescent="0.25">
      <c r="A12" s="74" t="s">
        <v>143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64"/>
    </row>
    <row r="13" spans="1:72" x14ac:dyDescent="0.25">
      <c r="A13" s="74" t="s">
        <v>109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64"/>
    </row>
    <row r="14" spans="1:72" x14ac:dyDescent="0.25">
      <c r="A14" s="74" t="s">
        <v>110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64"/>
    </row>
    <row r="15" spans="1:72" x14ac:dyDescent="0.25">
      <c r="A15" s="74" t="s">
        <v>111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64"/>
    </row>
    <row r="16" spans="1:72" x14ac:dyDescent="0.25">
      <c r="A16" s="74" t="s">
        <v>112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64"/>
    </row>
    <row r="17" spans="1:72" x14ac:dyDescent="0.25">
      <c r="A17" s="74" t="s">
        <v>146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64"/>
    </row>
    <row r="18" spans="1:72" x14ac:dyDescent="0.25">
      <c r="A18" s="74" t="s">
        <v>147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64"/>
    </row>
    <row r="19" spans="1:72" x14ac:dyDescent="0.25">
      <c r="A19" s="74" t="s">
        <v>148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64"/>
    </row>
    <row r="20" spans="1:72" x14ac:dyDescent="0.25">
      <c r="A20" s="74" t="s">
        <v>113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64"/>
    </row>
    <row r="21" spans="1:72" x14ac:dyDescent="0.25">
      <c r="A21" s="74" t="s">
        <v>114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64"/>
    </row>
    <row r="22" spans="1:72" x14ac:dyDescent="0.25">
      <c r="A22" s="74" t="s">
        <v>115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64"/>
    </row>
    <row r="23" spans="1:72" x14ac:dyDescent="0.25">
      <c r="A23" s="74" t="s">
        <v>116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64"/>
    </row>
    <row r="24" spans="1:72" x14ac:dyDescent="0.25">
      <c r="A24" s="74" t="s">
        <v>117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64"/>
    </row>
    <row r="25" spans="1:72" x14ac:dyDescent="0.25">
      <c r="A25" s="74" t="s">
        <v>149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64"/>
    </row>
    <row r="26" spans="1:72" x14ac:dyDescent="0.25">
      <c r="A26" s="74" t="s">
        <v>118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64"/>
    </row>
    <row r="27" spans="1:72" x14ac:dyDescent="0.25">
      <c r="A27" s="74" t="s">
        <v>119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64"/>
    </row>
    <row r="28" spans="1:72" x14ac:dyDescent="0.25">
      <c r="A28" s="74" t="s">
        <v>120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64"/>
    </row>
    <row r="29" spans="1:72" x14ac:dyDescent="0.25">
      <c r="A29" s="74" t="s">
        <v>121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64"/>
    </row>
    <row r="30" spans="1:72" x14ac:dyDescent="0.25">
      <c r="A30" s="74" t="s">
        <v>122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64"/>
    </row>
    <row r="31" spans="1:72" x14ac:dyDescent="0.25">
      <c r="A31" s="110" t="s">
        <v>124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64"/>
    </row>
    <row r="32" spans="1:72" ht="13.8" customHeight="1" x14ac:dyDescent="0.25">
      <c r="A32" s="73" t="s">
        <v>46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</row>
    <row r="33" spans="1:83" ht="12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3" t="s">
        <v>9</v>
      </c>
      <c r="AB33" s="8"/>
      <c r="AC33" s="8"/>
      <c r="AD33" s="8"/>
      <c r="AE33" s="69">
        <v>45244</v>
      </c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14"/>
      <c r="AV33" s="14"/>
      <c r="AW33" s="14"/>
      <c r="AX33" s="14"/>
      <c r="AY33" s="14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12"/>
    </row>
    <row r="34" spans="1:83" x14ac:dyDescent="0.25">
      <c r="A34" s="8" t="s">
        <v>10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 t="s">
        <v>11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12"/>
      <c r="BW34" s="50">
        <f>AE33</f>
        <v>45244</v>
      </c>
    </row>
    <row r="35" spans="1:83" x14ac:dyDescent="0.25">
      <c r="A35" s="8" t="s">
        <v>12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71" t="str">
        <f>VLOOKUP(BJ35,подписанты!$B$3:$C$11,2,FALSE)</f>
        <v>Руководитель группы МТО АО «Газстройпроект»</v>
      </c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2" t="s">
        <v>106</v>
      </c>
      <c r="BK35" s="72"/>
      <c r="BL35" s="72"/>
      <c r="BM35" s="72"/>
      <c r="BN35" s="72"/>
      <c r="BO35" s="72"/>
      <c r="BP35" s="72"/>
      <c r="BQ35" s="72"/>
      <c r="BR35" s="72"/>
      <c r="BS35" s="72"/>
      <c r="BT35" s="72"/>
    </row>
    <row r="36" spans="1:8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70" t="s">
        <v>13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24"/>
      <c r="BL36" s="24"/>
      <c r="BM36" s="24"/>
      <c r="BN36" s="24"/>
      <c r="BO36" s="24"/>
      <c r="BP36" s="15"/>
      <c r="BQ36" s="15"/>
      <c r="BR36" s="15"/>
      <c r="BS36" s="15"/>
      <c r="BT36" s="15"/>
    </row>
    <row r="37" spans="1:83" x14ac:dyDescent="0.25">
      <c r="A37" s="8" t="s">
        <v>14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09" t="str">
        <f>VLOOKUP(BJ37,подписанты!$B$3:$C$11,2,FALSE)</f>
        <v>Инженер отдела технического надзора АО «Газстройпроект»</v>
      </c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72" t="s">
        <v>66</v>
      </c>
      <c r="BK37" s="72"/>
      <c r="BL37" s="72"/>
      <c r="BM37" s="72"/>
      <c r="BN37" s="72"/>
      <c r="BO37" s="72"/>
      <c r="BP37" s="72"/>
      <c r="BQ37" s="72"/>
      <c r="BR37" s="72"/>
      <c r="BS37" s="72"/>
      <c r="BT37" s="72"/>
    </row>
    <row r="38" spans="1:8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2" t="s">
        <v>13</v>
      </c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70"/>
      <c r="BK38" s="15"/>
      <c r="BL38" s="15"/>
      <c r="BM38" s="15"/>
      <c r="BN38" s="15"/>
      <c r="BO38" s="15"/>
      <c r="BP38" s="15"/>
      <c r="BQ38" s="15"/>
      <c r="BR38" s="15"/>
      <c r="BS38" s="15"/>
      <c r="BT38" s="15"/>
    </row>
    <row r="39" spans="1:83" ht="41.4" customHeight="1" x14ac:dyDescent="0.25">
      <c r="A39" s="8" t="s">
        <v>15</v>
      </c>
      <c r="B39" s="8"/>
      <c r="C39" s="8"/>
      <c r="D39" s="8"/>
      <c r="E39" s="8"/>
      <c r="F39" s="8"/>
      <c r="G39" s="8"/>
      <c r="H39" s="8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09" t="str">
        <f>VLOOKUP(BJ39,подписанты!$B$3:$C$11,2,FALSE)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11" t="s">
        <v>88</v>
      </c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</row>
    <row r="40" spans="1:83" ht="13.2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82" t="s">
        <v>13</v>
      </c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70"/>
      <c r="BK40" s="10"/>
      <c r="BL40" s="10"/>
      <c r="BM40" s="10"/>
      <c r="BN40" s="10"/>
      <c r="BO40" s="10"/>
      <c r="BP40" s="10"/>
      <c r="BQ40" s="10"/>
      <c r="BR40" s="10"/>
      <c r="BS40" s="10"/>
      <c r="BT40" s="10"/>
    </row>
    <row r="41" spans="1:83" x14ac:dyDescent="0.25">
      <c r="A41" s="8" t="s">
        <v>16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6"/>
      <c r="O41" s="102" t="s">
        <v>86</v>
      </c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8" t="s">
        <v>17</v>
      </c>
      <c r="BR41" s="13"/>
      <c r="BS41" s="13"/>
      <c r="BT41" s="13"/>
    </row>
    <row r="42" spans="1:83" x14ac:dyDescent="0.25">
      <c r="A42" s="8"/>
      <c r="B42" s="8"/>
      <c r="C42" s="8"/>
      <c r="D42" s="8"/>
      <c r="E42" s="91" t="s">
        <v>47</v>
      </c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Y42" s="80" t="s">
        <v>79</v>
      </c>
      <c r="BZ42" s="80"/>
      <c r="CA42" s="80"/>
      <c r="CB42" s="80"/>
      <c r="CC42" s="80"/>
      <c r="CD42" s="80"/>
      <c r="CE42" s="80"/>
    </row>
    <row r="43" spans="1:83" x14ac:dyDescent="0.25">
      <c r="A43" s="67" t="s">
        <v>125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Y43" s="80"/>
      <c r="BZ43" s="80"/>
      <c r="CA43" s="80"/>
      <c r="CB43" s="80"/>
      <c r="CC43" s="80"/>
      <c r="CD43" s="80"/>
      <c r="CE43" s="80"/>
    </row>
    <row r="44" spans="1:83" x14ac:dyDescent="0.25">
      <c r="A44" s="74" t="s">
        <v>144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64"/>
      <c r="BY44" s="58"/>
      <c r="BZ44" s="58"/>
      <c r="CA44" s="58"/>
      <c r="CB44" s="58"/>
      <c r="CC44" s="58"/>
      <c r="CD44" s="58"/>
      <c r="CE44" s="58"/>
    </row>
    <row r="45" spans="1:83" x14ac:dyDescent="0.25">
      <c r="A45" s="74" t="s">
        <v>126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64"/>
      <c r="BY45" s="62"/>
      <c r="BZ45" s="62"/>
      <c r="CA45" s="62"/>
      <c r="CB45" s="62"/>
      <c r="CC45" s="62"/>
      <c r="CD45" s="62"/>
      <c r="CE45" s="62"/>
    </row>
    <row r="46" spans="1:83" x14ac:dyDescent="0.25">
      <c r="A46" s="74" t="s">
        <v>127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64"/>
      <c r="BY46" s="62"/>
      <c r="BZ46" s="62"/>
      <c r="CA46" s="62"/>
      <c r="CB46" s="62"/>
      <c r="CC46" s="62"/>
      <c r="CD46" s="62"/>
      <c r="CE46" s="62"/>
    </row>
    <row r="47" spans="1:83" x14ac:dyDescent="0.25">
      <c r="A47" s="74" t="s">
        <v>128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64"/>
      <c r="BY47" s="62"/>
      <c r="BZ47" s="62"/>
      <c r="CA47" s="62"/>
      <c r="CB47" s="62"/>
      <c r="CC47" s="62"/>
      <c r="CD47" s="62"/>
      <c r="CE47" s="62"/>
    </row>
    <row r="48" spans="1:83" x14ac:dyDescent="0.25">
      <c r="A48" s="74" t="s">
        <v>129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64"/>
      <c r="BY48" s="62"/>
      <c r="BZ48" s="62"/>
      <c r="CA48" s="62"/>
      <c r="CB48" s="62"/>
      <c r="CC48" s="62"/>
      <c r="CD48" s="62"/>
      <c r="CE48" s="62"/>
    </row>
    <row r="49" spans="1:83" x14ac:dyDescent="0.25">
      <c r="A49" s="74" t="s">
        <v>150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64"/>
      <c r="BY49" s="62"/>
      <c r="BZ49" s="62"/>
      <c r="CA49" s="62"/>
      <c r="CB49" s="62"/>
      <c r="CC49" s="62"/>
      <c r="CD49" s="62"/>
      <c r="CE49" s="62"/>
    </row>
    <row r="50" spans="1:83" x14ac:dyDescent="0.25">
      <c r="A50" s="74" t="s">
        <v>151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64"/>
      <c r="BY50" s="62"/>
      <c r="BZ50" s="62"/>
      <c r="CA50" s="62"/>
      <c r="CB50" s="62"/>
      <c r="CC50" s="62"/>
      <c r="CD50" s="62"/>
      <c r="CE50" s="62"/>
    </row>
    <row r="51" spans="1:83" x14ac:dyDescent="0.25">
      <c r="A51" s="74" t="s">
        <v>152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64"/>
      <c r="BY51" s="62"/>
      <c r="BZ51" s="62"/>
      <c r="CA51" s="62"/>
      <c r="CB51" s="62"/>
      <c r="CC51" s="62"/>
      <c r="CD51" s="62"/>
      <c r="CE51" s="62"/>
    </row>
    <row r="52" spans="1:83" x14ac:dyDescent="0.25">
      <c r="A52" s="74" t="s">
        <v>130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64"/>
      <c r="BY52" s="62"/>
      <c r="BZ52" s="62"/>
      <c r="CA52" s="62"/>
      <c r="CB52" s="62"/>
      <c r="CC52" s="62"/>
      <c r="CD52" s="62"/>
      <c r="CE52" s="62"/>
    </row>
    <row r="53" spans="1:83" x14ac:dyDescent="0.25">
      <c r="A53" s="74" t="s">
        <v>131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64"/>
      <c r="BY53" s="62"/>
      <c r="BZ53" s="62"/>
      <c r="CA53" s="62"/>
      <c r="CB53" s="62"/>
      <c r="CC53" s="62"/>
      <c r="CD53" s="62"/>
      <c r="CE53" s="62"/>
    </row>
    <row r="54" spans="1:83" x14ac:dyDescent="0.25">
      <c r="A54" s="74" t="s">
        <v>132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64"/>
      <c r="BY54" s="62"/>
      <c r="BZ54" s="62"/>
      <c r="CA54" s="62"/>
      <c r="CB54" s="62"/>
      <c r="CC54" s="62"/>
      <c r="CD54" s="62"/>
      <c r="CE54" s="62"/>
    </row>
    <row r="55" spans="1:83" x14ac:dyDescent="0.25">
      <c r="A55" s="74" t="s">
        <v>133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64"/>
      <c r="BY55" s="62"/>
      <c r="BZ55" s="62"/>
      <c r="CA55" s="62"/>
      <c r="CB55" s="62"/>
      <c r="CC55" s="62"/>
      <c r="CD55" s="62"/>
      <c r="CE55" s="62"/>
    </row>
    <row r="56" spans="1:83" x14ac:dyDescent="0.25">
      <c r="A56" s="74" t="s">
        <v>134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64"/>
      <c r="BY56" s="62"/>
      <c r="BZ56" s="62"/>
      <c r="CA56" s="62"/>
      <c r="CB56" s="62"/>
      <c r="CC56" s="62"/>
      <c r="CD56" s="62"/>
      <c r="CE56" s="62"/>
    </row>
    <row r="57" spans="1:83" x14ac:dyDescent="0.25">
      <c r="A57" s="74" t="s">
        <v>135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64"/>
      <c r="BY57" s="62"/>
      <c r="BZ57" s="62"/>
      <c r="CA57" s="62"/>
      <c r="CB57" s="62"/>
      <c r="CC57" s="62"/>
      <c r="CD57" s="62"/>
      <c r="CE57" s="62"/>
    </row>
    <row r="58" spans="1:83" x14ac:dyDescent="0.25">
      <c r="A58" s="74" t="s">
        <v>136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64"/>
      <c r="BY58" s="62"/>
      <c r="BZ58" s="62"/>
      <c r="CA58" s="62"/>
      <c r="CB58" s="62"/>
      <c r="CC58" s="62"/>
      <c r="CD58" s="62"/>
      <c r="CE58" s="62"/>
    </row>
    <row r="59" spans="1:83" x14ac:dyDescent="0.25">
      <c r="A59" s="74" t="s">
        <v>137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64"/>
      <c r="BY59" s="62"/>
      <c r="BZ59" s="62"/>
      <c r="CA59" s="62"/>
      <c r="CB59" s="62"/>
      <c r="CC59" s="62"/>
      <c r="CD59" s="62"/>
      <c r="CE59" s="62"/>
    </row>
    <row r="60" spans="1:83" x14ac:dyDescent="0.25">
      <c r="A60" s="74" t="s">
        <v>138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64"/>
      <c r="BY60" s="62"/>
      <c r="BZ60" s="62"/>
      <c r="CA60" s="62"/>
      <c r="CB60" s="62"/>
      <c r="CC60" s="62"/>
      <c r="CD60" s="62"/>
      <c r="CE60" s="62"/>
    </row>
    <row r="61" spans="1:83" x14ac:dyDescent="0.25">
      <c r="A61" s="74" t="s">
        <v>139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64"/>
      <c r="BY61" s="62"/>
      <c r="BZ61" s="62"/>
      <c r="CA61" s="62"/>
      <c r="CB61" s="62"/>
      <c r="CC61" s="62"/>
      <c r="CD61" s="62"/>
      <c r="CE61" s="62"/>
    </row>
    <row r="62" spans="1:83" x14ac:dyDescent="0.25">
      <c r="A62" s="74" t="s">
        <v>140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64"/>
      <c r="BY62" s="62"/>
      <c r="BZ62" s="62"/>
      <c r="CA62" s="62"/>
      <c r="CB62" s="62"/>
      <c r="CC62" s="62"/>
      <c r="CD62" s="62"/>
      <c r="CE62" s="62"/>
    </row>
    <row r="63" spans="1:83" s="56" customFormat="1" ht="13.2" customHeight="1" x14ac:dyDescent="0.25">
      <c r="A63" s="110" t="s">
        <v>141</v>
      </c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64"/>
      <c r="BY63" s="57"/>
      <c r="BZ63" s="57"/>
      <c r="CA63" s="57"/>
      <c r="CB63" s="57"/>
      <c r="CC63" s="57"/>
      <c r="CD63" s="57"/>
      <c r="CE63" s="57"/>
    </row>
    <row r="64" spans="1:83" ht="13.8" customHeight="1" x14ac:dyDescent="0.25">
      <c r="A64" s="10" t="s">
        <v>18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52"/>
      <c r="S64" s="8"/>
      <c r="T64" s="51"/>
      <c r="U64" s="85" t="s">
        <v>142</v>
      </c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Y64" s="80"/>
      <c r="BZ64" s="80"/>
      <c r="CA64" s="80"/>
      <c r="CB64" s="80"/>
      <c r="CC64" s="80"/>
      <c r="CD64" s="80"/>
    </row>
    <row r="65" spans="1:83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86" t="s">
        <v>19</v>
      </c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86"/>
      <c r="BQ65" s="86"/>
      <c r="BR65" s="86"/>
      <c r="BS65" s="86"/>
      <c r="BT65" s="86"/>
    </row>
    <row r="66" spans="1:83" x14ac:dyDescent="0.25">
      <c r="A66" s="10" t="s">
        <v>20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19"/>
      <c r="T66" s="19"/>
      <c r="U66" s="87" t="s">
        <v>51</v>
      </c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</row>
    <row r="67" spans="1:83" ht="13.8" customHeight="1" x14ac:dyDescent="0.25">
      <c r="A67" s="82" t="s">
        <v>21</v>
      </c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Y67" s="40" t="s">
        <v>80</v>
      </c>
    </row>
    <row r="68" spans="1:83" ht="13.95" customHeight="1" x14ac:dyDescent="0.25">
      <c r="A68" s="8"/>
      <c r="B68" s="8"/>
      <c r="C68" s="8"/>
      <c r="D68" s="8" t="s">
        <v>22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9"/>
      <c r="AG68" s="7"/>
      <c r="AH68" s="7"/>
      <c r="AI68" s="7"/>
      <c r="AJ68" s="7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Y68" s="80" t="s">
        <v>81</v>
      </c>
      <c r="BZ68" s="80"/>
      <c r="CA68" s="80"/>
      <c r="CB68" s="80"/>
      <c r="CC68" s="80"/>
      <c r="CD68" s="80"/>
      <c r="CE68" s="80"/>
    </row>
    <row r="69" spans="1:83" ht="13.95" customHeight="1" x14ac:dyDescent="0.25">
      <c r="A69" s="8" t="s">
        <v>23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28"/>
      <c r="AJ69" s="8"/>
      <c r="AK69" s="83" t="s">
        <v>145</v>
      </c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Y69" s="80"/>
      <c r="BZ69" s="80"/>
      <c r="CA69" s="80"/>
      <c r="CB69" s="80"/>
      <c r="CC69" s="80"/>
      <c r="CD69" s="80"/>
      <c r="CE69" s="80"/>
    </row>
    <row r="70" spans="1:83" ht="14.4" hidden="1" customHeight="1" x14ac:dyDescent="0.2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59"/>
      <c r="BY70" s="80"/>
      <c r="BZ70" s="80"/>
      <c r="CA70" s="80"/>
      <c r="CB70" s="80"/>
      <c r="CC70" s="80"/>
      <c r="CD70" s="80"/>
      <c r="CE70" s="80"/>
    </row>
    <row r="71" spans="1:83" x14ac:dyDescent="0.25">
      <c r="A71" s="70" t="s">
        <v>24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Y71" s="80"/>
      <c r="BZ71" s="80"/>
      <c r="CA71" s="80"/>
      <c r="CB71" s="80"/>
      <c r="CC71" s="80"/>
      <c r="CD71" s="80"/>
      <c r="CE71" s="80"/>
    </row>
    <row r="72" spans="1:83" x14ac:dyDescent="0.25">
      <c r="A72" s="84" t="s">
        <v>57</v>
      </c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Y72" s="80"/>
      <c r="BZ72" s="80"/>
      <c r="CA72" s="80"/>
      <c r="CB72" s="80"/>
      <c r="CC72" s="80"/>
      <c r="CD72" s="80"/>
      <c r="CE72" s="80"/>
    </row>
    <row r="73" spans="1:83" x14ac:dyDescent="0.25">
      <c r="A73" s="16" t="s">
        <v>58</v>
      </c>
      <c r="B73" s="17"/>
      <c r="C73" s="17"/>
      <c r="D73" s="81" t="str">
        <f>A43</f>
        <v xml:space="preserve">БТП Ридан N0507232064-1 - 1 компл.: </v>
      </c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Y73" s="80"/>
      <c r="BZ73" s="80"/>
      <c r="CA73" s="80"/>
      <c r="CB73" s="80"/>
      <c r="CC73" s="80"/>
      <c r="CD73" s="80"/>
      <c r="CE73" s="80"/>
    </row>
    <row r="74" spans="1:83" x14ac:dyDescent="0.25">
      <c r="A74" s="16"/>
      <c r="B74" s="17"/>
      <c r="C74" s="17"/>
      <c r="D74" s="81" t="str">
        <f>A44</f>
        <v xml:space="preserve">1. Шаровой кран RJIP Standard FF/Ду50/Ру16/Tmax150 сталь ф/ф - 4 шт; </v>
      </c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61"/>
      <c r="BY74" s="80"/>
      <c r="BZ74" s="80"/>
      <c r="CA74" s="80"/>
      <c r="CB74" s="80"/>
      <c r="CC74" s="80"/>
      <c r="CD74" s="80"/>
      <c r="CE74" s="80"/>
    </row>
    <row r="75" spans="1:83" x14ac:dyDescent="0.25">
      <c r="A75" s="16"/>
      <c r="B75" s="17"/>
      <c r="C75" s="17"/>
      <c r="D75" s="81" t="str">
        <f t="shared" ref="D75:D93" si="0">A45</f>
        <v>2. Манометр показывающий ТМ510 0..16бар. 100мм. G1/2 кл. точн. 1.5 IP43 - 8 шт;</v>
      </c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63"/>
      <c r="BY75" s="80"/>
      <c r="BZ75" s="80"/>
      <c r="CA75" s="80"/>
      <c r="CB75" s="80"/>
      <c r="CC75" s="80"/>
      <c r="CD75" s="80"/>
      <c r="CE75" s="80"/>
    </row>
    <row r="76" spans="1:83" x14ac:dyDescent="0.25">
      <c r="A76" s="16"/>
      <c r="B76" s="17"/>
      <c r="C76" s="17"/>
      <c r="D76" s="81" t="str">
        <f t="shared" si="0"/>
        <v>3. Кран под манометр трехходовой резьбовой G1/2/Ру25/Tmax150 - 10 шт;</v>
      </c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63"/>
      <c r="BY76" s="80"/>
      <c r="BZ76" s="80"/>
      <c r="CA76" s="80"/>
      <c r="CB76" s="80"/>
      <c r="CC76" s="80"/>
      <c r="CD76" s="80"/>
      <c r="CE76" s="80"/>
    </row>
    <row r="77" spans="1:83" x14ac:dyDescent="0.25">
      <c r="A77" s="16"/>
      <c r="B77" s="17"/>
      <c r="C77" s="17"/>
      <c r="D77" s="81" t="str">
        <f t="shared" si="0"/>
        <v>4. Термометр биметаллический О80мм 0..160С, L=100 мм, кл. точн. 1.5, IP43 - 1 шт;</v>
      </c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63"/>
      <c r="BY77" s="80"/>
      <c r="BZ77" s="80"/>
      <c r="CA77" s="80"/>
      <c r="CB77" s="80"/>
      <c r="CC77" s="80"/>
      <c r="CD77" s="80"/>
      <c r="CE77" s="80"/>
    </row>
    <row r="78" spans="1:83" x14ac:dyDescent="0.25">
      <c r="A78" s="16"/>
      <c r="B78" s="17"/>
      <c r="C78" s="17"/>
      <c r="D78" s="81" t="str">
        <f t="shared" si="0"/>
        <v>5. Грязевик DN50 PN16 Cт20 RAL 7016 сталь ф/ф - 1 шт;</v>
      </c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63"/>
      <c r="BY78" s="80"/>
      <c r="BZ78" s="80"/>
      <c r="CA78" s="80"/>
      <c r="CB78" s="80"/>
      <c r="CC78" s="80"/>
      <c r="CD78" s="80"/>
      <c r="CE78" s="80"/>
    </row>
    <row r="79" spans="1:83" x14ac:dyDescent="0.25">
      <c r="A79" s="16"/>
      <c r="B79" s="17"/>
      <c r="C79" s="17"/>
      <c r="D79" s="81" t="str">
        <f t="shared" si="0"/>
        <v>6. Воздушник BVS-R/Ду15/Ру63/Tmax180 нерж.сталь р/р - 1 шт;</v>
      </c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63"/>
      <c r="BY79" s="80"/>
      <c r="BZ79" s="80"/>
      <c r="CA79" s="80"/>
      <c r="CB79" s="80"/>
      <c r="CC79" s="80"/>
      <c r="CD79" s="80"/>
      <c r="CE79" s="80"/>
    </row>
    <row r="80" spans="1:83" x14ac:dyDescent="0.25">
      <c r="A80" s="16"/>
      <c r="B80" s="17"/>
      <c r="C80" s="17"/>
      <c r="D80" s="81" t="str">
        <f t="shared" si="0"/>
        <v>7. Спускник BVS-R/Dу15/Ру63/Tmax180 нерж. сталь р/р - 1 шт;</v>
      </c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63"/>
      <c r="BY80" s="80"/>
      <c r="BZ80" s="80"/>
      <c r="CA80" s="80"/>
      <c r="CB80" s="80"/>
      <c r="CC80" s="80"/>
      <c r="CD80" s="80"/>
      <c r="CE80" s="80"/>
    </row>
    <row r="81" spans="1:83" x14ac:dyDescent="0.25">
      <c r="A81" s="16"/>
      <c r="B81" s="17"/>
      <c r="C81" s="17"/>
      <c r="D81" s="81" t="str">
        <f t="shared" si="0"/>
        <v>8. Фильтр с магнитной вставкой Dy50/Ру16/Tmax300 чугун ф/ф - 2 шт;</v>
      </c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63"/>
      <c r="BY81" s="80"/>
      <c r="BZ81" s="80"/>
      <c r="CA81" s="80"/>
      <c r="CB81" s="80"/>
      <c r="CC81" s="80"/>
      <c r="CD81" s="80"/>
      <c r="CE81" s="80"/>
    </row>
    <row r="82" spans="1:83" x14ac:dyDescent="0.25">
      <c r="A82" s="16"/>
      <c r="B82" s="17"/>
      <c r="C82" s="17"/>
      <c r="D82" s="81" t="str">
        <f t="shared" si="0"/>
        <v>9. Преобразователь давление СДВ-И 4-20 мА/0-16 бар - 2 шт;</v>
      </c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63"/>
      <c r="BY82" s="80"/>
      <c r="BZ82" s="80"/>
      <c r="CA82" s="80"/>
      <c r="CB82" s="80"/>
      <c r="CC82" s="80"/>
      <c r="CD82" s="80"/>
      <c r="CE82" s="80"/>
    </row>
    <row r="83" spans="1:83" x14ac:dyDescent="0.25">
      <c r="A83" s="16"/>
      <c r="B83" s="17"/>
      <c r="C83" s="17"/>
      <c r="D83" s="81" t="str">
        <f t="shared" si="0"/>
        <v>10. Расходомер Питерфлоу Dy32/Фланцевый/Qmax15/Tmax150/PN16 - 2 шт;</v>
      </c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63"/>
      <c r="BY83" s="80"/>
      <c r="BZ83" s="80"/>
      <c r="CA83" s="80"/>
      <c r="CB83" s="80"/>
      <c r="CC83" s="80"/>
      <c r="CD83" s="80"/>
      <c r="CE83" s="80"/>
    </row>
    <row r="84" spans="1:83" x14ac:dyDescent="0.25">
      <c r="A84" s="16"/>
      <c r="B84" s="17"/>
      <c r="C84" s="17"/>
      <c r="D84" s="81" t="str">
        <f t="shared" si="0"/>
        <v>11. Модуль присоединительный МП-РС 50/32/50 - 2 шт;</v>
      </c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63"/>
      <c r="BY84" s="80"/>
      <c r="BZ84" s="80"/>
      <c r="CA84" s="80"/>
      <c r="CB84" s="80"/>
      <c r="CC84" s="80"/>
      <c r="CD84" s="80"/>
      <c r="CE84" s="80"/>
    </row>
    <row r="85" spans="1:83" x14ac:dyDescent="0.25">
      <c r="A85" s="16"/>
      <c r="B85" s="17"/>
      <c r="C85" s="17"/>
      <c r="D85" s="81" t="str">
        <f t="shared" si="0"/>
        <v>12. Термометр сопротивления КТС-Б-Рт100-В-х4-П-3-80/8-50-Е - 1 шт;</v>
      </c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63"/>
      <c r="BY85" s="80"/>
      <c r="BZ85" s="80"/>
      <c r="CA85" s="80"/>
      <c r="CB85" s="80"/>
      <c r="CC85" s="80"/>
      <c r="CD85" s="80"/>
      <c r="CE85" s="80"/>
    </row>
    <row r="86" spans="1:83" x14ac:dyDescent="0.25">
      <c r="A86" s="16"/>
      <c r="B86" s="17"/>
      <c r="C86" s="17"/>
      <c r="D86" s="81" t="str">
        <f t="shared" si="0"/>
        <v>13. Термометр биметаллический О80мм 0..120С, L=100 мм, кл. точн. 1.5, IP43 - 1 шт;</v>
      </c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63"/>
      <c r="BY86" s="80"/>
      <c r="BZ86" s="80"/>
      <c r="CA86" s="80"/>
      <c r="CB86" s="80"/>
      <c r="CC86" s="80"/>
      <c r="CD86" s="80"/>
      <c r="CE86" s="80"/>
    </row>
    <row r="87" spans="1:83" x14ac:dyDescent="0.25">
      <c r="A87" s="16"/>
      <c r="B87" s="17"/>
      <c r="C87" s="17"/>
      <c r="D87" s="81" t="str">
        <f t="shared" si="0"/>
        <v>14. Спускник Ду25/РУ40/Tmax180 сталь с/с - 2 шт;</v>
      </c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63"/>
      <c r="BY87" s="80"/>
      <c r="BZ87" s="80"/>
      <c r="CA87" s="80"/>
      <c r="CB87" s="80"/>
      <c r="CC87" s="80"/>
      <c r="CD87" s="80"/>
      <c r="CE87" s="80"/>
    </row>
    <row r="88" spans="1:83" x14ac:dyDescent="0.25">
      <c r="A88" s="16"/>
      <c r="B88" s="17"/>
      <c r="C88" s="17"/>
      <c r="D88" s="81" t="str">
        <f t="shared" si="0"/>
        <v>15. Шкаф учета с тепловычислителем ТВ7-04М(RS232) тип 5 - 1 шт;</v>
      </c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63"/>
      <c r="BY88" s="80"/>
      <c r="BZ88" s="80"/>
      <c r="CA88" s="80"/>
      <c r="CB88" s="80"/>
      <c r="CC88" s="80"/>
      <c r="CD88" s="80"/>
      <c r="CE88" s="80"/>
    </row>
    <row r="89" spans="1:83" x14ac:dyDescent="0.25">
      <c r="A89" s="16"/>
      <c r="B89" s="17"/>
      <c r="C89" s="17"/>
      <c r="D89" s="81" t="str">
        <f t="shared" si="0"/>
        <v>16. Регулятор давления после себя VFG-2R/Dy32/Rvs16/Tmax150/Pmax16 сталь ф/ф - 1 шт;</v>
      </c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63"/>
      <c r="BY89" s="80"/>
      <c r="BZ89" s="80"/>
      <c r="CA89" s="80"/>
      <c r="CB89" s="80"/>
      <c r="CC89" s="80"/>
      <c r="CD89" s="80"/>
      <c r="CE89" s="80"/>
    </row>
    <row r="90" spans="1:83" x14ac:dyDescent="0.25">
      <c r="A90" s="16"/>
      <c r="B90" s="17"/>
      <c r="C90" s="17"/>
      <c r="D90" s="81" t="str">
        <f t="shared" si="0"/>
        <v>17. Регулирующий блок AFD-R 1,0-6,0 - 1 шт;</v>
      </c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63"/>
      <c r="BY90" s="80"/>
      <c r="BZ90" s="80"/>
      <c r="CA90" s="80"/>
      <c r="CB90" s="80"/>
      <c r="CC90" s="80"/>
      <c r="CD90" s="80"/>
      <c r="CE90" s="80"/>
    </row>
    <row r="91" spans="1:83" x14ac:dyDescent="0.25">
      <c r="A91" s="16"/>
      <c r="B91" s="17"/>
      <c r="C91" s="17"/>
      <c r="D91" s="81" t="str">
        <f t="shared" si="0"/>
        <v>18. Трубная обвязка элементов блока - 1 шт;</v>
      </c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63"/>
      <c r="BY91" s="80"/>
      <c r="BZ91" s="80"/>
      <c r="CA91" s="80"/>
      <c r="CB91" s="80"/>
      <c r="CC91" s="80"/>
      <c r="CD91" s="80"/>
      <c r="CE91" s="80"/>
    </row>
    <row r="92" spans="1:83" x14ac:dyDescent="0.25">
      <c r="A92" s="16"/>
      <c r="B92" s="17"/>
      <c r="C92" s="17"/>
      <c r="D92" s="81" t="str">
        <f t="shared" si="0"/>
        <v>19. Наклейка для шильдика БТП -- 1 шт;</v>
      </c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63"/>
      <c r="BY92" s="80"/>
      <c r="BZ92" s="80"/>
      <c r="CA92" s="80"/>
      <c r="CB92" s="80"/>
      <c r="CC92" s="80"/>
      <c r="CD92" s="80"/>
      <c r="CE92" s="80"/>
    </row>
    <row r="93" spans="1:83" x14ac:dyDescent="0.25">
      <c r="A93" s="16"/>
      <c r="B93" s="17"/>
      <c r="C93" s="17"/>
      <c r="D93" s="81" t="str">
        <f t="shared" si="0"/>
        <v>20. Шаровой кран Ду15/Ру40/Tmax180 сталь с/с - 1 шт.</v>
      </c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63"/>
      <c r="BY93" s="80"/>
      <c r="BZ93" s="80"/>
      <c r="CA93" s="80"/>
      <c r="CB93" s="80"/>
      <c r="CC93" s="80"/>
      <c r="CD93" s="80"/>
      <c r="CE93" s="80"/>
    </row>
    <row r="94" spans="1:83" ht="13.8" customHeight="1" x14ac:dyDescent="0.25">
      <c r="A94" s="93" t="s">
        <v>25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  <c r="BK94" s="93"/>
      <c r="BL94" s="93"/>
      <c r="BM94" s="93"/>
      <c r="BN94" s="93"/>
      <c r="BO94" s="93"/>
      <c r="BP94" s="93"/>
      <c r="BQ94" s="93"/>
      <c r="BR94" s="93"/>
      <c r="BS94" s="93"/>
      <c r="BT94" s="93"/>
      <c r="BY94" s="80"/>
      <c r="BZ94" s="80"/>
      <c r="CA94" s="80"/>
      <c r="CB94" s="80"/>
      <c r="CC94" s="80"/>
      <c r="CD94" s="80"/>
      <c r="CE94" s="80"/>
    </row>
    <row r="95" spans="1:83" ht="13.8" customHeight="1" x14ac:dyDescent="0.25">
      <c r="A95" s="8" t="s">
        <v>26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54"/>
      <c r="Y95" s="88" t="s">
        <v>105</v>
      </c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53"/>
      <c r="BY95" s="80"/>
      <c r="BZ95" s="80"/>
      <c r="CA95" s="80"/>
      <c r="CB95" s="80"/>
      <c r="CC95" s="80"/>
      <c r="CD95" s="80"/>
      <c r="CE95" s="80"/>
    </row>
    <row r="96" spans="1:8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8"/>
      <c r="Y96" s="70" t="s">
        <v>27</v>
      </c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Y96" s="80"/>
      <c r="BZ96" s="80"/>
      <c r="CA96" s="80"/>
      <c r="CB96" s="80"/>
      <c r="CC96" s="80"/>
      <c r="CD96" s="80"/>
      <c r="CE96" s="80"/>
    </row>
    <row r="97" spans="1:77" x14ac:dyDescent="0.25">
      <c r="A97" s="8" t="s">
        <v>28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7"/>
      <c r="AG97" s="7"/>
      <c r="AH97" s="7"/>
      <c r="AI97" s="7"/>
      <c r="AJ97" s="99" t="s">
        <v>29</v>
      </c>
      <c r="AK97" s="99"/>
      <c r="AL97" s="99"/>
      <c r="AM97" s="99"/>
      <c r="AN97" s="99"/>
      <c r="AO97" s="99"/>
      <c r="AP97" s="99"/>
      <c r="AQ97" s="99"/>
      <c r="AR97" s="99"/>
      <c r="AS97" s="99"/>
      <c r="AT97" s="100" t="s">
        <v>70</v>
      </c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0"/>
      <c r="BR97" s="100"/>
      <c r="BS97" s="100"/>
      <c r="BT97" s="100"/>
    </row>
    <row r="98" spans="1:77" x14ac:dyDescent="0.25">
      <c r="A98" s="10" t="s">
        <v>30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51"/>
      <c r="O98" s="51"/>
      <c r="P98" s="51"/>
      <c r="Q98" s="101" t="str">
        <f>U64</f>
        <v>ПП2020РД-1.2-61.17-ИТП; ПП2020РД-1.2-61.17-ИТП.СО; изм.4; л. 1, 2</v>
      </c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</row>
    <row r="99" spans="1:77" x14ac:dyDescent="0.25">
      <c r="A99" s="8"/>
      <c r="B99" s="8"/>
      <c r="C99" s="8"/>
      <c r="D99" s="10" t="s">
        <v>31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19"/>
      <c r="X99" s="8"/>
      <c r="Y99" s="29"/>
      <c r="Z99" s="29"/>
      <c r="AA99" s="105" t="str">
        <f>AK69</f>
        <v>Паспорт б/н (УВ/НS23L-1896) от октября 2023.</v>
      </c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</row>
    <row r="100" spans="1:77" hidden="1" x14ac:dyDescent="0.25">
      <c r="A100" s="106">
        <f>A70</f>
        <v>0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55"/>
    </row>
    <row r="101" spans="1:77" ht="12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95" t="s">
        <v>32</v>
      </c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Y101" t="s">
        <v>82</v>
      </c>
    </row>
    <row r="102" spans="1:77" x14ac:dyDescent="0.25">
      <c r="A102" s="8" t="s">
        <v>33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21"/>
    </row>
    <row r="103" spans="1:77" x14ac:dyDescent="0.25">
      <c r="A103" s="30"/>
      <c r="B103" s="8"/>
      <c r="C103" s="8"/>
      <c r="D103" s="8" t="s">
        <v>34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7"/>
      <c r="X103" s="7"/>
      <c r="Y103" s="7"/>
      <c r="Z103" s="7"/>
      <c r="AA103" s="30"/>
      <c r="AB103" s="7"/>
      <c r="AC103" s="30"/>
      <c r="AD103" s="96" t="s">
        <v>35</v>
      </c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</row>
    <row r="104" spans="1:77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98" t="s">
        <v>36</v>
      </c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</row>
    <row r="105" spans="1:77" x14ac:dyDescent="0.25">
      <c r="A105" s="10" t="s">
        <v>37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25"/>
      <c r="W105" s="31"/>
      <c r="X105" s="26"/>
      <c r="Y105" s="94" t="str">
        <f>U64</f>
        <v>ПП2020РД-1.2-61.17-ИТП; ПП2020РД-1.2-61.17-ИТП.СО; изм.4; л. 1, 2</v>
      </c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</row>
    <row r="106" spans="1:77" x14ac:dyDescent="0.25">
      <c r="A106" s="8" t="s">
        <v>38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30"/>
      <c r="M106" s="22"/>
      <c r="N106" s="97" t="s">
        <v>105</v>
      </c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97"/>
      <c r="BR106" s="97"/>
      <c r="BS106" s="97"/>
      <c r="BT106" s="97"/>
    </row>
    <row r="107" spans="1:77" x14ac:dyDescent="0.25">
      <c r="A107" s="8" t="s">
        <v>39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12"/>
    </row>
    <row r="108" spans="1:77" x14ac:dyDescent="0.25">
      <c r="A108" s="8" t="s">
        <v>12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108" t="str">
        <f>BJ35</f>
        <v>Кострова Н.Л.</v>
      </c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8"/>
      <c r="AP108" s="8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8"/>
      <c r="BG108" s="8"/>
      <c r="BH108" s="104">
        <f>AE33</f>
        <v>45244</v>
      </c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2"/>
    </row>
    <row r="109" spans="1:77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70" t="s">
        <v>59</v>
      </c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27"/>
      <c r="AP109" s="27"/>
      <c r="AQ109" s="70" t="s">
        <v>40</v>
      </c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27"/>
      <c r="BG109" s="27"/>
      <c r="BH109" s="70" t="s">
        <v>41</v>
      </c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23"/>
    </row>
    <row r="110" spans="1:77" x14ac:dyDescent="0.25">
      <c r="A110" s="8" t="s">
        <v>42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12"/>
      <c r="BY110" t="s">
        <v>83</v>
      </c>
    </row>
    <row r="111" spans="1:77" x14ac:dyDescent="0.25">
      <c r="A111" s="8" t="s">
        <v>43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108" t="str">
        <f>BJ37</f>
        <v>Халыгов Э. А.</v>
      </c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8"/>
      <c r="AP111" s="8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8"/>
      <c r="BG111" s="8"/>
      <c r="BH111" s="104">
        <f>BH108</f>
        <v>45244</v>
      </c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2"/>
    </row>
    <row r="112" spans="1:77" ht="16.2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70" t="s">
        <v>59</v>
      </c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27"/>
      <c r="AP112" s="27"/>
      <c r="AQ112" s="70" t="s">
        <v>40</v>
      </c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27"/>
      <c r="BG112" s="27"/>
      <c r="BH112" s="70" t="s">
        <v>41</v>
      </c>
      <c r="BI112" s="70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12"/>
      <c r="BY112" t="s">
        <v>84</v>
      </c>
    </row>
    <row r="113" spans="1:77" x14ac:dyDescent="0.25">
      <c r="A113" s="8" t="s">
        <v>39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12"/>
      <c r="BY113" t="s">
        <v>85</v>
      </c>
    </row>
    <row r="114" spans="1:77" x14ac:dyDescent="0.25">
      <c r="A114" s="8" t="s">
        <v>44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102" t="str">
        <f>BJ39</f>
        <v>Тюкин Е.В.</v>
      </c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8"/>
      <c r="AP114" s="8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8"/>
      <c r="BG114" s="8"/>
      <c r="BH114" s="104">
        <f>BH108</f>
        <v>45244</v>
      </c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2"/>
    </row>
    <row r="115" spans="1:77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70" t="s">
        <v>59</v>
      </c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27"/>
      <c r="AP115" s="27"/>
      <c r="AQ115" s="70" t="s">
        <v>40</v>
      </c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27"/>
      <c r="BG115" s="27"/>
      <c r="BH115" s="70" t="s">
        <v>41</v>
      </c>
      <c r="BI115" s="70"/>
      <c r="BJ115" s="70"/>
      <c r="BK115" s="70"/>
      <c r="BL115" s="70"/>
      <c r="BM115" s="70"/>
      <c r="BN115" s="70"/>
      <c r="BO115" s="70"/>
      <c r="BP115" s="70"/>
      <c r="BQ115" s="70"/>
      <c r="BR115" s="70"/>
      <c r="BS115" s="70"/>
      <c r="BT115" s="12"/>
    </row>
    <row r="116" spans="1:77" hidden="1" x14ac:dyDescent="0.25">
      <c r="A116" s="13"/>
      <c r="B116" s="13"/>
      <c r="C116" s="13"/>
      <c r="D116" s="7"/>
      <c r="E116" s="7"/>
      <c r="F116" s="7"/>
      <c r="G116" s="7"/>
      <c r="H116" s="7"/>
      <c r="I116" s="7"/>
      <c r="J116" s="7"/>
      <c r="K116" s="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12"/>
    </row>
    <row r="117" spans="1:77" x14ac:dyDescent="0.25">
      <c r="A117" s="20" t="s">
        <v>104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13"/>
      <c r="AN117" s="13"/>
      <c r="AO117" s="8"/>
      <c r="AP117" s="8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8"/>
      <c r="BG117" s="8"/>
      <c r="BH117" s="107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12"/>
    </row>
    <row r="118" spans="1:77" ht="16.8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10"/>
      <c r="AN118" s="10"/>
      <c r="AO118" s="8"/>
      <c r="AP118" s="8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8"/>
      <c r="BG118" s="8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12"/>
    </row>
    <row r="119" spans="1:77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12"/>
    </row>
    <row r="121" spans="1:77" ht="13.8" customHeight="1" x14ac:dyDescent="0.25"/>
    <row r="124" spans="1:77" ht="13.8" customHeight="1" x14ac:dyDescent="0.25"/>
  </sheetData>
  <mergeCells count="134">
    <mergeCell ref="D89:BS89"/>
    <mergeCell ref="D90:BS90"/>
    <mergeCell ref="D91:BS91"/>
    <mergeCell ref="D92:BS92"/>
    <mergeCell ref="D93:BS93"/>
    <mergeCell ref="D84:BS84"/>
    <mergeCell ref="D85:BS85"/>
    <mergeCell ref="D86:BS86"/>
    <mergeCell ref="D87:BS87"/>
    <mergeCell ref="D88:BS88"/>
    <mergeCell ref="D80:BS80"/>
    <mergeCell ref="D81:BS81"/>
    <mergeCell ref="D82:BS82"/>
    <mergeCell ref="D83:BS83"/>
    <mergeCell ref="A63:BS63"/>
    <mergeCell ref="D75:BS75"/>
    <mergeCell ref="D76:BS76"/>
    <mergeCell ref="D77:BS77"/>
    <mergeCell ref="D78:BS78"/>
    <mergeCell ref="A60:BS60"/>
    <mergeCell ref="A61:BS61"/>
    <mergeCell ref="A62:BS62"/>
    <mergeCell ref="A53:BS53"/>
    <mergeCell ref="A54:BS54"/>
    <mergeCell ref="A55:BS55"/>
    <mergeCell ref="A56:BS56"/>
    <mergeCell ref="A57:BS57"/>
    <mergeCell ref="D79:BS79"/>
    <mergeCell ref="S37:BI37"/>
    <mergeCell ref="BJ37:BT37"/>
    <mergeCell ref="T38:BJ38"/>
    <mergeCell ref="A48:BS48"/>
    <mergeCell ref="A49:BS49"/>
    <mergeCell ref="A50:BS50"/>
    <mergeCell ref="A51:BS51"/>
    <mergeCell ref="A52:BS52"/>
    <mergeCell ref="A27:BS27"/>
    <mergeCell ref="A28:BS28"/>
    <mergeCell ref="A29:BS29"/>
    <mergeCell ref="A30:BS30"/>
    <mergeCell ref="A31:BS31"/>
    <mergeCell ref="S39:BI39"/>
    <mergeCell ref="BJ39:BT39"/>
    <mergeCell ref="T40:BJ40"/>
    <mergeCell ref="O41:BP41"/>
    <mergeCell ref="X111:AN111"/>
    <mergeCell ref="AQ111:BE111"/>
    <mergeCell ref="BH111:BS111"/>
    <mergeCell ref="X115:AN115"/>
    <mergeCell ref="AQ115:BE115"/>
    <mergeCell ref="X109:AN109"/>
    <mergeCell ref="AQ109:BE109"/>
    <mergeCell ref="BH109:BS109"/>
    <mergeCell ref="BH115:BS115"/>
    <mergeCell ref="AQ118:BE118"/>
    <mergeCell ref="BH118:BS118"/>
    <mergeCell ref="A94:BT94"/>
    <mergeCell ref="Y105:BT105"/>
    <mergeCell ref="V101:BT101"/>
    <mergeCell ref="AD103:BT103"/>
    <mergeCell ref="N106:BT106"/>
    <mergeCell ref="J104:BT104"/>
    <mergeCell ref="AJ97:AS97"/>
    <mergeCell ref="AT97:BT97"/>
    <mergeCell ref="Q98:BT98"/>
    <mergeCell ref="X114:AN114"/>
    <mergeCell ref="AQ114:BE114"/>
    <mergeCell ref="BH114:BS114"/>
    <mergeCell ref="AA99:BT99"/>
    <mergeCell ref="X112:AN112"/>
    <mergeCell ref="A100:BS100"/>
    <mergeCell ref="AQ117:BE117"/>
    <mergeCell ref="BH117:BS117"/>
    <mergeCell ref="X108:AN108"/>
    <mergeCell ref="AQ108:BE108"/>
    <mergeCell ref="BH108:BS108"/>
    <mergeCell ref="AQ112:BE112"/>
    <mergeCell ref="BH112:BS112"/>
    <mergeCell ref="BY42:CE43"/>
    <mergeCell ref="BY64:CD64"/>
    <mergeCell ref="BY68:CE96"/>
    <mergeCell ref="D73:BT73"/>
    <mergeCell ref="A67:BT67"/>
    <mergeCell ref="AK69:BT69"/>
    <mergeCell ref="A71:BT71"/>
    <mergeCell ref="A72:BT72"/>
    <mergeCell ref="U64:BT64"/>
    <mergeCell ref="P65:BT65"/>
    <mergeCell ref="U66:BT66"/>
    <mergeCell ref="Y95:BT95"/>
    <mergeCell ref="Y96:BT96"/>
    <mergeCell ref="A70:BS70"/>
    <mergeCell ref="AK68:BT68"/>
    <mergeCell ref="A43:BT43"/>
    <mergeCell ref="E42:BT42"/>
    <mergeCell ref="A44:BS44"/>
    <mergeCell ref="D74:BS74"/>
    <mergeCell ref="A45:BS45"/>
    <mergeCell ref="A46:BS46"/>
    <mergeCell ref="A47:BS47"/>
    <mergeCell ref="A58:BS58"/>
    <mergeCell ref="A59:BS59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1:BT11"/>
    <mergeCell ref="AE33:AT33"/>
    <mergeCell ref="T36:BJ36"/>
    <mergeCell ref="S35:BI35"/>
    <mergeCell ref="BJ35:BT35"/>
    <mergeCell ref="A32:BT32"/>
    <mergeCell ref="A12:BS12"/>
    <mergeCell ref="A13:BS13"/>
    <mergeCell ref="A14:BS14"/>
    <mergeCell ref="A15:BS15"/>
    <mergeCell ref="A16:BS16"/>
    <mergeCell ref="A17:BS17"/>
    <mergeCell ref="A18:BS18"/>
    <mergeCell ref="A19:BS19"/>
    <mergeCell ref="A20:BS20"/>
    <mergeCell ref="A21:BS21"/>
    <mergeCell ref="A22:BS22"/>
    <mergeCell ref="A23:BS23"/>
    <mergeCell ref="A24:BS24"/>
    <mergeCell ref="A25:BS25"/>
    <mergeCell ref="A26:BS26"/>
  </mergeCells>
  <phoneticPr fontId="21" type="noConversion"/>
  <dataValidations count="4">
    <dataValidation type="list" errorStyle="information" allowBlank="1" showInputMessage="1" sqref="O41:BP41" xr:uid="{00000000-0002-0000-0000-000000000000}">
      <formula1>"выборочный,сплошной"</formula1>
    </dataValidation>
    <dataValidation type="list" allowBlank="1" showInputMessage="1" showErrorMessage="1" sqref="N41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75" fitToHeight="2" orientation="portrait" blackAndWhite="1" r:id="rId1"/>
  <rowBreaks count="1" manualBreakCount="1">
    <brk id="67" max="71" man="1"/>
  </rowBreaks>
  <colBreaks count="1" manualBreakCount="1">
    <brk id="71" max="97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BJ39:BT39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BJ37:BT37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BJ35:BT35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T64:U64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S66:U66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:C3"/>
    </sheetView>
  </sheetViews>
  <sheetFormatPr defaultColWidth="8.88671875" defaultRowHeight="13.8" x14ac:dyDescent="0.25"/>
  <cols>
    <col min="1" max="1" width="27.109375" style="32" customWidth="1"/>
    <col min="2" max="2" width="21.6640625" style="32" customWidth="1"/>
    <col min="3" max="3" width="49.77734375" style="32" customWidth="1"/>
    <col min="4" max="5" width="10.109375" style="32" customWidth="1"/>
    <col min="6" max="6" width="44.77734375" style="32" customWidth="1"/>
    <col min="7" max="16384" width="8.88671875" style="32"/>
  </cols>
  <sheetData>
    <row r="2" spans="1:6" ht="29.4" customHeight="1" x14ac:dyDescent="0.25">
      <c r="A2" s="38" t="s">
        <v>10</v>
      </c>
      <c r="B2" s="39" t="s">
        <v>74</v>
      </c>
      <c r="C2" s="39" t="s">
        <v>73</v>
      </c>
      <c r="D2" s="37" t="s">
        <v>71</v>
      </c>
      <c r="E2" s="37" t="s">
        <v>72</v>
      </c>
    </row>
    <row r="3" spans="1:6" x14ac:dyDescent="0.25">
      <c r="A3" s="33" t="s">
        <v>12</v>
      </c>
      <c r="B3" s="49" t="s">
        <v>106</v>
      </c>
      <c r="C3" s="60" t="s">
        <v>107</v>
      </c>
      <c r="D3" s="35">
        <v>44927</v>
      </c>
      <c r="E3" s="35">
        <v>45337</v>
      </c>
    </row>
    <row r="4" spans="1:6" x14ac:dyDescent="0.25">
      <c r="A4" s="33" t="s">
        <v>12</v>
      </c>
      <c r="B4" s="32" t="s">
        <v>75</v>
      </c>
      <c r="C4" s="41" t="s">
        <v>76</v>
      </c>
      <c r="D4" s="35">
        <v>45337</v>
      </c>
      <c r="E4" s="35">
        <v>45657</v>
      </c>
    </row>
    <row r="5" spans="1:6" x14ac:dyDescent="0.25">
      <c r="A5" s="33" t="s">
        <v>14</v>
      </c>
      <c r="B5" s="32" t="s">
        <v>66</v>
      </c>
      <c r="C5" s="34" t="s">
        <v>65</v>
      </c>
      <c r="D5" s="35">
        <v>45166</v>
      </c>
      <c r="E5" s="35">
        <v>45657</v>
      </c>
    </row>
    <row r="6" spans="1:6" x14ac:dyDescent="0.25">
      <c r="A6" s="33" t="s">
        <v>14</v>
      </c>
      <c r="B6" s="32" t="s">
        <v>78</v>
      </c>
      <c r="C6" s="34" t="s">
        <v>77</v>
      </c>
      <c r="D6" s="35">
        <v>44927</v>
      </c>
      <c r="E6" s="35">
        <v>45166</v>
      </c>
    </row>
    <row r="7" spans="1:6" ht="27.6" x14ac:dyDescent="0.25">
      <c r="A7" s="33" t="s">
        <v>14</v>
      </c>
      <c r="B7" s="44" t="s">
        <v>89</v>
      </c>
      <c r="C7" s="34" t="s">
        <v>65</v>
      </c>
      <c r="D7" s="35">
        <v>45278</v>
      </c>
      <c r="E7" s="35">
        <v>45342</v>
      </c>
      <c r="F7" s="43" t="s">
        <v>90</v>
      </c>
    </row>
    <row r="8" spans="1:6" ht="55.2" x14ac:dyDescent="0.25">
      <c r="A8" s="45" t="s">
        <v>15</v>
      </c>
      <c r="B8" s="46" t="s">
        <v>64</v>
      </c>
      <c r="C8" s="47" t="s">
        <v>63</v>
      </c>
      <c r="D8" s="48">
        <v>44927</v>
      </c>
      <c r="E8" s="48">
        <v>45657</v>
      </c>
    </row>
    <row r="9" spans="1:6" ht="55.2" x14ac:dyDescent="0.25">
      <c r="A9" s="36" t="s">
        <v>15</v>
      </c>
      <c r="B9" s="32" t="s">
        <v>88</v>
      </c>
      <c r="C9" s="42" t="s">
        <v>87</v>
      </c>
      <c r="F9" s="49" t="s">
        <v>91</v>
      </c>
    </row>
    <row r="11" spans="1:6" x14ac:dyDescent="0.25">
      <c r="A11" s="33"/>
    </row>
    <row r="12" spans="1:6" x14ac:dyDescent="0.25">
      <c r="A1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2025-11-25T12:33:40Z</cp:lastPrinted>
  <dcterms:created xsi:type="dcterms:W3CDTF">2023-09-19T09:44:50Z</dcterms:created>
  <dcterms:modified xsi:type="dcterms:W3CDTF">2025-11-26T14:13:23Z</dcterms:modified>
</cp:coreProperties>
</file>