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Стажеры\Лиза\ИТП\61.17 ИТП\"/>
    </mc:Choice>
  </mc:AlternateContent>
  <xr:revisionPtr revIDLastSave="0" documentId="13_ncr:1_{69B4EB3A-CBA1-483F-ACDC-2B67DBB366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акт!$A$1:$BS$130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4" i="18" l="1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83" i="18"/>
  <c r="AA112" i="18" l="1"/>
  <c r="A113" i="18" l="1"/>
  <c r="D82" i="18" l="1"/>
  <c r="Q111" i="18" l="1"/>
  <c r="BW38" i="18" l="1"/>
  <c r="S43" i="18" l="1"/>
  <c r="S41" i="18"/>
  <c r="S39" i="18"/>
  <c r="X127" i="18" l="1"/>
  <c r="X124" i="18"/>
  <c r="BH121" i="18"/>
  <c r="BH127" i="18" s="1"/>
  <c r="X121" i="18"/>
  <c r="Y118" i="18"/>
  <c r="BH124" i="18" l="1"/>
</calcChain>
</file>

<file path=xl/sharedStrings.xml><?xml version="1.0" encoding="utf-8"?>
<sst xmlns="http://schemas.openxmlformats.org/spreadsheetml/2006/main" count="185" uniqueCount="161">
  <si>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</si>
  <si>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</si>
  <si>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</si>
  <si>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</si>
  <si>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</si>
  <si>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</si>
  <si>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</si>
  <si>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</si>
  <si>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</si>
  <si>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</si>
  <si>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</si>
  <si>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</si>
  <si>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</si>
  <si>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</si>
  <si>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</si>
  <si>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</si>
  <si>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</si>
  <si>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</si>
  <si>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</si>
  <si>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</si>
  <si>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</si>
  <si>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</si>
  <si>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</si>
  <si>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</si>
  <si>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</si>
  <si>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</si>
  <si>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</si>
  <si>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</si>
  <si>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</si>
  <si>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</si>
  <si>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</si>
  <si>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</si>
  <si>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</si>
  <si>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</si>
  <si>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</si>
  <si>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</si>
  <si>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</si>
  <si>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</si>
  <si>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</si>
  <si>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</si>
  <si>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</si>
  <si>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</si>
  <si>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</si>
  <si>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</si>
  <si>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</si>
  <si>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</si>
  <si>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</si>
  <si>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</si>
  <si>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</si>
  <si>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</si>
  <si>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</si>
  <si>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</si>
  <si>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</si>
  <si>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</si>
  <si>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</si>
  <si>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</si>
  <si>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</si>
  <si>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</si>
  <si>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</si>
  <si>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</si>
  <si>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</si>
  <si>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</si>
  <si>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</si>
  <si>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</si>
  <si>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</si>
  <si>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</si>
  <si>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</si>
  <si>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</si>
  <si>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</si>
  <si>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</si>
  <si>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</si>
  <si>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</si>
  <si>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</si>
  <si>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</si>
  <si>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</si>
  <si>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</si>
  <si>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</si>
  <si>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</si>
  <si>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</si>
  <si>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</si>
  <si>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</si>
  <si>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</si>
  <si>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</si>
  <si>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</si>
  <si>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</si>
  <si>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</si>
  <si>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</si>
  <si>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</si>
  <si>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</si>
  <si>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</si>
  <si>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</si>
  <si>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</si>
  <si>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</si>
  <si>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</si>
  <si>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</si>
  <si>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</si>
  <si>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</si>
  <si>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</si>
  <si>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</si>
  <si>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</si>
  <si>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</si>
  <si>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</si>
  <si>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</si>
  <si>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</si>
  <si>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</si>
  <si>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t>-</t>
  </si>
  <si>
    <t>Кострова Н.Л.</t>
  </si>
  <si>
    <t>Руководитель группы МТО АО «Газстройпроект»</t>
  </si>
  <si>
    <t>АИР 1.2-61.17-ИТП/БТП2</t>
  </si>
  <si>
    <t xml:space="preserve">2. Электропривод ARV-1000R 082G6011R, 230V, импульсное управление; </t>
  </si>
  <si>
    <t xml:space="preserve">3. Термометр биметаллический O80мм 0..120С, L=100 мм,  кл. точн. 1.5, IP43; </t>
  </si>
  <si>
    <t xml:space="preserve">4. Манометр показывающий ТМ510 0..16бар. 100мм. G1/2. кл. точн. 1.5. IP43; </t>
  </si>
  <si>
    <t xml:space="preserve">5. Кран под манометр трехходовой резьбовой G1/2/Py25/Tmax150; </t>
  </si>
  <si>
    <t xml:space="preserve">6. Спускник Ду15/Ру40/Тmax180 сталь с/с; </t>
  </si>
  <si>
    <t xml:space="preserve">7. Манометр показывающий ТМ510 0..10бар. 100мм. G1/2. кл. точн. 1.5. IP43; </t>
  </si>
  <si>
    <t>8. Термометр биметаллический O80мм 0..120С, L=100 мм, кл. точн. 1.5, IP43;</t>
  </si>
  <si>
    <t>9. Преобразователь давления MBS1700R. 4-20 мА/0-10 бар; 10. Шаровой кран Ду25/Ру16/Tmax130 латунь р/р;</t>
  </si>
  <si>
    <t>11. Обратный клапан NVD-812R/Dy25/Py40/Tmax240 нерж.сталь м/ф;</t>
  </si>
  <si>
    <t xml:space="preserve">12. Датчик температуры погружной с гильзой из нерж. стали, L=100 мм, Pt1000, T=-50...+200°С, G1/2", IP65; </t>
  </si>
  <si>
    <t xml:space="preserve">13. Обратный клапан NRV-R EF/Dy25/Py25/Tmax110 латунь р/р; 14. Спускник Ду15/Ру16/Tmax130 латунь р/р; </t>
  </si>
  <si>
    <t xml:space="preserve">15. Вибровставка ZKV EPDM PN16 DN32; 16. Насос RMV 1-2F; </t>
  </si>
  <si>
    <t xml:space="preserve">17. Прессостат KPI 35R, диап. настр. давл. -0,2-7,5 бар, PN17, Tmax=120°C, G1/2", IP44; </t>
  </si>
  <si>
    <t xml:space="preserve">18. Шаровой кран трехходовой резьбовой G1/2/Py25/Tmax150; </t>
  </si>
  <si>
    <t xml:space="preserve">19. Предохранительный клапан 1/2" OR 1832.015; </t>
  </si>
  <si>
    <t xml:space="preserve">20. Спускник Ду25/Ру16/Tmax130 латунь р/р; 21. Фильтр FVR-R/Dy25/Py25/Tmax130 латунь р/р; </t>
  </si>
  <si>
    <t xml:space="preserve">22. Шаровой кран RJIP Standard WW/Ду25/Ру16/Тmax150 сталь с/с; </t>
  </si>
  <si>
    <t xml:space="preserve">23. Балансировочный клапан MVT-R/Dy20/Kvs5.19/PN16/Tmax120 р/р; </t>
  </si>
  <si>
    <t xml:space="preserve">24. Регулятор перепада давлений VFG-2R/Dy15/Kvs4/Tmax150/Pmax16 сталь ф/ф; </t>
  </si>
  <si>
    <t xml:space="preserve">25. Регулирующий блок AFP-R 0,15-1,50; </t>
  </si>
  <si>
    <t xml:space="preserve">26. Датчик температуры наружный MBT 3281, Pt1000, T=-50…+50°C, IP54; </t>
  </si>
  <si>
    <t xml:space="preserve">27. Шкаф автоматизации БТП BAST0607233929; 28. Трубная обвязка элементов блока; </t>
  </si>
  <si>
    <t xml:space="preserve">29. Наклейка для шильдика БТП; 30. Шаровой кран Ду15/Ру40/Tmax180 сталь с/с; </t>
  </si>
  <si>
    <t>31. Адаптер для присоединения клапанов VFM-2R DN15-50 к электроприводам ARV(E).</t>
  </si>
  <si>
    <t>ПП2020РД-1.2-61.17-ИТП; ПП2020РД-1.2-61.17-ИТП.СО; изм.4; л. 2-5</t>
  </si>
  <si>
    <t xml:space="preserve">БТП Ридан N0507232064-2 - 1 компл.: 1. Регулирующий клапан VFM-2R/Dy15/Kvs1.6/Tmax150/Pmax25 чугун ф/ф - 1 шт; </t>
  </si>
  <si>
    <t xml:space="preserve">БТП Ридан N0507232064-2: 1. Регулирующий клапан VFM-2R/Dy15/Kvs1.6/Tmax150/Pmax25 чугун ф/ф; </t>
  </si>
  <si>
    <t xml:space="preserve">2. Электропривод ARV-1000R 082G6011R, 230V, импульсное управление - 1 шт; </t>
  </si>
  <si>
    <t xml:space="preserve">3. Термометр биметаллический O80мм 0..120С, L=100 мм,  кл. точн. 1.5, IP43 - 1 шт; </t>
  </si>
  <si>
    <t xml:space="preserve">4. Манометр показывающий ТМ510 0..16бар. 100мм. G1/2. кл. точн. 1.5. IP43 - 4 шт; </t>
  </si>
  <si>
    <t xml:space="preserve">5. Кран под манометр трехходовой резьбовой G1/2/Py25/Tmax150 - 14 шт; </t>
  </si>
  <si>
    <t xml:space="preserve">6. Спускник Ду15/Ру40/Тmax180 сталь с/с - 1 шт; </t>
  </si>
  <si>
    <t xml:space="preserve">7. Манометр показывающий ТМ510 0..10бар. 100мм. G1/2. кл. точн. 1.5. IP43 - 8 шт; </t>
  </si>
  <si>
    <t>8. Термометр биметаллический O80мм 0..120С, L=100 мм, кл. точн. 1.5, IP43 - 3 шт;</t>
  </si>
  <si>
    <t>9. Преобразователь давления MBS1700R. 4-20 мА/0-10 бар - 2 шт; 10. Шаровой кран Ду25/Ру16/Tmax130 латунь р/р - 6 шт;</t>
  </si>
  <si>
    <t>11. Обратный клапан NVD-812R/Dy25/Py40/Tmax240 нерж.сталь м/ф - 1 шт;</t>
  </si>
  <si>
    <t xml:space="preserve">12. Датчик температуры погружной с гильзой из нерж. стали, L=100 мм, Pt1000, T=-50...+200°С, G1/2", IP65 - 2 шт; </t>
  </si>
  <si>
    <t xml:space="preserve">13. Обратный клапан NRV-R EF/Dy25/Py25/Tmax110 латунь р/р - 2 шт; 14. Спускник Ду15/Ру16/Tmax130 латунь р/р - 2 шт; </t>
  </si>
  <si>
    <t xml:space="preserve">15. Вибровставка ZKV EPDM PN16 DN32 - 4 шт; 16. Насос RMV 1-2F - 2 шт; </t>
  </si>
  <si>
    <t xml:space="preserve">17. Прессостат KPI 35R, диап. настр. давл. -0,2-7,5 бар, PN17, Tmax=120°C, G1/2", IP44 - 1 шт; </t>
  </si>
  <si>
    <t xml:space="preserve">18. Шаровой кран трехходовой резьбовой G1/2/Py25/Tmax150 - 1 шт; </t>
  </si>
  <si>
    <t xml:space="preserve">19. Предохранительный клапан 1/2" OR 1832.015 - 1 шт; </t>
  </si>
  <si>
    <t xml:space="preserve">20. Спускник Ду25/Ру16/Tmax130 латунь р/р - 2 шт; 21. Фильтр FVR-R/Dy25/Py25/Tmax130 латунь р/р - 1 шт; </t>
  </si>
  <si>
    <t xml:space="preserve">22. Шаровой кран RJIP Standard WW/Ду25/Ру16/Тmax150 сталь с/с - 1 шт; </t>
  </si>
  <si>
    <t xml:space="preserve">23. Балансировочный клапан MVT-R/Dy20/Kvs5.19/PN16/Tmax120 р/р - 1 шт; </t>
  </si>
  <si>
    <t xml:space="preserve">24. Регулятор перепада давлений VFG-2R/Dy15/Kvs4/Tmax150/Pmax16 сталь ф/ф - 1 шт; </t>
  </si>
  <si>
    <t xml:space="preserve">25. Регулирующий блок AFP-R 0,15-1,50 - 1 шт; </t>
  </si>
  <si>
    <t xml:space="preserve">26. Датчик температуры наружный MBT 3281, Pt1000, T=-50…+50°C, IP54 - 2 шт; </t>
  </si>
  <si>
    <t xml:space="preserve">27. Шкаф автоматизации БТП BAST0607233929 - 1 шт; 28. Трубная обвязка элементов блока - 1 шт; </t>
  </si>
  <si>
    <t xml:space="preserve">29. Наклейка для шильдика БТП - 1 шт; 30. Шаровой кран Ду15/Ру40/Tmax180 сталь с/с - 2 шт; </t>
  </si>
  <si>
    <t>31. Адаптер для присоединения клапанов VFM-2R DN15-50 к электроприводам ARV(Е) - 1 шт.</t>
  </si>
  <si>
    <t>Паспорт б/н (АУУ/HS23L-1897) от октября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</si>
</sst>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2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14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12" fillId="2" borderId="0" xfId="1" applyFont="1" applyFill="1" applyAlignment="1">
      <alignment horizontal="center" vertical="top"/>
    </xf>
    <xf numFmtId="0" fontId="14" fillId="3" borderId="0" xfId="1" applyFont="1" applyFill="1" applyAlignment="1">
      <alignment horizontal="left"/>
    </xf>
    <xf numFmtId="14" fontId="14" fillId="2" borderId="0" xfId="1" applyNumberFormat="1" applyFont="1" applyFill="1" applyAlignment="1">
      <alignment horizontal="left" vertical="center" wrapText="1"/>
    </xf>
    <xf numFmtId="14" fontId="14" fillId="2" borderId="1" xfId="1" applyNumberFormat="1" applyFont="1" applyFill="1" applyBorder="1" applyAlignment="1">
      <alignment horizontal="left" vertical="center" wrapText="1"/>
    </xf>
    <xf numFmtId="0" fontId="0" fillId="2" borderId="0" xfId="0" applyFill="1"/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4" fillId="4" borderId="0" xfId="1" applyFont="1" applyFill="1" applyAlignment="1">
      <alignment horizontal="left"/>
    </xf>
    <xf numFmtId="0" fontId="1" fillId="0" borderId="0" xfId="0" applyFont="1" applyAlignment="1">
      <alignment horizontal="left" vertical="center"/>
    </xf>
    <xf numFmtId="14" fontId="14" fillId="3" borderId="0" xfId="1" applyNumberFormat="1" applyFont="1" applyFill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14" fontId="14" fillId="3" borderId="0" xfId="1" applyNumberFormat="1" applyFont="1" applyFill="1" applyAlignment="1">
      <alignment horizontal="left" vertical="center" wrapText="1"/>
    </xf>
    <xf numFmtId="14" fontId="14" fillId="4" borderId="0" xfId="1" applyNumberFormat="1" applyFont="1" applyFill="1" applyBorder="1" applyAlignment="1">
      <alignment horizontal="justify" vertical="center"/>
    </xf>
    <xf numFmtId="14" fontId="14" fillId="3" borderId="3" xfId="1" applyNumberFormat="1" applyFont="1" applyFill="1" applyBorder="1" applyAlignment="1">
      <alignment horizontal="left" vertical="center" wrapText="1"/>
    </xf>
    <xf numFmtId="14" fontId="14" fillId="4" borderId="3" xfId="1" applyNumberFormat="1" applyFont="1" applyFill="1" applyBorder="1" applyAlignment="1">
      <alignment horizontal="left" vertical="center" wrapText="1"/>
    </xf>
    <xf numFmtId="0" fontId="12" fillId="2" borderId="0" xfId="1" applyFont="1" applyFill="1" applyAlignment="1">
      <alignment horizontal="center"/>
    </xf>
    <xf numFmtId="14" fontId="12" fillId="2" borderId="0" xfId="1" applyNumberFormat="1" applyFont="1" applyFill="1" applyAlignment="1">
      <alignment horizontal="center"/>
    </xf>
    <xf numFmtId="165" fontId="12" fillId="3" borderId="1" xfId="1" applyNumberFormat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0" fontId="16" fillId="2" borderId="2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/>
    </xf>
    <xf numFmtId="0" fontId="12" fillId="2" borderId="0" xfId="1" applyFont="1" applyFill="1" applyAlignment="1">
      <alignment horizontal="center" vertical="top"/>
    </xf>
    <xf numFmtId="0" fontId="17" fillId="0" borderId="0" xfId="1" applyFont="1" applyAlignment="1">
      <alignment horizontal="center" vertical="top"/>
    </xf>
    <xf numFmtId="165" fontId="14" fillId="3" borderId="1" xfId="1" applyNumberFormat="1" applyFont="1" applyFill="1" applyBorder="1" applyAlignment="1">
      <alignment horizontal="left" vertical="top" wrapText="1"/>
    </xf>
    <xf numFmtId="0" fontId="16" fillId="2" borderId="2" xfId="1" applyFont="1" applyFill="1" applyBorder="1" applyAlignment="1">
      <alignment vertical="top"/>
    </xf>
    <xf numFmtId="0" fontId="11" fillId="3" borderId="0" xfId="1" applyFont="1" applyFill="1" applyAlignment="1">
      <alignment horizontal="left"/>
    </xf>
    <xf numFmtId="0" fontId="14" fillId="4" borderId="1" xfId="1" applyFont="1" applyFill="1" applyBorder="1" applyAlignment="1">
      <alignment horizontal="left" wrapText="1"/>
    </xf>
    <xf numFmtId="0" fontId="16" fillId="2" borderId="0" xfId="1" applyFont="1" applyFill="1" applyAlignment="1">
      <alignment horizontal="right" vertical="top" wrapText="1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4" fillId="3" borderId="1" xfId="1" applyFont="1" applyFill="1" applyBorder="1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top" wrapText="1"/>
    </xf>
    <xf numFmtId="0" fontId="14" fillId="3" borderId="1" xfId="1" applyFont="1" applyFill="1" applyBorder="1" applyAlignment="1">
      <alignment horizontal="left"/>
    </xf>
    <xf numFmtId="0" fontId="0" fillId="0" borderId="0" xfId="0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center" wrapText="1"/>
    </xf>
    <xf numFmtId="0" fontId="16" fillId="2" borderId="0" xfId="1" applyFont="1" applyFill="1" applyAlignment="1">
      <alignment horizontal="center" vertical="top"/>
    </xf>
    <xf numFmtId="0" fontId="12" fillId="2" borderId="0" xfId="1" applyFont="1" applyFill="1" applyAlignment="1">
      <alignment horizontal="left" vertical="center"/>
    </xf>
    <xf numFmtId="0" fontId="14" fillId="4" borderId="1" xfId="1" applyFont="1" applyFill="1" applyBorder="1" applyAlignment="1">
      <alignment horizontal="left" vertical="top" wrapText="1"/>
    </xf>
    <xf numFmtId="0" fontId="16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 vertical="top" wrapText="1"/>
    </xf>
    <xf numFmtId="0" fontId="14" fillId="4" borderId="1" xfId="1" applyFont="1" applyFill="1" applyBorder="1" applyAlignment="1">
      <alignment horizontal="center" vertical="center" wrapText="1"/>
    </xf>
    <xf numFmtId="0" fontId="14" fillId="4" borderId="1" xfId="1" applyFont="1" applyFill="1" applyBorder="1" applyAlignment="1">
      <alignment horizontal="left"/>
    </xf>
    <xf numFmtId="0" fontId="11" fillId="2" borderId="0" xfId="1" applyFont="1" applyFill="1" applyAlignment="1">
      <alignment horizontal="center"/>
    </xf>
    <xf numFmtId="49" fontId="13" fillId="2" borderId="0" xfId="1" applyNumberFormat="1" applyFont="1" applyFill="1" applyAlignment="1">
      <alignment horizontal="center" vertical="center"/>
    </xf>
    <xf numFmtId="0" fontId="13" fillId="2" borderId="0" xfId="1" applyFont="1" applyFill="1" applyAlignment="1">
      <alignment horizontal="left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14" fontId="14" fillId="4" borderId="1" xfId="1" applyNumberFormat="1" applyFont="1" applyFill="1" applyBorder="1" applyAlignment="1">
      <alignment horizontal="justify" vertical="center" wrapText="1"/>
    </xf>
    <xf numFmtId="14" fontId="14" fillId="4" borderId="1" xfId="1" applyNumberFormat="1" applyFont="1" applyFill="1" applyBorder="1" applyAlignment="1">
      <alignment horizontal="justify" vertical="center"/>
    </xf>
    <xf numFmtId="164" fontId="14" fillId="4" borderId="1" xfId="1" applyNumberFormat="1" applyFont="1" applyFill="1" applyBorder="1" applyAlignment="1">
      <alignment horizontal="center"/>
    </xf>
    <xf numFmtId="0" fontId="12" fillId="3" borderId="0" xfId="1" applyFont="1" applyFill="1" applyAlignment="1">
      <alignment horizontal="left" wrapText="1"/>
    </xf>
    <xf numFmtId="0" fontId="12" fillId="3" borderId="1" xfId="1" applyFont="1" applyFill="1" applyBorder="1" applyAlignment="1">
      <alignment horizontal="right"/>
    </xf>
    <xf numFmtId="14" fontId="14" fillId="2" borderId="0" xfId="1" applyNumberFormat="1" applyFont="1" applyFill="1" applyAlignment="1">
      <alignment horizontal="center" wrapText="1"/>
    </xf>
    <xf numFmtId="0" fontId="12" fillId="3" borderId="1" xfId="1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right" vertical="center"/>
    </xf>
    <xf numFmtId="0" fontId="16" fillId="2" borderId="0" xfId="1" applyFont="1" applyFill="1" applyAlignment="1">
      <alignment horizontal="center" vertical="center"/>
    </xf>
    <xf numFmtId="14" fontId="14" fillId="4" borderId="1" xfId="1" applyNumberFormat="1" applyFont="1" applyFill="1" applyBorder="1" applyAlignment="1">
      <alignment horizontal="left" vertical="top" wrapText="1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0</xdr:rowOff>
    </xdr:from>
    <xdr:to>
      <xdr:col>76</xdr:col>
      <xdr:colOff>201930</xdr:colOff>
      <xdr:row>35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45</xdr:row>
      <xdr:rowOff>0</xdr:rowOff>
    </xdr:from>
    <xdr:to>
      <xdr:col>75</xdr:col>
      <xdr:colOff>521970</xdr:colOff>
      <xdr:row>46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72</xdr:row>
      <xdr:rowOff>0</xdr:rowOff>
    </xdr:from>
    <xdr:to>
      <xdr:col>75</xdr:col>
      <xdr:colOff>521970</xdr:colOff>
      <xdr:row>72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75</xdr:row>
      <xdr:rowOff>0</xdr:rowOff>
    </xdr:from>
    <xdr:to>
      <xdr:col>75</xdr:col>
      <xdr:colOff>521970</xdr:colOff>
      <xdr:row>79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113</xdr:row>
      <xdr:rowOff>0</xdr:rowOff>
    </xdr:from>
    <xdr:to>
      <xdr:col>75</xdr:col>
      <xdr:colOff>521970</xdr:colOff>
      <xdr:row>113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122</xdr:row>
      <xdr:rowOff>0</xdr:rowOff>
    </xdr:from>
    <xdr:to>
      <xdr:col>75</xdr:col>
      <xdr:colOff>521970</xdr:colOff>
      <xdr:row>124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E137"/>
  <sheetViews>
    <sheetView tabSelected="1" view="pageBreakPreview" topLeftCell="A110" zoomScaleNormal="100" zoomScaleSheetLayoutView="100" workbookViewId="0">
      <selection activeCell="N120" sqref="N120"/>
    </sheetView>
  </sheetViews>
  <sheetFormatPr defaultRowHeight="13.8" x14ac:dyDescent="0.25"/>
  <cols>
    <col min="1" max="4" width="1.44140625" customWidth="1"/>
    <col min="5" max="5" width="2.5546875" customWidth="1"/>
    <col min="6" max="6" width="2.33203125" customWidth="1"/>
    <col min="7" max="7" width="2.109375" customWidth="1"/>
    <col min="8" max="8" width="2.33203125" customWidth="1"/>
    <col min="9" max="9" width="1.5546875" customWidth="1"/>
    <col min="10" max="10" width="1.44140625" customWidth="1"/>
    <col min="11" max="11" width="1.77734375" customWidth="1"/>
    <col min="12" max="12" width="2.109375" customWidth="1"/>
    <col min="13" max="13" width="2.33203125" customWidth="1"/>
    <col min="14" max="14" width="1.44140625" customWidth="1"/>
    <col min="15" max="15" width="2.5546875" customWidth="1"/>
    <col min="16" max="18" width="1.44140625" customWidth="1"/>
    <col min="19" max="19" width="2.5546875" customWidth="1"/>
    <col min="20" max="20" width="1.44140625" customWidth="1"/>
    <col min="21" max="21" width="2.109375" customWidth="1"/>
    <col min="22" max="24" width="1.44140625" customWidth="1"/>
    <col min="25" max="25" width="2.33203125" customWidth="1"/>
    <col min="26" max="26" width="1.44140625" customWidth="1"/>
    <col min="27" max="27" width="2.109375" customWidth="1"/>
    <col min="28" max="28" width="2.44140625" customWidth="1"/>
    <col min="29" max="29" width="1.44140625" customWidth="1"/>
    <col min="30" max="30" width="2" customWidth="1"/>
    <col min="31" max="32" width="1.44140625" customWidth="1"/>
    <col min="33" max="33" width="1.77734375" customWidth="1"/>
    <col min="34" max="36" width="1.44140625" customWidth="1"/>
    <col min="37" max="37" width="2.109375" customWidth="1"/>
    <col min="38" max="38" width="1.6640625" customWidth="1"/>
    <col min="39" max="39" width="2.77734375" customWidth="1"/>
    <col min="40" max="40" width="2.109375" customWidth="1"/>
    <col min="41" max="41" width="1.44140625" customWidth="1"/>
    <col min="42" max="42" width="2.33203125" customWidth="1"/>
    <col min="43" max="43" width="3" customWidth="1"/>
    <col min="44" max="44" width="1.44140625" customWidth="1"/>
    <col min="45" max="45" width="1.88671875" customWidth="1"/>
    <col min="46" max="46" width="2.109375" customWidth="1"/>
    <col min="47" max="48" width="1.88671875" customWidth="1"/>
    <col min="49" max="49" width="2.33203125" customWidth="1"/>
    <col min="50" max="50" width="1.77734375" customWidth="1"/>
    <col min="51" max="51" width="1.44140625" customWidth="1"/>
    <col min="52" max="53" width="1.6640625" customWidth="1"/>
    <col min="54" max="55" width="1.88671875" customWidth="1"/>
    <col min="56" max="56" width="2.88671875" customWidth="1"/>
    <col min="57" max="57" width="2.5546875" customWidth="1"/>
    <col min="58" max="58" width="1.44140625" customWidth="1"/>
    <col min="59" max="59" width="1.77734375" customWidth="1"/>
    <col min="60" max="60" width="1.44140625" customWidth="1"/>
    <col min="61" max="61" width="1.5546875" customWidth="1"/>
    <col min="62" max="62" width="1.88671875" customWidth="1"/>
    <col min="63" max="63" width="1.44140625" customWidth="1"/>
    <col min="64" max="64" width="2.109375" customWidth="1"/>
    <col min="65" max="66" width="1.5546875" customWidth="1"/>
    <col min="67" max="68" width="1.77734375" customWidth="1"/>
    <col min="69" max="69" width="1.5546875" customWidth="1"/>
    <col min="70" max="70" width="1.44140625" customWidth="1"/>
    <col min="71" max="71" width="6.6640625" customWidth="1"/>
    <col min="72" max="72" width="3" hidden="1" customWidth="1"/>
    <col min="73" max="73" width="9.5546875" customWidth="1"/>
    <col min="74" max="74" width="5.6640625" customWidth="1"/>
    <col min="75" max="75" width="14.5546875" bestFit="1" customWidth="1"/>
  </cols>
  <sheetData>
    <row r="1" spans="1:7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2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67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2" x14ac:dyDescent="0.25">
      <c r="A3" s="69" t="s">
        <v>4</v>
      </c>
      <c r="B3" s="69"/>
      <c r="C3" s="69"/>
      <c r="D3" s="69"/>
      <c r="E3" s="69"/>
      <c r="F3" s="98" t="s">
        <v>5</v>
      </c>
      <c r="G3" s="98"/>
      <c r="H3" s="98"/>
      <c r="I3" s="99" t="s">
        <v>6</v>
      </c>
      <c r="J3" s="99"/>
      <c r="K3" s="9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68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69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2" x14ac:dyDescent="0.25">
      <c r="A6" s="69"/>
      <c r="B6" s="69"/>
      <c r="C6" s="69"/>
      <c r="D6" s="69"/>
      <c r="E6" s="69"/>
      <c r="F6" s="98"/>
      <c r="G6" s="98"/>
      <c r="H6" s="98"/>
      <c r="I6" s="99"/>
      <c r="J6" s="99"/>
      <c r="K6" s="9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100" t="s">
        <v>61</v>
      </c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0"/>
      <c r="BO6" s="100"/>
      <c r="BP6" s="100"/>
      <c r="BQ6" s="100"/>
      <c r="BR6" s="100"/>
      <c r="BS6" s="100"/>
      <c r="BT6" s="100"/>
    </row>
    <row r="7" spans="1:72" x14ac:dyDescent="0.25">
      <c r="A7" s="8"/>
      <c r="B7" s="8"/>
      <c r="C7" s="8"/>
      <c r="D7" s="8"/>
      <c r="E7" s="8"/>
      <c r="F7" s="8"/>
      <c r="G7" s="101"/>
      <c r="H7" s="101"/>
      <c r="I7" s="99"/>
      <c r="J7" s="99"/>
      <c r="K7" s="99"/>
      <c r="L7" s="99"/>
      <c r="M7" s="99"/>
      <c r="N7" s="99"/>
      <c r="O7" s="99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</row>
    <row r="8" spans="1:7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102" t="s">
        <v>108</v>
      </c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2" x14ac:dyDescent="0.25">
      <c r="A10" s="103" t="s">
        <v>45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3"/>
      <c r="BT10" s="103"/>
    </row>
    <row r="11" spans="1:72" x14ac:dyDescent="0.25">
      <c r="A11" s="104" t="s">
        <v>135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  <c r="BM11" s="105"/>
      <c r="BN11" s="105"/>
      <c r="BO11" s="105"/>
      <c r="BP11" s="105"/>
      <c r="BQ11" s="105"/>
      <c r="BR11" s="105"/>
      <c r="BS11" s="105"/>
      <c r="BT11" s="105"/>
    </row>
    <row r="12" spans="1:72" x14ac:dyDescent="0.25">
      <c r="A12" s="68" t="s">
        <v>109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6"/>
    </row>
    <row r="13" spans="1:72" x14ac:dyDescent="0.25">
      <c r="A13" s="68" t="s">
        <v>110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6"/>
    </row>
    <row r="14" spans="1:72" x14ac:dyDescent="0.25">
      <c r="A14" s="68" t="s">
        <v>111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6"/>
    </row>
    <row r="15" spans="1:72" x14ac:dyDescent="0.25">
      <c r="A15" s="68" t="s">
        <v>112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6"/>
    </row>
    <row r="16" spans="1:72" x14ac:dyDescent="0.25">
      <c r="A16" s="68" t="s">
        <v>113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6"/>
    </row>
    <row r="17" spans="1:72" x14ac:dyDescent="0.25">
      <c r="A17" s="68" t="s">
        <v>114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6"/>
    </row>
    <row r="18" spans="1:72" x14ac:dyDescent="0.25">
      <c r="A18" s="68" t="s">
        <v>115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6"/>
    </row>
    <row r="19" spans="1:72" x14ac:dyDescent="0.25">
      <c r="A19" s="68" t="s">
        <v>116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6"/>
    </row>
    <row r="20" spans="1:72" x14ac:dyDescent="0.25">
      <c r="A20" s="68" t="s">
        <v>117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6"/>
    </row>
    <row r="21" spans="1:72" x14ac:dyDescent="0.25">
      <c r="A21" s="68" t="s">
        <v>118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6"/>
    </row>
    <row r="22" spans="1:72" x14ac:dyDescent="0.25">
      <c r="A22" s="68" t="s">
        <v>119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6"/>
    </row>
    <row r="23" spans="1:72" x14ac:dyDescent="0.25">
      <c r="A23" s="68" t="s">
        <v>120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6"/>
    </row>
    <row r="24" spans="1:72" x14ac:dyDescent="0.25">
      <c r="A24" s="68" t="s">
        <v>121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6"/>
    </row>
    <row r="25" spans="1:72" x14ac:dyDescent="0.25">
      <c r="A25" s="68" t="s">
        <v>122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6"/>
    </row>
    <row r="26" spans="1:72" x14ac:dyDescent="0.25">
      <c r="A26" s="68" t="s">
        <v>123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6"/>
    </row>
    <row r="27" spans="1:72" x14ac:dyDescent="0.25">
      <c r="A27" s="68" t="s">
        <v>124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6"/>
    </row>
    <row r="28" spans="1:72" x14ac:dyDescent="0.25">
      <c r="A28" s="68" t="s">
        <v>125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6"/>
    </row>
    <row r="29" spans="1:72" x14ac:dyDescent="0.25">
      <c r="A29" s="68" t="s">
        <v>126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6"/>
    </row>
    <row r="30" spans="1:72" x14ac:dyDescent="0.25">
      <c r="A30" s="68" t="s">
        <v>127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6"/>
    </row>
    <row r="31" spans="1:72" x14ac:dyDescent="0.25">
      <c r="A31" s="68" t="s">
        <v>128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6"/>
    </row>
    <row r="32" spans="1:72" x14ac:dyDescent="0.25">
      <c r="A32" s="68" t="s">
        <v>129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6"/>
    </row>
    <row r="33" spans="1:83" x14ac:dyDescent="0.25">
      <c r="A33" s="68" t="s">
        <v>130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6"/>
    </row>
    <row r="34" spans="1:83" x14ac:dyDescent="0.25">
      <c r="A34" s="68" t="s">
        <v>131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6"/>
    </row>
    <row r="35" spans="1:83" x14ac:dyDescent="0.25">
      <c r="A35" s="68" t="s">
        <v>132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6"/>
    </row>
    <row r="36" spans="1:83" ht="13.8" customHeight="1" x14ac:dyDescent="0.25">
      <c r="A36" s="109" t="s">
        <v>46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  <c r="BT36" s="109"/>
    </row>
    <row r="37" spans="1:83" ht="12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13" t="s">
        <v>9</v>
      </c>
      <c r="AB37" s="8"/>
      <c r="AC37" s="8"/>
      <c r="AD37" s="8"/>
      <c r="AE37" s="106">
        <v>45244</v>
      </c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4"/>
      <c r="AV37" s="14"/>
      <c r="AW37" s="14"/>
      <c r="AX37" s="14"/>
      <c r="AY37" s="14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12"/>
    </row>
    <row r="38" spans="1:83" x14ac:dyDescent="0.25">
      <c r="A38" s="8" t="s">
        <v>10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 t="s">
        <v>11</v>
      </c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12"/>
      <c r="BW38" s="50">
        <f>AE37</f>
        <v>45244</v>
      </c>
    </row>
    <row r="39" spans="1:83" x14ac:dyDescent="0.25">
      <c r="A39" s="8" t="s">
        <v>12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107" t="str">
        <f>VLOOKUP(BJ39,подписанты!$B$3:$C$11,2,FALSE)</f>
        <v>Руководитель группы МТО АО «Газстройпроект»</v>
      </c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8" t="s">
        <v>106</v>
      </c>
      <c r="BK39" s="108"/>
      <c r="BL39" s="108"/>
      <c r="BM39" s="108"/>
      <c r="BN39" s="108"/>
      <c r="BO39" s="108"/>
      <c r="BP39" s="108"/>
      <c r="BQ39" s="108"/>
      <c r="BR39" s="108"/>
      <c r="BS39" s="108"/>
      <c r="BT39" s="108"/>
    </row>
    <row r="40" spans="1:83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74" t="s">
        <v>13</v>
      </c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24"/>
      <c r="BL40" s="24"/>
      <c r="BM40" s="24"/>
      <c r="BN40" s="24"/>
      <c r="BO40" s="24"/>
      <c r="BP40" s="15"/>
      <c r="BQ40" s="15"/>
      <c r="BR40" s="15"/>
      <c r="BS40" s="15"/>
      <c r="BT40" s="15"/>
    </row>
    <row r="41" spans="1:83" x14ac:dyDescent="0.25">
      <c r="A41" s="8" t="s">
        <v>14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110" t="str">
        <f>VLOOKUP(BJ41,подписанты!$B$3:$C$11,2,FALSE)</f>
        <v>Инженер отдела технического надзора АО «Газстройпроект»</v>
      </c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  <c r="BH41" s="110"/>
      <c r="BI41" s="110"/>
      <c r="BJ41" s="108" t="s">
        <v>66</v>
      </c>
      <c r="BK41" s="108"/>
      <c r="BL41" s="108"/>
      <c r="BM41" s="108"/>
      <c r="BN41" s="108"/>
      <c r="BO41" s="108"/>
      <c r="BP41" s="108"/>
      <c r="BQ41" s="108"/>
      <c r="BR41" s="108"/>
      <c r="BS41" s="108"/>
      <c r="BT41" s="108"/>
    </row>
    <row r="42" spans="1:83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90" t="s">
        <v>13</v>
      </c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74"/>
      <c r="BK42" s="15"/>
      <c r="BL42" s="15"/>
      <c r="BM42" s="15"/>
      <c r="BN42" s="15"/>
      <c r="BO42" s="15"/>
      <c r="BP42" s="15"/>
      <c r="BQ42" s="15"/>
      <c r="BR42" s="15"/>
      <c r="BS42" s="15"/>
      <c r="BT42" s="15"/>
    </row>
    <row r="43" spans="1:83" ht="28.2" customHeight="1" x14ac:dyDescent="0.25">
      <c r="A43" s="8" t="s">
        <v>15</v>
      </c>
      <c r="B43" s="8"/>
      <c r="C43" s="8"/>
      <c r="D43" s="8"/>
      <c r="E43" s="8"/>
      <c r="F43" s="8"/>
      <c r="G43" s="8"/>
      <c r="H43" s="8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10" t="str">
        <f>VLOOKUP(BJ43,подписанты!$B$3:$C$11,2,FALSE)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10"/>
      <c r="BA43" s="110"/>
      <c r="BB43" s="110"/>
      <c r="BC43" s="110"/>
      <c r="BD43" s="110"/>
      <c r="BE43" s="110"/>
      <c r="BF43" s="110"/>
      <c r="BG43" s="110"/>
      <c r="BH43" s="110"/>
      <c r="BI43" s="110"/>
      <c r="BJ43" s="111" t="s">
        <v>88</v>
      </c>
      <c r="BK43" s="111"/>
      <c r="BL43" s="111"/>
      <c r="BM43" s="111"/>
      <c r="BN43" s="111"/>
      <c r="BO43" s="111"/>
      <c r="BP43" s="111"/>
      <c r="BQ43" s="111"/>
      <c r="BR43" s="111"/>
      <c r="BS43" s="111"/>
      <c r="BT43" s="111"/>
    </row>
    <row r="44" spans="1:83" ht="13.2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90" t="s">
        <v>13</v>
      </c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74"/>
      <c r="BK44" s="10"/>
      <c r="BL44" s="10"/>
      <c r="BM44" s="10"/>
      <c r="BN44" s="10"/>
      <c r="BO44" s="10"/>
      <c r="BP44" s="10"/>
      <c r="BQ44" s="10"/>
      <c r="BR44" s="10"/>
      <c r="BS44" s="10"/>
      <c r="BT44" s="10"/>
    </row>
    <row r="45" spans="1:83" x14ac:dyDescent="0.25">
      <c r="A45" s="8" t="s">
        <v>16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16"/>
      <c r="O45" s="75" t="s">
        <v>86</v>
      </c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8" t="s">
        <v>17</v>
      </c>
      <c r="BR45" s="13"/>
      <c r="BS45" s="13"/>
      <c r="BT45" s="13"/>
    </row>
    <row r="46" spans="1:83" x14ac:dyDescent="0.25">
      <c r="A46" s="8"/>
      <c r="B46" s="8"/>
      <c r="C46" s="8"/>
      <c r="D46" s="8"/>
      <c r="E46" s="112" t="s">
        <v>47</v>
      </c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  <c r="BJ46" s="112"/>
      <c r="BK46" s="112"/>
      <c r="BL46" s="112"/>
      <c r="BM46" s="112"/>
      <c r="BN46" s="112"/>
      <c r="BO46" s="112"/>
      <c r="BP46" s="112"/>
      <c r="BQ46" s="112"/>
      <c r="BR46" s="112"/>
      <c r="BS46" s="112"/>
      <c r="BT46" s="112"/>
      <c r="BY46" s="88" t="s">
        <v>79</v>
      </c>
      <c r="BZ46" s="88"/>
      <c r="CA46" s="88"/>
      <c r="CB46" s="88"/>
      <c r="CC46" s="88"/>
      <c r="CD46" s="88"/>
      <c r="CE46" s="88"/>
    </row>
    <row r="47" spans="1:83" x14ac:dyDescent="0.25">
      <c r="A47" s="104" t="s">
        <v>134</v>
      </c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Y47" s="88"/>
      <c r="BZ47" s="88"/>
      <c r="CA47" s="88"/>
      <c r="CB47" s="88"/>
      <c r="CC47" s="88"/>
      <c r="CD47" s="88"/>
      <c r="CE47" s="88"/>
    </row>
    <row r="48" spans="1:83" ht="13.8" customHeight="1" x14ac:dyDescent="0.25">
      <c r="A48" s="68" t="s">
        <v>136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6"/>
      <c r="BY48" s="60"/>
      <c r="BZ48" s="60"/>
      <c r="CA48" s="60"/>
      <c r="CB48" s="60"/>
      <c r="CC48" s="60"/>
      <c r="CD48" s="60"/>
      <c r="CE48" s="60"/>
    </row>
    <row r="49" spans="1:83" x14ac:dyDescent="0.25">
      <c r="A49" s="68" t="s">
        <v>137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6"/>
      <c r="BY49" s="64"/>
      <c r="BZ49" s="64"/>
      <c r="CA49" s="64"/>
      <c r="CB49" s="64"/>
      <c r="CC49" s="64"/>
      <c r="CD49" s="64"/>
      <c r="CE49" s="64"/>
    </row>
    <row r="50" spans="1:83" x14ac:dyDescent="0.25">
      <c r="A50" s="68" t="s">
        <v>138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6"/>
      <c r="BY50" s="64"/>
      <c r="BZ50" s="64"/>
      <c r="CA50" s="64"/>
      <c r="CB50" s="64"/>
      <c r="CC50" s="64"/>
      <c r="CD50" s="64"/>
      <c r="CE50" s="64"/>
    </row>
    <row r="51" spans="1:83" x14ac:dyDescent="0.25">
      <c r="A51" s="68" t="s">
        <v>139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6"/>
      <c r="BY51" s="64"/>
      <c r="BZ51" s="64"/>
      <c r="CA51" s="64"/>
      <c r="CB51" s="64"/>
      <c r="CC51" s="64"/>
      <c r="CD51" s="64"/>
      <c r="CE51" s="64"/>
    </row>
    <row r="52" spans="1:83" x14ac:dyDescent="0.25">
      <c r="A52" s="68" t="s">
        <v>140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6"/>
      <c r="BY52" s="64"/>
      <c r="BZ52" s="64"/>
      <c r="CA52" s="64"/>
      <c r="CB52" s="64"/>
      <c r="CC52" s="64"/>
      <c r="CD52" s="64"/>
      <c r="CE52" s="64"/>
    </row>
    <row r="53" spans="1:83" x14ac:dyDescent="0.25">
      <c r="A53" s="68" t="s">
        <v>141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6"/>
      <c r="BY53" s="64"/>
      <c r="BZ53" s="64"/>
      <c r="CA53" s="64"/>
      <c r="CB53" s="64"/>
      <c r="CC53" s="64"/>
      <c r="CD53" s="64"/>
      <c r="CE53" s="64"/>
    </row>
    <row r="54" spans="1:83" x14ac:dyDescent="0.25">
      <c r="A54" s="68" t="s">
        <v>142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6"/>
      <c r="BY54" s="64"/>
      <c r="BZ54" s="64"/>
      <c r="CA54" s="64"/>
      <c r="CB54" s="64"/>
      <c r="CC54" s="64"/>
      <c r="CD54" s="64"/>
      <c r="CE54" s="64"/>
    </row>
    <row r="55" spans="1:83" x14ac:dyDescent="0.25">
      <c r="A55" s="68" t="s">
        <v>143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6"/>
      <c r="BY55" s="64"/>
      <c r="BZ55" s="64"/>
      <c r="CA55" s="64"/>
      <c r="CB55" s="64"/>
      <c r="CC55" s="64"/>
      <c r="CD55" s="64"/>
      <c r="CE55" s="64"/>
    </row>
    <row r="56" spans="1:83" x14ac:dyDescent="0.25">
      <c r="A56" s="68" t="s">
        <v>144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6"/>
      <c r="BY56" s="64"/>
      <c r="BZ56" s="64"/>
      <c r="CA56" s="64"/>
      <c r="CB56" s="64"/>
      <c r="CC56" s="64"/>
      <c r="CD56" s="64"/>
      <c r="CE56" s="64"/>
    </row>
    <row r="57" spans="1:83" x14ac:dyDescent="0.25">
      <c r="A57" s="68" t="s">
        <v>145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6"/>
      <c r="BY57" s="64"/>
      <c r="BZ57" s="64"/>
      <c r="CA57" s="64"/>
      <c r="CB57" s="64"/>
      <c r="CC57" s="64"/>
      <c r="CD57" s="64"/>
      <c r="CE57" s="64"/>
    </row>
    <row r="58" spans="1:83" x14ac:dyDescent="0.25">
      <c r="A58" s="68" t="s">
        <v>146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6"/>
      <c r="BY58" s="64"/>
      <c r="BZ58" s="64"/>
      <c r="CA58" s="64"/>
      <c r="CB58" s="64"/>
      <c r="CC58" s="64"/>
      <c r="CD58" s="64"/>
      <c r="CE58" s="64"/>
    </row>
    <row r="59" spans="1:83" x14ac:dyDescent="0.25">
      <c r="A59" s="68" t="s">
        <v>147</v>
      </c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6"/>
      <c r="BY59" s="64"/>
      <c r="BZ59" s="64"/>
      <c r="CA59" s="64"/>
      <c r="CB59" s="64"/>
      <c r="CC59" s="64"/>
      <c r="CD59" s="64"/>
      <c r="CE59" s="64"/>
    </row>
    <row r="60" spans="1:83" x14ac:dyDescent="0.25">
      <c r="A60" s="68" t="s">
        <v>148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6"/>
      <c r="BY60" s="64"/>
      <c r="BZ60" s="64"/>
      <c r="CA60" s="64"/>
      <c r="CB60" s="64"/>
      <c r="CC60" s="64"/>
      <c r="CD60" s="64"/>
      <c r="CE60" s="64"/>
    </row>
    <row r="61" spans="1:83" x14ac:dyDescent="0.25">
      <c r="A61" s="68" t="s">
        <v>149</v>
      </c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6"/>
      <c r="BY61" s="64"/>
      <c r="BZ61" s="64"/>
      <c r="CA61" s="64"/>
      <c r="CB61" s="64"/>
      <c r="CC61" s="64"/>
      <c r="CD61" s="64"/>
      <c r="CE61" s="64"/>
    </row>
    <row r="62" spans="1:83" x14ac:dyDescent="0.25">
      <c r="A62" s="68" t="s">
        <v>150</v>
      </c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68"/>
      <c r="BT62" s="66"/>
      <c r="BY62" s="64"/>
      <c r="BZ62" s="64"/>
      <c r="CA62" s="64"/>
      <c r="CB62" s="64"/>
      <c r="CC62" s="64"/>
      <c r="CD62" s="64"/>
      <c r="CE62" s="64"/>
    </row>
    <row r="63" spans="1:83" x14ac:dyDescent="0.25">
      <c r="A63" s="68" t="s">
        <v>151</v>
      </c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66"/>
      <c r="BY63" s="64"/>
      <c r="BZ63" s="64"/>
      <c r="CA63" s="64"/>
      <c r="CB63" s="64"/>
      <c r="CC63" s="64"/>
      <c r="CD63" s="64"/>
      <c r="CE63" s="64"/>
    </row>
    <row r="64" spans="1:83" x14ac:dyDescent="0.25">
      <c r="A64" s="68" t="s">
        <v>152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6"/>
      <c r="BY64" s="64"/>
      <c r="BZ64" s="64"/>
      <c r="CA64" s="64"/>
      <c r="CB64" s="64"/>
      <c r="CC64" s="64"/>
      <c r="CD64" s="64"/>
      <c r="CE64" s="64"/>
    </row>
    <row r="65" spans="1:83" x14ac:dyDescent="0.25">
      <c r="A65" s="68" t="s">
        <v>153</v>
      </c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6"/>
      <c r="BY65" s="64"/>
      <c r="BZ65" s="64"/>
      <c r="CA65" s="64"/>
      <c r="CB65" s="64"/>
      <c r="CC65" s="64"/>
      <c r="CD65" s="64"/>
      <c r="CE65" s="64"/>
    </row>
    <row r="66" spans="1:83" x14ac:dyDescent="0.25">
      <c r="A66" s="68" t="s">
        <v>154</v>
      </c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6"/>
      <c r="BY66" s="64"/>
      <c r="BZ66" s="64"/>
      <c r="CA66" s="64"/>
      <c r="CB66" s="64"/>
      <c r="CC66" s="64"/>
      <c r="CD66" s="64"/>
      <c r="CE66" s="64"/>
    </row>
    <row r="67" spans="1:83" x14ac:dyDescent="0.25">
      <c r="A67" s="68" t="s">
        <v>155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6"/>
      <c r="BY67" s="64"/>
      <c r="BZ67" s="64"/>
      <c r="CA67" s="64"/>
      <c r="CB67" s="64"/>
      <c r="CC67" s="64"/>
      <c r="CD67" s="64"/>
      <c r="CE67" s="64"/>
    </row>
    <row r="68" spans="1:83" x14ac:dyDescent="0.25">
      <c r="A68" s="68" t="s">
        <v>156</v>
      </c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8"/>
      <c r="BO68" s="68"/>
      <c r="BP68" s="68"/>
      <c r="BQ68" s="68"/>
      <c r="BR68" s="68"/>
      <c r="BS68" s="68"/>
      <c r="BT68" s="66"/>
      <c r="BY68" s="64"/>
      <c r="BZ68" s="64"/>
      <c r="CA68" s="64"/>
      <c r="CB68" s="64"/>
      <c r="CC68" s="64"/>
      <c r="CD68" s="64"/>
      <c r="CE68" s="64"/>
    </row>
    <row r="69" spans="1:83" x14ac:dyDescent="0.25">
      <c r="A69" s="68" t="s">
        <v>157</v>
      </c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6"/>
      <c r="BY69" s="64"/>
      <c r="BZ69" s="64"/>
      <c r="CA69" s="64"/>
      <c r="CB69" s="64"/>
      <c r="CC69" s="64"/>
      <c r="CD69" s="64"/>
      <c r="CE69" s="64"/>
    </row>
    <row r="70" spans="1:83" x14ac:dyDescent="0.25">
      <c r="A70" s="68" t="s">
        <v>158</v>
      </c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68"/>
      <c r="BL70" s="68"/>
      <c r="BM70" s="68"/>
      <c r="BN70" s="68"/>
      <c r="BO70" s="68"/>
      <c r="BP70" s="68"/>
      <c r="BQ70" s="68"/>
      <c r="BR70" s="68"/>
      <c r="BS70" s="68"/>
      <c r="BT70" s="66"/>
      <c r="BY70" s="64"/>
      <c r="BZ70" s="64"/>
      <c r="CA70" s="64"/>
      <c r="CB70" s="64"/>
      <c r="CC70" s="64"/>
      <c r="CD70" s="64"/>
      <c r="CE70" s="64"/>
    </row>
    <row r="71" spans="1:83" x14ac:dyDescent="0.25">
      <c r="A71" s="68" t="s">
        <v>159</v>
      </c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68"/>
      <c r="BQ71" s="68"/>
      <c r="BR71" s="68"/>
      <c r="BS71" s="68"/>
      <c r="BT71" s="66"/>
      <c r="BY71" s="64"/>
      <c r="BZ71" s="64"/>
      <c r="CA71" s="64"/>
      <c r="CB71" s="64"/>
      <c r="CC71" s="64"/>
      <c r="CD71" s="64"/>
      <c r="CE71" s="64"/>
    </row>
    <row r="72" spans="1:83" s="58" customFormat="1" ht="13.2" customHeight="1" x14ac:dyDescent="0.25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57"/>
      <c r="BY72" s="59"/>
      <c r="BZ72" s="59"/>
      <c r="CA72" s="59"/>
      <c r="CB72" s="59"/>
      <c r="CC72" s="59"/>
      <c r="CD72" s="59"/>
      <c r="CE72" s="59"/>
    </row>
    <row r="73" spans="1:83" ht="13.8" customHeight="1" x14ac:dyDescent="0.25">
      <c r="A73" s="10" t="s">
        <v>18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52"/>
      <c r="S73" s="8"/>
      <c r="T73" s="51"/>
      <c r="U73" s="92" t="s">
        <v>133</v>
      </c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Y73" s="88"/>
      <c r="BZ73" s="88"/>
      <c r="CA73" s="88"/>
      <c r="CB73" s="88"/>
      <c r="CC73" s="88"/>
      <c r="CD73" s="88"/>
    </row>
    <row r="74" spans="1:83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3" t="s">
        <v>19</v>
      </c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3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3"/>
      <c r="BT74" s="93"/>
    </row>
    <row r="75" spans="1:83" x14ac:dyDescent="0.25">
      <c r="A75" s="10" t="s">
        <v>20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19"/>
      <c r="T75" s="19"/>
      <c r="U75" s="94" t="s">
        <v>51</v>
      </c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BD75" s="94"/>
      <c r="BE75" s="94"/>
      <c r="BF75" s="94"/>
      <c r="BG75" s="94"/>
      <c r="BH75" s="94"/>
      <c r="BI75" s="94"/>
      <c r="BJ75" s="94"/>
      <c r="BK75" s="94"/>
      <c r="BL75" s="94"/>
      <c r="BM75" s="94"/>
      <c r="BN75" s="94"/>
      <c r="BO75" s="94"/>
      <c r="BP75" s="94"/>
      <c r="BQ75" s="94"/>
      <c r="BR75" s="94"/>
      <c r="BS75" s="94"/>
      <c r="BT75" s="94"/>
    </row>
    <row r="76" spans="1:83" ht="13.8" customHeight="1" x14ac:dyDescent="0.25">
      <c r="A76" s="90" t="s">
        <v>21</v>
      </c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0"/>
      <c r="BM76" s="90"/>
      <c r="BN76" s="90"/>
      <c r="BO76" s="90"/>
      <c r="BP76" s="90"/>
      <c r="BQ76" s="90"/>
      <c r="BR76" s="90"/>
      <c r="BS76" s="90"/>
      <c r="BT76" s="90"/>
      <c r="BY76" s="40" t="s">
        <v>80</v>
      </c>
    </row>
    <row r="77" spans="1:83" ht="13.95" customHeight="1" x14ac:dyDescent="0.25">
      <c r="A77" s="8"/>
      <c r="B77" s="8"/>
      <c r="C77" s="8"/>
      <c r="D77" s="8" t="s">
        <v>22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9"/>
      <c r="AG77" s="7"/>
      <c r="AH77" s="7"/>
      <c r="AI77" s="7"/>
      <c r="AJ77" s="7"/>
      <c r="AK77" s="97"/>
      <c r="AL77" s="97"/>
      <c r="AM77" s="97"/>
      <c r="AN77" s="97"/>
      <c r="AO77" s="97"/>
      <c r="AP77" s="97"/>
      <c r="AQ77" s="97"/>
      <c r="AR77" s="97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  <c r="BP77" s="97"/>
      <c r="BQ77" s="97"/>
      <c r="BR77" s="97"/>
      <c r="BS77" s="97"/>
      <c r="BT77" s="97"/>
      <c r="BY77" s="88" t="s">
        <v>81</v>
      </c>
      <c r="BZ77" s="88"/>
      <c r="CA77" s="88"/>
      <c r="CB77" s="88"/>
      <c r="CC77" s="88"/>
      <c r="CD77" s="88"/>
      <c r="CE77" s="88"/>
    </row>
    <row r="78" spans="1:83" ht="13.95" customHeight="1" x14ac:dyDescent="0.25">
      <c r="A78" s="8" t="s">
        <v>23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28"/>
      <c r="AJ78" s="8"/>
      <c r="AK78" s="113" t="s">
        <v>160</v>
      </c>
      <c r="AL78" s="113"/>
      <c r="AM78" s="113"/>
      <c r="AN78" s="113"/>
      <c r="AO78" s="113"/>
      <c r="AP78" s="113"/>
      <c r="AQ78" s="113"/>
      <c r="AR78" s="113"/>
      <c r="AS78" s="113"/>
      <c r="AT78" s="113"/>
      <c r="AU78" s="113"/>
      <c r="AV78" s="113"/>
      <c r="AW78" s="113"/>
      <c r="AX78" s="113"/>
      <c r="AY78" s="113"/>
      <c r="AZ78" s="113"/>
      <c r="BA78" s="113"/>
      <c r="BB78" s="113"/>
      <c r="BC78" s="113"/>
      <c r="BD78" s="113"/>
      <c r="BE78" s="113"/>
      <c r="BF78" s="113"/>
      <c r="BG78" s="113"/>
      <c r="BH78" s="113"/>
      <c r="BI78" s="113"/>
      <c r="BJ78" s="113"/>
      <c r="BK78" s="113"/>
      <c r="BL78" s="113"/>
      <c r="BM78" s="113"/>
      <c r="BN78" s="113"/>
      <c r="BO78" s="113"/>
      <c r="BP78" s="113"/>
      <c r="BQ78" s="113"/>
      <c r="BR78" s="113"/>
      <c r="BS78" s="113"/>
      <c r="BT78" s="113"/>
      <c r="BY78" s="88"/>
      <c r="BZ78" s="88"/>
      <c r="CA78" s="88"/>
      <c r="CB78" s="88"/>
      <c r="CC78" s="88"/>
      <c r="CD78" s="88"/>
      <c r="CE78" s="88"/>
    </row>
    <row r="79" spans="1:83" ht="14.4" hidden="1" customHeight="1" x14ac:dyDescent="0.25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96"/>
      <c r="AK79" s="96"/>
      <c r="AL79" s="96"/>
      <c r="AM79" s="96"/>
      <c r="AN79" s="96"/>
      <c r="AO79" s="96"/>
      <c r="AP79" s="96"/>
      <c r="AQ79" s="96"/>
      <c r="AR79" s="96"/>
      <c r="AS79" s="96"/>
      <c r="AT79" s="96"/>
      <c r="AU79" s="96"/>
      <c r="AV79" s="96"/>
      <c r="AW79" s="96"/>
      <c r="AX79" s="96"/>
      <c r="AY79" s="96"/>
      <c r="AZ79" s="96"/>
      <c r="BA79" s="96"/>
      <c r="BB79" s="96"/>
      <c r="BC79" s="96"/>
      <c r="BD79" s="96"/>
      <c r="BE79" s="96"/>
      <c r="BF79" s="96"/>
      <c r="BG79" s="96"/>
      <c r="BH79" s="96"/>
      <c r="BI79" s="96"/>
      <c r="BJ79" s="96"/>
      <c r="BK79" s="96"/>
      <c r="BL79" s="96"/>
      <c r="BM79" s="96"/>
      <c r="BN79" s="96"/>
      <c r="BO79" s="96"/>
      <c r="BP79" s="96"/>
      <c r="BQ79" s="96"/>
      <c r="BR79" s="96"/>
      <c r="BS79" s="96"/>
      <c r="BT79" s="61"/>
      <c r="BY79" s="88"/>
      <c r="BZ79" s="88"/>
      <c r="CA79" s="88"/>
      <c r="CB79" s="88"/>
      <c r="CC79" s="88"/>
      <c r="CD79" s="88"/>
      <c r="CE79" s="88"/>
    </row>
    <row r="80" spans="1:83" x14ac:dyDescent="0.25">
      <c r="A80" s="74" t="s">
        <v>24</v>
      </c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74"/>
      <c r="BO80" s="74"/>
      <c r="BP80" s="74"/>
      <c r="BQ80" s="74"/>
      <c r="BR80" s="74"/>
      <c r="BS80" s="74"/>
      <c r="BT80" s="74"/>
      <c r="BY80" s="88"/>
      <c r="BZ80" s="88"/>
      <c r="CA80" s="88"/>
      <c r="CB80" s="88"/>
      <c r="CC80" s="88"/>
      <c r="CD80" s="88"/>
      <c r="CE80" s="88"/>
    </row>
    <row r="81" spans="1:83" x14ac:dyDescent="0.25">
      <c r="A81" s="91" t="s">
        <v>57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1"/>
      <c r="BT81" s="91"/>
      <c r="BY81" s="88"/>
      <c r="BZ81" s="88"/>
      <c r="CA81" s="88"/>
      <c r="CB81" s="88"/>
      <c r="CC81" s="88"/>
      <c r="CD81" s="88"/>
      <c r="CE81" s="88"/>
    </row>
    <row r="82" spans="1:83" x14ac:dyDescent="0.25">
      <c r="A82" s="16" t="s">
        <v>58</v>
      </c>
      <c r="B82" s="17"/>
      <c r="C82" s="17"/>
      <c r="D82" s="89" t="str">
        <f>A47</f>
        <v xml:space="preserve">БТП Ридан N0507232064-2 - 1 компл.: 1. Регулирующий клапан VFM-2R/Dy15/Kvs1.6/Tmax150/Pmax25 чугун ф/ф - 1 шт; </v>
      </c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  <c r="BH82" s="89"/>
      <c r="BI82" s="89"/>
      <c r="BJ82" s="89"/>
      <c r="BK82" s="89"/>
      <c r="BL82" s="89"/>
      <c r="BM82" s="89"/>
      <c r="BN82" s="89"/>
      <c r="BO82" s="89"/>
      <c r="BP82" s="89"/>
      <c r="BQ82" s="89"/>
      <c r="BR82" s="89"/>
      <c r="BS82" s="89"/>
      <c r="BT82" s="89"/>
      <c r="BY82" s="88"/>
      <c r="BZ82" s="88"/>
      <c r="CA82" s="88"/>
      <c r="CB82" s="88"/>
      <c r="CC82" s="88"/>
      <c r="CD82" s="88"/>
      <c r="CE82" s="88"/>
    </row>
    <row r="83" spans="1:83" x14ac:dyDescent="0.25">
      <c r="A83" s="16"/>
      <c r="B83" s="17"/>
      <c r="C83" s="17"/>
      <c r="D83" s="67" t="str">
        <f>A48</f>
        <v xml:space="preserve">2. Электропривод ARV-1000R 082G6011R, 230V, импульсное управление - 1 шт; </v>
      </c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7"/>
      <c r="BQ83" s="67"/>
      <c r="BR83" s="67"/>
      <c r="BS83" s="67"/>
      <c r="BT83" s="63"/>
      <c r="BY83" s="88"/>
      <c r="BZ83" s="88"/>
      <c r="CA83" s="88"/>
      <c r="CB83" s="88"/>
      <c r="CC83" s="88"/>
      <c r="CD83" s="88"/>
      <c r="CE83" s="88"/>
    </row>
    <row r="84" spans="1:83" x14ac:dyDescent="0.25">
      <c r="A84" s="16"/>
      <c r="B84" s="17"/>
      <c r="C84" s="17"/>
      <c r="D84" s="67" t="str">
        <f t="shared" ref="D84:D106" si="0">A49</f>
        <v xml:space="preserve">3. Термометр биметаллический O80мм 0..120С, L=100 мм,  кл. точн. 1.5, IP43 - 1 шт; </v>
      </c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7"/>
      <c r="BR84" s="67"/>
      <c r="BS84" s="67"/>
      <c r="BT84" s="65"/>
      <c r="BY84" s="88"/>
      <c r="BZ84" s="88"/>
      <c r="CA84" s="88"/>
      <c r="CB84" s="88"/>
      <c r="CC84" s="88"/>
      <c r="CD84" s="88"/>
      <c r="CE84" s="88"/>
    </row>
    <row r="85" spans="1:83" x14ac:dyDescent="0.25">
      <c r="A85" s="16"/>
      <c r="B85" s="17"/>
      <c r="C85" s="17"/>
      <c r="D85" s="67" t="str">
        <f t="shared" si="0"/>
        <v xml:space="preserve">4. Манометр показывающий ТМ510 0..16бар. 100мм. G1/2. кл. точн. 1.5. IP43 - 4 шт; </v>
      </c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5"/>
      <c r="BY85" s="88"/>
      <c r="BZ85" s="88"/>
      <c r="CA85" s="88"/>
      <c r="CB85" s="88"/>
      <c r="CC85" s="88"/>
      <c r="CD85" s="88"/>
      <c r="CE85" s="88"/>
    </row>
    <row r="86" spans="1:83" x14ac:dyDescent="0.25">
      <c r="A86" s="16"/>
      <c r="B86" s="17"/>
      <c r="C86" s="17"/>
      <c r="D86" s="67" t="str">
        <f t="shared" si="0"/>
        <v xml:space="preserve">5. Кран под манометр трехходовой резьбовой G1/2/Py25/Tmax150 - 14 шт; </v>
      </c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5"/>
      <c r="BY86" s="88"/>
      <c r="BZ86" s="88"/>
      <c r="CA86" s="88"/>
      <c r="CB86" s="88"/>
      <c r="CC86" s="88"/>
      <c r="CD86" s="88"/>
      <c r="CE86" s="88"/>
    </row>
    <row r="87" spans="1:83" x14ac:dyDescent="0.25">
      <c r="A87" s="16"/>
      <c r="B87" s="17"/>
      <c r="C87" s="17"/>
      <c r="D87" s="67" t="str">
        <f t="shared" si="0"/>
        <v xml:space="preserve">6. Спускник Ду15/Ру40/Тmax180 сталь с/с - 1 шт; </v>
      </c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BS87" s="67"/>
      <c r="BT87" s="65"/>
      <c r="BY87" s="88"/>
      <c r="BZ87" s="88"/>
      <c r="CA87" s="88"/>
      <c r="CB87" s="88"/>
      <c r="CC87" s="88"/>
      <c r="CD87" s="88"/>
      <c r="CE87" s="88"/>
    </row>
    <row r="88" spans="1:83" x14ac:dyDescent="0.25">
      <c r="A88" s="16"/>
      <c r="B88" s="17"/>
      <c r="C88" s="17"/>
      <c r="D88" s="67" t="str">
        <f t="shared" si="0"/>
        <v xml:space="preserve">7. Манометр показывающий ТМ510 0..10бар. 100мм. G1/2. кл. точн. 1.5. IP43 - 8 шт; </v>
      </c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BS88" s="67"/>
      <c r="BT88" s="65"/>
      <c r="BY88" s="88"/>
      <c r="BZ88" s="88"/>
      <c r="CA88" s="88"/>
      <c r="CB88" s="88"/>
      <c r="CC88" s="88"/>
      <c r="CD88" s="88"/>
      <c r="CE88" s="88"/>
    </row>
    <row r="89" spans="1:83" x14ac:dyDescent="0.25">
      <c r="A89" s="16"/>
      <c r="B89" s="17"/>
      <c r="C89" s="17"/>
      <c r="D89" s="67" t="str">
        <f t="shared" si="0"/>
        <v>8. Термометр биметаллический O80мм 0..120С, L=100 мм, кл. точн. 1.5, IP43 - 3 шт;</v>
      </c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BS89" s="67"/>
      <c r="BT89" s="65"/>
      <c r="BY89" s="88"/>
      <c r="BZ89" s="88"/>
      <c r="CA89" s="88"/>
      <c r="CB89" s="88"/>
      <c r="CC89" s="88"/>
      <c r="CD89" s="88"/>
      <c r="CE89" s="88"/>
    </row>
    <row r="90" spans="1:83" x14ac:dyDescent="0.25">
      <c r="A90" s="16"/>
      <c r="B90" s="17"/>
      <c r="C90" s="17"/>
      <c r="D90" s="67" t="str">
        <f t="shared" si="0"/>
        <v>9. Преобразователь давления MBS1700R. 4-20 мА/0-10 бар - 2 шт; 10. Шаровой кран Ду25/Ру16/Tmax130 латунь р/р - 6 шт;</v>
      </c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BS90" s="67"/>
      <c r="BT90" s="65"/>
      <c r="BY90" s="88"/>
      <c r="BZ90" s="88"/>
      <c r="CA90" s="88"/>
      <c r="CB90" s="88"/>
      <c r="CC90" s="88"/>
      <c r="CD90" s="88"/>
      <c r="CE90" s="88"/>
    </row>
    <row r="91" spans="1:83" x14ac:dyDescent="0.25">
      <c r="A91" s="16"/>
      <c r="B91" s="17"/>
      <c r="C91" s="17"/>
      <c r="D91" s="67" t="str">
        <f t="shared" si="0"/>
        <v>11. Обратный клапан NVD-812R/Dy25/Py40/Tmax240 нерж.сталь м/ф - 1 шт;</v>
      </c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BS91" s="67"/>
      <c r="BT91" s="65"/>
      <c r="BY91" s="88"/>
      <c r="BZ91" s="88"/>
      <c r="CA91" s="88"/>
      <c r="CB91" s="88"/>
      <c r="CC91" s="88"/>
      <c r="CD91" s="88"/>
      <c r="CE91" s="88"/>
    </row>
    <row r="92" spans="1:83" x14ac:dyDescent="0.25">
      <c r="A92" s="16"/>
      <c r="B92" s="17"/>
      <c r="C92" s="17"/>
      <c r="D92" s="67" t="str">
        <f t="shared" si="0"/>
        <v xml:space="preserve">12. Датчик температуры погружной с гильзой из нерж. стали, L=100 мм, Pt1000, T=-50...+200°С, G1/2", IP65 - 2 шт; </v>
      </c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5"/>
      <c r="BY92" s="88"/>
      <c r="BZ92" s="88"/>
      <c r="CA92" s="88"/>
      <c r="CB92" s="88"/>
      <c r="CC92" s="88"/>
      <c r="CD92" s="88"/>
      <c r="CE92" s="88"/>
    </row>
    <row r="93" spans="1:83" x14ac:dyDescent="0.25">
      <c r="A93" s="16"/>
      <c r="B93" s="17"/>
      <c r="C93" s="17"/>
      <c r="D93" s="67" t="str">
        <f t="shared" si="0"/>
        <v xml:space="preserve">13. Обратный клапан NRV-R EF/Dy25/Py25/Tmax110 латунь р/р - 2 шт; 14. Спускник Ду15/Ру16/Tmax130 латунь р/р - 2 шт; </v>
      </c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5"/>
      <c r="BY93" s="88"/>
      <c r="BZ93" s="88"/>
      <c r="CA93" s="88"/>
      <c r="CB93" s="88"/>
      <c r="CC93" s="88"/>
      <c r="CD93" s="88"/>
      <c r="CE93" s="88"/>
    </row>
    <row r="94" spans="1:83" x14ac:dyDescent="0.25">
      <c r="A94" s="16"/>
      <c r="B94" s="17"/>
      <c r="C94" s="17"/>
      <c r="D94" s="67" t="str">
        <f t="shared" si="0"/>
        <v xml:space="preserve">15. Вибровставка ZKV EPDM PN16 DN32 - 4 шт; 16. Насос RMV 1-2F - 2 шт; 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7"/>
      <c r="BQ94" s="67"/>
      <c r="BR94" s="67"/>
      <c r="BS94" s="67"/>
      <c r="BT94" s="65"/>
      <c r="BY94" s="88"/>
      <c r="BZ94" s="88"/>
      <c r="CA94" s="88"/>
      <c r="CB94" s="88"/>
      <c r="CC94" s="88"/>
      <c r="CD94" s="88"/>
      <c r="CE94" s="88"/>
    </row>
    <row r="95" spans="1:83" x14ac:dyDescent="0.25">
      <c r="A95" s="16"/>
      <c r="B95" s="17"/>
      <c r="C95" s="17"/>
      <c r="D95" s="67" t="str">
        <f t="shared" si="0"/>
        <v xml:space="preserve">17. Прессостат KPI 35R, диап. настр. давл. -0,2-7,5 бар, PN17, Tmax=120°C, G1/2", IP44 - 1 шт; </v>
      </c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5"/>
      <c r="BY95" s="88"/>
      <c r="BZ95" s="88"/>
      <c r="CA95" s="88"/>
      <c r="CB95" s="88"/>
      <c r="CC95" s="88"/>
      <c r="CD95" s="88"/>
      <c r="CE95" s="88"/>
    </row>
    <row r="96" spans="1:83" x14ac:dyDescent="0.25">
      <c r="A96" s="16"/>
      <c r="B96" s="17"/>
      <c r="C96" s="17"/>
      <c r="D96" s="67" t="str">
        <f t="shared" si="0"/>
        <v xml:space="preserve">18. Шаровой кран трехходовой резьбовой G1/2/Py25/Tmax150 - 1 шт; </v>
      </c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5"/>
      <c r="BY96" s="88"/>
      <c r="BZ96" s="88"/>
      <c r="CA96" s="88"/>
      <c r="CB96" s="88"/>
      <c r="CC96" s="88"/>
      <c r="CD96" s="88"/>
      <c r="CE96" s="88"/>
    </row>
    <row r="97" spans="1:83" x14ac:dyDescent="0.25">
      <c r="A97" s="16"/>
      <c r="B97" s="17"/>
      <c r="C97" s="17"/>
      <c r="D97" s="67" t="str">
        <f t="shared" si="0"/>
        <v xml:space="preserve">19. Предохранительный клапан 1/2" OR 1832.015 - 1 шт; </v>
      </c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5"/>
      <c r="BY97" s="88"/>
      <c r="BZ97" s="88"/>
      <c r="CA97" s="88"/>
      <c r="CB97" s="88"/>
      <c r="CC97" s="88"/>
      <c r="CD97" s="88"/>
      <c r="CE97" s="88"/>
    </row>
    <row r="98" spans="1:83" x14ac:dyDescent="0.25">
      <c r="A98" s="16"/>
      <c r="B98" s="17"/>
      <c r="C98" s="17"/>
      <c r="D98" s="67" t="str">
        <f t="shared" si="0"/>
        <v xml:space="preserve">20. Спускник Ду25/Ру16/Tmax130 латунь р/р - 2 шт; 21. Фильтр FVR-R/Dy25/Py25/Tmax130 латунь р/р - 1 шт; </v>
      </c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5"/>
      <c r="BY98" s="88"/>
      <c r="BZ98" s="88"/>
      <c r="CA98" s="88"/>
      <c r="CB98" s="88"/>
      <c r="CC98" s="88"/>
      <c r="CD98" s="88"/>
      <c r="CE98" s="88"/>
    </row>
    <row r="99" spans="1:83" x14ac:dyDescent="0.25">
      <c r="A99" s="16"/>
      <c r="B99" s="17"/>
      <c r="C99" s="17"/>
      <c r="D99" s="67" t="str">
        <f t="shared" si="0"/>
        <v xml:space="preserve">22. Шаровой кран RJIP Standard WW/Ду25/Ру16/Тmax150 сталь с/с - 1 шт; </v>
      </c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5"/>
      <c r="BY99" s="88"/>
      <c r="BZ99" s="88"/>
      <c r="CA99" s="88"/>
      <c r="CB99" s="88"/>
      <c r="CC99" s="88"/>
      <c r="CD99" s="88"/>
      <c r="CE99" s="88"/>
    </row>
    <row r="100" spans="1:83" x14ac:dyDescent="0.25">
      <c r="A100" s="16"/>
      <c r="B100" s="17"/>
      <c r="C100" s="17"/>
      <c r="D100" s="67" t="str">
        <f t="shared" si="0"/>
        <v xml:space="preserve">23. Балансировочный клапан MVT-R/Dy20/Kvs5.19/PN16/Tmax120 р/р - 1 шт; </v>
      </c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67"/>
      <c r="BP100" s="67"/>
      <c r="BQ100" s="67"/>
      <c r="BR100" s="67"/>
      <c r="BS100" s="67"/>
      <c r="BT100" s="65"/>
      <c r="BY100" s="88"/>
      <c r="BZ100" s="88"/>
      <c r="CA100" s="88"/>
      <c r="CB100" s="88"/>
      <c r="CC100" s="88"/>
      <c r="CD100" s="88"/>
      <c r="CE100" s="88"/>
    </row>
    <row r="101" spans="1:83" x14ac:dyDescent="0.25">
      <c r="A101" s="16"/>
      <c r="B101" s="17"/>
      <c r="C101" s="17"/>
      <c r="D101" s="67" t="str">
        <f t="shared" si="0"/>
        <v xml:space="preserve">24. Регулятор перепада давлений VFG-2R/Dy15/Kvs4/Tmax150/Pmax16 сталь ф/ф - 1 шт; </v>
      </c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67"/>
      <c r="BP101" s="67"/>
      <c r="BQ101" s="67"/>
      <c r="BR101" s="67"/>
      <c r="BS101" s="67"/>
      <c r="BT101" s="65"/>
      <c r="BY101" s="88"/>
      <c r="BZ101" s="88"/>
      <c r="CA101" s="88"/>
      <c r="CB101" s="88"/>
      <c r="CC101" s="88"/>
      <c r="CD101" s="88"/>
      <c r="CE101" s="88"/>
    </row>
    <row r="102" spans="1:83" x14ac:dyDescent="0.25">
      <c r="A102" s="16"/>
      <c r="B102" s="17"/>
      <c r="C102" s="17"/>
      <c r="D102" s="67" t="str">
        <f t="shared" si="0"/>
        <v xml:space="preserve">25. Регулирующий блок AFP-R 0,15-1,50 - 1 шт; </v>
      </c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67"/>
      <c r="BP102" s="67"/>
      <c r="BQ102" s="67"/>
      <c r="BR102" s="67"/>
      <c r="BS102" s="67"/>
      <c r="BT102" s="65"/>
      <c r="BY102" s="88"/>
      <c r="BZ102" s="88"/>
      <c r="CA102" s="88"/>
      <c r="CB102" s="88"/>
      <c r="CC102" s="88"/>
      <c r="CD102" s="88"/>
      <c r="CE102" s="88"/>
    </row>
    <row r="103" spans="1:83" x14ac:dyDescent="0.25">
      <c r="A103" s="16"/>
      <c r="B103" s="17"/>
      <c r="C103" s="17"/>
      <c r="D103" s="67" t="str">
        <f t="shared" si="0"/>
        <v xml:space="preserve">26. Датчик температуры наружный MBT 3281, Pt1000, T=-50…+50°C, IP54 - 2 шт; </v>
      </c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67"/>
      <c r="BP103" s="67"/>
      <c r="BQ103" s="67"/>
      <c r="BR103" s="67"/>
      <c r="BS103" s="67"/>
      <c r="BT103" s="65"/>
      <c r="BY103" s="88"/>
      <c r="BZ103" s="88"/>
      <c r="CA103" s="88"/>
      <c r="CB103" s="88"/>
      <c r="CC103" s="88"/>
      <c r="CD103" s="88"/>
      <c r="CE103" s="88"/>
    </row>
    <row r="104" spans="1:83" x14ac:dyDescent="0.25">
      <c r="A104" s="16"/>
      <c r="B104" s="17"/>
      <c r="C104" s="17"/>
      <c r="D104" s="67" t="str">
        <f t="shared" si="0"/>
        <v xml:space="preserve">27. Шкаф автоматизации БТП BAST0607233929 - 1 шт; 28. Трубная обвязка элементов блока - 1 шт; </v>
      </c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67"/>
      <c r="BP104" s="67"/>
      <c r="BQ104" s="67"/>
      <c r="BR104" s="67"/>
      <c r="BS104" s="67"/>
      <c r="BT104" s="65"/>
      <c r="BY104" s="88"/>
      <c r="BZ104" s="88"/>
      <c r="CA104" s="88"/>
      <c r="CB104" s="88"/>
      <c r="CC104" s="88"/>
      <c r="CD104" s="88"/>
      <c r="CE104" s="88"/>
    </row>
    <row r="105" spans="1:83" x14ac:dyDescent="0.25">
      <c r="A105" s="16"/>
      <c r="B105" s="17"/>
      <c r="C105" s="17"/>
      <c r="D105" s="67" t="str">
        <f t="shared" si="0"/>
        <v xml:space="preserve">29. Наклейка для шильдика БТП - 1 шт; 30. Шаровой кран Ду15/Ру40/Tmax180 сталь с/с - 2 шт; </v>
      </c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R105" s="67"/>
      <c r="BS105" s="67"/>
      <c r="BT105" s="65"/>
      <c r="BY105" s="88"/>
      <c r="BZ105" s="88"/>
      <c r="CA105" s="88"/>
      <c r="CB105" s="88"/>
      <c r="CC105" s="88"/>
      <c r="CD105" s="88"/>
      <c r="CE105" s="88"/>
    </row>
    <row r="106" spans="1:83" x14ac:dyDescent="0.25">
      <c r="A106" s="16"/>
      <c r="B106" s="17"/>
      <c r="C106" s="17"/>
      <c r="D106" s="67" t="str">
        <f t="shared" si="0"/>
        <v>31. Адаптер для присоединения клапанов VFM-2R DN15-50 к электроприводам ARV(Е) - 1 шт.</v>
      </c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67"/>
      <c r="BP106" s="67"/>
      <c r="BQ106" s="67"/>
      <c r="BR106" s="67"/>
      <c r="BS106" s="67"/>
      <c r="BT106" s="65"/>
      <c r="BY106" s="88"/>
      <c r="BZ106" s="88"/>
      <c r="CA106" s="88"/>
      <c r="CB106" s="88"/>
      <c r="CC106" s="88"/>
      <c r="CD106" s="88"/>
      <c r="CE106" s="88"/>
    </row>
    <row r="107" spans="1:83" ht="13.8" customHeight="1" x14ac:dyDescent="0.25">
      <c r="A107" s="77" t="s">
        <v>25</v>
      </c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7"/>
      <c r="BN107" s="77"/>
      <c r="BO107" s="77"/>
      <c r="BP107" s="77"/>
      <c r="BQ107" s="77"/>
      <c r="BR107" s="77"/>
      <c r="BS107" s="77"/>
      <c r="BT107" s="77"/>
      <c r="BY107" s="88"/>
      <c r="BZ107" s="88"/>
      <c r="CA107" s="88"/>
      <c r="CB107" s="88"/>
      <c r="CC107" s="88"/>
      <c r="CD107" s="88"/>
      <c r="CE107" s="88"/>
    </row>
    <row r="108" spans="1:83" ht="13.8" customHeight="1" x14ac:dyDescent="0.25">
      <c r="A108" s="8" t="s">
        <v>26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54"/>
      <c r="Y108" s="95" t="s">
        <v>105</v>
      </c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5"/>
      <c r="BP108" s="95"/>
      <c r="BQ108" s="95"/>
      <c r="BR108" s="95"/>
      <c r="BS108" s="95"/>
      <c r="BT108" s="95"/>
      <c r="BU108" s="53"/>
      <c r="BY108" s="88"/>
      <c r="BZ108" s="88"/>
      <c r="CA108" s="88"/>
      <c r="CB108" s="88"/>
      <c r="CC108" s="88"/>
      <c r="CD108" s="88"/>
      <c r="CE108" s="88"/>
    </row>
    <row r="109" spans="1:8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8"/>
      <c r="Y109" s="74" t="s">
        <v>27</v>
      </c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74"/>
      <c r="BM109" s="74"/>
      <c r="BN109" s="74"/>
      <c r="BO109" s="74"/>
      <c r="BP109" s="74"/>
      <c r="BQ109" s="74"/>
      <c r="BR109" s="74"/>
      <c r="BS109" s="74"/>
      <c r="BT109" s="74"/>
      <c r="BY109" s="88"/>
      <c r="BZ109" s="88"/>
      <c r="CA109" s="88"/>
      <c r="CB109" s="88"/>
      <c r="CC109" s="88"/>
      <c r="CD109" s="88"/>
      <c r="CE109" s="88"/>
    </row>
    <row r="110" spans="1:83" x14ac:dyDescent="0.25">
      <c r="A110" s="8" t="s">
        <v>28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7"/>
      <c r="AG110" s="7"/>
      <c r="AH110" s="7"/>
      <c r="AI110" s="7"/>
      <c r="AJ110" s="83" t="s">
        <v>29</v>
      </c>
      <c r="AK110" s="83"/>
      <c r="AL110" s="83"/>
      <c r="AM110" s="83"/>
      <c r="AN110" s="83"/>
      <c r="AO110" s="83"/>
      <c r="AP110" s="83"/>
      <c r="AQ110" s="83"/>
      <c r="AR110" s="83"/>
      <c r="AS110" s="83"/>
      <c r="AT110" s="84" t="s">
        <v>70</v>
      </c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</row>
    <row r="111" spans="1:83" x14ac:dyDescent="0.25">
      <c r="A111" s="10" t="s">
        <v>30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51"/>
      <c r="O111" s="51"/>
      <c r="P111" s="51"/>
      <c r="Q111" s="85" t="str">
        <f>U73</f>
        <v>ПП2020РД-1.2-61.17-ИТП; ПП2020РД-1.2-61.17-ИТП.СО; изм.4; л. 2-5</v>
      </c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</row>
    <row r="112" spans="1:83" x14ac:dyDescent="0.25">
      <c r="A112" s="8"/>
      <c r="B112" s="8"/>
      <c r="C112" s="8"/>
      <c r="D112" s="10" t="s">
        <v>31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19"/>
      <c r="X112" s="8"/>
      <c r="Y112" s="29"/>
      <c r="Z112" s="29"/>
      <c r="AA112" s="86" t="str">
        <f>AK78</f>
        <v>Паспорт б/н (АУУ/HS23L-1897) от октября 2023.</v>
      </c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6"/>
      <c r="BH112" s="86"/>
      <c r="BI112" s="86"/>
      <c r="BJ112" s="86"/>
      <c r="BK112" s="86"/>
      <c r="BL112" s="86"/>
      <c r="BM112" s="86"/>
      <c r="BN112" s="86"/>
      <c r="BO112" s="86"/>
      <c r="BP112" s="86"/>
      <c r="BQ112" s="86"/>
      <c r="BR112" s="86"/>
      <c r="BS112" s="86"/>
      <c r="BT112" s="86"/>
    </row>
    <row r="113" spans="1:77" hidden="1" x14ac:dyDescent="0.25">
      <c r="A113" s="87">
        <f>A79</f>
        <v>0</v>
      </c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7"/>
      <c r="AZ113" s="87"/>
      <c r="BA113" s="87"/>
      <c r="BB113" s="87"/>
      <c r="BC113" s="87"/>
      <c r="BD113" s="87"/>
      <c r="BE113" s="87"/>
      <c r="BF113" s="87"/>
      <c r="BG113" s="87"/>
      <c r="BH113" s="87"/>
      <c r="BI113" s="87"/>
      <c r="BJ113" s="87"/>
      <c r="BK113" s="87"/>
      <c r="BL113" s="87"/>
      <c r="BM113" s="87"/>
      <c r="BN113" s="87"/>
      <c r="BO113" s="87"/>
      <c r="BP113" s="87"/>
      <c r="BQ113" s="87"/>
      <c r="BR113" s="87"/>
      <c r="BS113" s="87"/>
      <c r="BT113" s="55"/>
    </row>
    <row r="114" spans="1:77" ht="12" customHeight="1" x14ac:dyDescent="0.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79" t="s">
        <v>32</v>
      </c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79"/>
      <c r="AZ114" s="79"/>
      <c r="BA114" s="79"/>
      <c r="BB114" s="79"/>
      <c r="BC114" s="79"/>
      <c r="BD114" s="79"/>
      <c r="BE114" s="79"/>
      <c r="BF114" s="79"/>
      <c r="BG114" s="79"/>
      <c r="BH114" s="79"/>
      <c r="BI114" s="79"/>
      <c r="BJ114" s="79"/>
      <c r="BK114" s="79"/>
      <c r="BL114" s="79"/>
      <c r="BM114" s="79"/>
      <c r="BN114" s="79"/>
      <c r="BO114" s="79"/>
      <c r="BP114" s="79"/>
      <c r="BQ114" s="79"/>
      <c r="BR114" s="79"/>
      <c r="BS114" s="79"/>
      <c r="BT114" s="79"/>
      <c r="BY114" t="s">
        <v>82</v>
      </c>
    </row>
    <row r="115" spans="1:77" x14ac:dyDescent="0.25">
      <c r="A115" s="8" t="s">
        <v>33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21"/>
    </row>
    <row r="116" spans="1:77" x14ac:dyDescent="0.25">
      <c r="A116" s="30"/>
      <c r="B116" s="8"/>
      <c r="C116" s="8"/>
      <c r="D116" s="8" t="s">
        <v>34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7"/>
      <c r="X116" s="7"/>
      <c r="Y116" s="7"/>
      <c r="Z116" s="7"/>
      <c r="AA116" s="30"/>
      <c r="AB116" s="7"/>
      <c r="AC116" s="30"/>
      <c r="AD116" s="80" t="s">
        <v>35</v>
      </c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  <c r="BN116" s="80"/>
      <c r="BO116" s="80"/>
      <c r="BP116" s="80"/>
      <c r="BQ116" s="80"/>
      <c r="BR116" s="80"/>
      <c r="BS116" s="80"/>
      <c r="BT116" s="80"/>
    </row>
    <row r="117" spans="1:77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2" t="s">
        <v>36</v>
      </c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</row>
    <row r="118" spans="1:77" x14ac:dyDescent="0.25">
      <c r="A118" s="10" t="s">
        <v>37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9"/>
      <c r="V118" s="25"/>
      <c r="W118" s="31"/>
      <c r="X118" s="26"/>
      <c r="Y118" s="78" t="str">
        <f>U73</f>
        <v>ПП2020РД-1.2-61.17-ИТП; ПП2020РД-1.2-61.17-ИТП.СО; изм.4; л. 2-5</v>
      </c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</row>
    <row r="119" spans="1:77" x14ac:dyDescent="0.25">
      <c r="A119" s="8" t="s">
        <v>38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30"/>
      <c r="M119" s="22"/>
      <c r="N119" s="81" t="s">
        <v>105</v>
      </c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</row>
    <row r="120" spans="1:77" ht="34.200000000000003" customHeight="1" x14ac:dyDescent="0.25">
      <c r="A120" s="8" t="s">
        <v>39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12"/>
    </row>
    <row r="121" spans="1:77" x14ac:dyDescent="0.25">
      <c r="A121" s="8" t="s">
        <v>12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71" t="str">
        <f>BJ39</f>
        <v>Кострова Н.Л.</v>
      </c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8"/>
      <c r="AP121" s="8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8"/>
      <c r="BG121" s="8"/>
      <c r="BH121" s="73">
        <f>AE37</f>
        <v>45244</v>
      </c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12"/>
    </row>
    <row r="122" spans="1:77" ht="20.399999999999999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74" t="s">
        <v>59</v>
      </c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27"/>
      <c r="AP122" s="27"/>
      <c r="AQ122" s="74" t="s">
        <v>40</v>
      </c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27"/>
      <c r="BG122" s="27"/>
      <c r="BH122" s="74" t="s">
        <v>41</v>
      </c>
      <c r="BI122" s="74"/>
      <c r="BJ122" s="74"/>
      <c r="BK122" s="74"/>
      <c r="BL122" s="74"/>
      <c r="BM122" s="74"/>
      <c r="BN122" s="74"/>
      <c r="BO122" s="74"/>
      <c r="BP122" s="74"/>
      <c r="BQ122" s="74"/>
      <c r="BR122" s="74"/>
      <c r="BS122" s="74"/>
      <c r="BT122" s="23"/>
    </row>
    <row r="123" spans="1:77" ht="27" customHeight="1" x14ac:dyDescent="0.25">
      <c r="A123" s="8" t="s">
        <v>42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12"/>
      <c r="BY123" t="s">
        <v>83</v>
      </c>
    </row>
    <row r="124" spans="1:77" x14ac:dyDescent="0.25">
      <c r="A124" s="8" t="s">
        <v>43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71" t="str">
        <f>BJ41</f>
        <v>Халыгов Э. А.</v>
      </c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8"/>
      <c r="AP124" s="8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8"/>
      <c r="BG124" s="8"/>
      <c r="BH124" s="73">
        <f>BH121</f>
        <v>45244</v>
      </c>
      <c r="BI124" s="75"/>
      <c r="BJ124" s="75"/>
      <c r="BK124" s="75"/>
      <c r="BL124" s="75"/>
      <c r="BM124" s="75"/>
      <c r="BN124" s="75"/>
      <c r="BO124" s="75"/>
      <c r="BP124" s="75"/>
      <c r="BQ124" s="75"/>
      <c r="BR124" s="75"/>
      <c r="BS124" s="75"/>
      <c r="BT124" s="12"/>
    </row>
    <row r="125" spans="1:77" ht="16.2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74" t="s">
        <v>59</v>
      </c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27"/>
      <c r="AP125" s="27"/>
      <c r="AQ125" s="74" t="s">
        <v>40</v>
      </c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27"/>
      <c r="BG125" s="27"/>
      <c r="BH125" s="74" t="s">
        <v>41</v>
      </c>
      <c r="BI125" s="74"/>
      <c r="BJ125" s="74"/>
      <c r="BK125" s="74"/>
      <c r="BL125" s="74"/>
      <c r="BM125" s="74"/>
      <c r="BN125" s="74"/>
      <c r="BO125" s="74"/>
      <c r="BP125" s="74"/>
      <c r="BQ125" s="74"/>
      <c r="BR125" s="74"/>
      <c r="BS125" s="74"/>
      <c r="BT125" s="12"/>
      <c r="BY125" t="s">
        <v>84</v>
      </c>
    </row>
    <row r="126" spans="1:77" ht="29.4" customHeight="1" x14ac:dyDescent="0.25">
      <c r="A126" s="8" t="s">
        <v>39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12"/>
      <c r="BY126" t="s">
        <v>85</v>
      </c>
    </row>
    <row r="127" spans="1:77" x14ac:dyDescent="0.25">
      <c r="A127" s="8" t="s">
        <v>44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75" t="str">
        <f>BJ43</f>
        <v>Тюкин Е.В.</v>
      </c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8"/>
      <c r="AP127" s="8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8"/>
      <c r="BG127" s="8"/>
      <c r="BH127" s="73">
        <f>BH121</f>
        <v>45244</v>
      </c>
      <c r="BI127" s="75"/>
      <c r="BJ127" s="75"/>
      <c r="BK127" s="75"/>
      <c r="BL127" s="75"/>
      <c r="BM127" s="75"/>
      <c r="BN127" s="75"/>
      <c r="BO127" s="75"/>
      <c r="BP127" s="75"/>
      <c r="BQ127" s="75"/>
      <c r="BR127" s="75"/>
      <c r="BS127" s="75"/>
      <c r="BT127" s="12"/>
    </row>
    <row r="128" spans="1:77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74" t="s">
        <v>59</v>
      </c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27"/>
      <c r="AP128" s="27"/>
      <c r="AQ128" s="74" t="s">
        <v>40</v>
      </c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27"/>
      <c r="BG128" s="27"/>
      <c r="BH128" s="74" t="s">
        <v>41</v>
      </c>
      <c r="BI128" s="74"/>
      <c r="BJ128" s="74"/>
      <c r="BK128" s="74"/>
      <c r="BL128" s="74"/>
      <c r="BM128" s="74"/>
      <c r="BN128" s="74"/>
      <c r="BO128" s="74"/>
      <c r="BP128" s="74"/>
      <c r="BQ128" s="74"/>
      <c r="BR128" s="74"/>
      <c r="BS128" s="74"/>
      <c r="BT128" s="12"/>
    </row>
    <row r="129" spans="1:72" hidden="1" x14ac:dyDescent="0.25">
      <c r="A129" s="13"/>
      <c r="B129" s="13"/>
      <c r="C129" s="13"/>
      <c r="D129" s="7"/>
      <c r="E129" s="7"/>
      <c r="F129" s="7"/>
      <c r="G129" s="7"/>
      <c r="H129" s="7"/>
      <c r="I129" s="7"/>
      <c r="J129" s="7"/>
      <c r="K129" s="7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12"/>
    </row>
    <row r="130" spans="1:72" x14ac:dyDescent="0.25">
      <c r="A130" s="20" t="s">
        <v>104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13"/>
      <c r="AN130" s="13"/>
      <c r="AO130" s="8"/>
      <c r="AP130" s="8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  <c r="BE130" s="69"/>
      <c r="BF130" s="8"/>
      <c r="BG130" s="8"/>
      <c r="BH130" s="70"/>
      <c r="BI130" s="69"/>
      <c r="BJ130" s="69"/>
      <c r="BK130" s="69"/>
      <c r="BL130" s="69"/>
      <c r="BM130" s="69"/>
      <c r="BN130" s="69"/>
      <c r="BO130" s="69"/>
      <c r="BP130" s="69"/>
      <c r="BQ130" s="69"/>
      <c r="BR130" s="69"/>
      <c r="BS130" s="69"/>
      <c r="BT130" s="12"/>
    </row>
    <row r="131" spans="1:72" ht="16.8" customHeight="1" x14ac:dyDescent="0.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10"/>
      <c r="AN131" s="10"/>
      <c r="AO131" s="8"/>
      <c r="AP131" s="8"/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76"/>
      <c r="BC131" s="76"/>
      <c r="BD131" s="76"/>
      <c r="BE131" s="76"/>
      <c r="BF131" s="8"/>
      <c r="BG131" s="8"/>
      <c r="BH131" s="76"/>
      <c r="BI131" s="76"/>
      <c r="BJ131" s="76"/>
      <c r="BK131" s="76"/>
      <c r="BL131" s="76"/>
      <c r="BM131" s="76"/>
      <c r="BN131" s="76"/>
      <c r="BO131" s="76"/>
      <c r="BP131" s="76"/>
      <c r="BQ131" s="76"/>
      <c r="BR131" s="76"/>
      <c r="BS131" s="76"/>
      <c r="BT131" s="12"/>
    </row>
    <row r="132" spans="1:72" x14ac:dyDescent="0.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12"/>
    </row>
    <row r="134" spans="1:72" ht="13.8" customHeight="1" x14ac:dyDescent="0.25"/>
    <row r="137" spans="1:72" ht="13.8" customHeight="1" x14ac:dyDescent="0.25"/>
  </sheetData>
  <mergeCells count="146">
    <mergeCell ref="AF9:AW9"/>
    <mergeCell ref="A10:BT10"/>
    <mergeCell ref="A11:BT11"/>
    <mergeCell ref="AE37:AT37"/>
    <mergeCell ref="T40:BJ40"/>
    <mergeCell ref="S39:BI39"/>
    <mergeCell ref="BJ39:BT39"/>
    <mergeCell ref="A36:BT36"/>
    <mergeCell ref="A12:BS12"/>
    <mergeCell ref="A13:BS13"/>
    <mergeCell ref="A14:BS14"/>
    <mergeCell ref="A15:BS15"/>
    <mergeCell ref="A16:BS16"/>
    <mergeCell ref="A17:BS17"/>
    <mergeCell ref="A18:BS18"/>
    <mergeCell ref="A19:BS19"/>
    <mergeCell ref="A20:BS20"/>
    <mergeCell ref="A21:BS21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BY46:CE47"/>
    <mergeCell ref="BY73:CD73"/>
    <mergeCell ref="BY77:CE109"/>
    <mergeCell ref="D82:BT82"/>
    <mergeCell ref="A76:BT76"/>
    <mergeCell ref="AK78:BT78"/>
    <mergeCell ref="A80:BT80"/>
    <mergeCell ref="A81:BT81"/>
    <mergeCell ref="U73:BT73"/>
    <mergeCell ref="P74:BT74"/>
    <mergeCell ref="U75:BT75"/>
    <mergeCell ref="Y108:BT108"/>
    <mergeCell ref="Y109:BT109"/>
    <mergeCell ref="A79:BS79"/>
    <mergeCell ref="AK77:BT77"/>
    <mergeCell ref="A47:BT47"/>
    <mergeCell ref="E46:BT46"/>
    <mergeCell ref="A48:BS48"/>
    <mergeCell ref="D83:BS83"/>
    <mergeCell ref="A50:BS50"/>
    <mergeCell ref="A51:BS51"/>
    <mergeCell ref="A52:BS52"/>
    <mergeCell ref="AQ131:BE131"/>
    <mergeCell ref="BH131:BS131"/>
    <mergeCell ref="A107:BT107"/>
    <mergeCell ref="Y118:BT118"/>
    <mergeCell ref="V114:BT114"/>
    <mergeCell ref="AD116:BT116"/>
    <mergeCell ref="N119:BT119"/>
    <mergeCell ref="J117:BT117"/>
    <mergeCell ref="AJ110:AS110"/>
    <mergeCell ref="AT110:BT110"/>
    <mergeCell ref="Q111:BT111"/>
    <mergeCell ref="X127:AN127"/>
    <mergeCell ref="AQ127:BE127"/>
    <mergeCell ref="BH127:BS127"/>
    <mergeCell ref="AA112:BT112"/>
    <mergeCell ref="X125:AN125"/>
    <mergeCell ref="A113:BS113"/>
    <mergeCell ref="A22:BS22"/>
    <mergeCell ref="A23:BS23"/>
    <mergeCell ref="A24:BS24"/>
    <mergeCell ref="A25:BS25"/>
    <mergeCell ref="A26:BS26"/>
    <mergeCell ref="AQ130:BE130"/>
    <mergeCell ref="BH130:BS130"/>
    <mergeCell ref="X121:AN121"/>
    <mergeCell ref="AQ121:BE121"/>
    <mergeCell ref="BH121:BS121"/>
    <mergeCell ref="AQ125:BE125"/>
    <mergeCell ref="BH125:BS125"/>
    <mergeCell ref="X124:AN124"/>
    <mergeCell ref="AQ124:BE124"/>
    <mergeCell ref="BH124:BS124"/>
    <mergeCell ref="X128:AN128"/>
    <mergeCell ref="AQ128:BE128"/>
    <mergeCell ref="X122:AN122"/>
    <mergeCell ref="AQ122:BE122"/>
    <mergeCell ref="BH122:BS122"/>
    <mergeCell ref="BH128:BS128"/>
    <mergeCell ref="S41:BI41"/>
    <mergeCell ref="BJ41:BT41"/>
    <mergeCell ref="T42:BJ42"/>
    <mergeCell ref="A32:BS32"/>
    <mergeCell ref="A33:BS33"/>
    <mergeCell ref="A34:BS34"/>
    <mergeCell ref="A35:BS35"/>
    <mergeCell ref="A49:BS49"/>
    <mergeCell ref="A27:BS27"/>
    <mergeCell ref="A28:BS28"/>
    <mergeCell ref="A29:BS29"/>
    <mergeCell ref="A30:BS30"/>
    <mergeCell ref="A31:BS31"/>
    <mergeCell ref="S43:BI43"/>
    <mergeCell ref="BJ43:BT43"/>
    <mergeCell ref="T44:BJ44"/>
    <mergeCell ref="O45:BP45"/>
    <mergeCell ref="A58:BS58"/>
    <mergeCell ref="A59:BS59"/>
    <mergeCell ref="A60:BS60"/>
    <mergeCell ref="A61:BS61"/>
    <mergeCell ref="A62:BS62"/>
    <mergeCell ref="A53:BS53"/>
    <mergeCell ref="A54:BS54"/>
    <mergeCell ref="A55:BS55"/>
    <mergeCell ref="A56:BS56"/>
    <mergeCell ref="A57:BS57"/>
    <mergeCell ref="A68:BS68"/>
    <mergeCell ref="A69:BS69"/>
    <mergeCell ref="A70:BS70"/>
    <mergeCell ref="A71:BS71"/>
    <mergeCell ref="D84:BS84"/>
    <mergeCell ref="A63:BS63"/>
    <mergeCell ref="A64:BS64"/>
    <mergeCell ref="A65:BS65"/>
    <mergeCell ref="A66:BS66"/>
    <mergeCell ref="A67:BS67"/>
    <mergeCell ref="D90:BS90"/>
    <mergeCell ref="D91:BS91"/>
    <mergeCell ref="D92:BS92"/>
    <mergeCell ref="D93:BS93"/>
    <mergeCell ref="D94:BS94"/>
    <mergeCell ref="D85:BS85"/>
    <mergeCell ref="D86:BS86"/>
    <mergeCell ref="D87:BS87"/>
    <mergeCell ref="D88:BS88"/>
    <mergeCell ref="D89:BS89"/>
    <mergeCell ref="D105:BS105"/>
    <mergeCell ref="D106:BS106"/>
    <mergeCell ref="D100:BS100"/>
    <mergeCell ref="D101:BS101"/>
    <mergeCell ref="D102:BS102"/>
    <mergeCell ref="D103:BS103"/>
    <mergeCell ref="D104:BS104"/>
    <mergeCell ref="D95:BS95"/>
    <mergeCell ref="D96:BS96"/>
    <mergeCell ref="D97:BS97"/>
    <mergeCell ref="D98:BS98"/>
    <mergeCell ref="D99:BS99"/>
  </mergeCells>
  <phoneticPr fontId="21" type="noConversion"/>
  <dataValidations count="4">
    <dataValidation type="list" errorStyle="information" allowBlank="1" showInputMessage="1" sqref="O45:BP45" xr:uid="{00000000-0002-0000-0000-000000000000}">
      <formula1>"выборочный,сплошной"</formula1>
    </dataValidation>
    <dataValidation type="list" allowBlank="1" showInputMessage="1" showErrorMessage="1" sqref="N45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70866141732283472" right="0.70866141732283472" top="0.74803149606299213" bottom="0.74803149606299213" header="0.31496062992125984" footer="0.31496062992125984"/>
  <pageSetup paperSize="9" scale="66" fitToHeight="2" orientation="portrait" blackAndWhite="1" r:id="rId1"/>
  <rowBreaks count="1" manualBreakCount="1">
    <brk id="76" max="7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BJ43:BT43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BJ41:BT41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BJ39:BT39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T73:U73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S75:U75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workbookViewId="0">
      <selection activeCell="B3" sqref="B3:C3"/>
    </sheetView>
  </sheetViews>
  <sheetFormatPr defaultColWidth="8.88671875" defaultRowHeight="13.8" x14ac:dyDescent="0.25"/>
  <cols>
    <col min="1" max="1" width="27.109375" style="32" customWidth="1"/>
    <col min="2" max="2" width="21.6640625" style="32" customWidth="1"/>
    <col min="3" max="3" width="49.77734375" style="32" customWidth="1"/>
    <col min="4" max="5" width="10.109375" style="32" customWidth="1"/>
    <col min="6" max="6" width="44.77734375" style="32" customWidth="1"/>
    <col min="7" max="16384" width="8.88671875" style="32"/>
  </cols>
  <sheetData>
    <row r="2" spans="1:6" ht="29.4" customHeight="1" x14ac:dyDescent="0.25">
      <c r="A2" s="38" t="s">
        <v>10</v>
      </c>
      <c r="B2" s="39" t="s">
        <v>74</v>
      </c>
      <c r="C2" s="39" t="s">
        <v>73</v>
      </c>
      <c r="D2" s="37" t="s">
        <v>71</v>
      </c>
      <c r="E2" s="37" t="s">
        <v>72</v>
      </c>
    </row>
    <row r="3" spans="1:6" x14ac:dyDescent="0.25">
      <c r="A3" s="33" t="s">
        <v>12</v>
      </c>
      <c r="B3" s="49" t="s">
        <v>106</v>
      </c>
      <c r="C3" s="62" t="s">
        <v>107</v>
      </c>
      <c r="D3" s="35">
        <v>44927</v>
      </c>
      <c r="E3" s="35">
        <v>45337</v>
      </c>
    </row>
    <row r="4" spans="1:6" x14ac:dyDescent="0.25">
      <c r="A4" s="33" t="s">
        <v>12</v>
      </c>
      <c r="B4" s="32" t="s">
        <v>75</v>
      </c>
      <c r="C4" s="41" t="s">
        <v>76</v>
      </c>
      <c r="D4" s="35">
        <v>45337</v>
      </c>
      <c r="E4" s="35">
        <v>45657</v>
      </c>
    </row>
    <row r="5" spans="1:6" x14ac:dyDescent="0.25">
      <c r="A5" s="33" t="s">
        <v>14</v>
      </c>
      <c r="B5" s="32" t="s">
        <v>66</v>
      </c>
      <c r="C5" s="34" t="s">
        <v>65</v>
      </c>
      <c r="D5" s="35">
        <v>45166</v>
      </c>
      <c r="E5" s="35">
        <v>45657</v>
      </c>
    </row>
    <row r="6" spans="1:6" x14ac:dyDescent="0.25">
      <c r="A6" s="33" t="s">
        <v>14</v>
      </c>
      <c r="B6" s="32" t="s">
        <v>78</v>
      </c>
      <c r="C6" s="34" t="s">
        <v>77</v>
      </c>
      <c r="D6" s="35">
        <v>44927</v>
      </c>
      <c r="E6" s="35">
        <v>45166</v>
      </c>
    </row>
    <row r="7" spans="1:6" ht="27.6" x14ac:dyDescent="0.25">
      <c r="A7" s="33" t="s">
        <v>14</v>
      </c>
      <c r="B7" s="44" t="s">
        <v>89</v>
      </c>
      <c r="C7" s="34" t="s">
        <v>65</v>
      </c>
      <c r="D7" s="35">
        <v>45278</v>
      </c>
      <c r="E7" s="35">
        <v>45342</v>
      </c>
      <c r="F7" s="43" t="s">
        <v>90</v>
      </c>
    </row>
    <row r="8" spans="1:6" ht="55.2" x14ac:dyDescent="0.25">
      <c r="A8" s="45" t="s">
        <v>15</v>
      </c>
      <c r="B8" s="46" t="s">
        <v>64</v>
      </c>
      <c r="C8" s="47" t="s">
        <v>63</v>
      </c>
      <c r="D8" s="48">
        <v>44927</v>
      </c>
      <c r="E8" s="48">
        <v>45657</v>
      </c>
    </row>
    <row r="9" spans="1:6" ht="55.2" x14ac:dyDescent="0.25">
      <c r="A9" s="36" t="s">
        <v>15</v>
      </c>
      <c r="B9" s="32" t="s">
        <v>88</v>
      </c>
      <c r="C9" s="42" t="s">
        <v>87</v>
      </c>
      <c r="F9" s="49" t="s">
        <v>91</v>
      </c>
    </row>
    <row r="11" spans="1:6" x14ac:dyDescent="0.25">
      <c r="A11" s="33"/>
    </row>
    <row r="12" spans="1:6" x14ac:dyDescent="0.25">
      <c r="A12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95</v>
      </c>
      <c r="B5" s="2" t="s">
        <v>48</v>
      </c>
      <c r="C5" s="2" t="s">
        <v>49</v>
      </c>
      <c r="D5" s="2" t="s">
        <v>103</v>
      </c>
    </row>
    <row r="6" spans="1:4" ht="27.6" x14ac:dyDescent="0.25">
      <c r="A6" s="6" t="s">
        <v>92</v>
      </c>
      <c r="B6" s="3" t="s">
        <v>50</v>
      </c>
      <c r="C6" s="5" t="s">
        <v>96</v>
      </c>
    </row>
    <row r="7" spans="1:4" x14ac:dyDescent="0.25">
      <c r="A7" s="6" t="s">
        <v>93</v>
      </c>
      <c r="B7" s="3" t="s">
        <v>51</v>
      </c>
      <c r="C7" s="1" t="s">
        <v>97</v>
      </c>
    </row>
    <row r="8" spans="1:4" x14ac:dyDescent="0.25">
      <c r="A8" s="6" t="s">
        <v>94</v>
      </c>
      <c r="B8" s="3" t="s">
        <v>52</v>
      </c>
      <c r="C8" s="1" t="s">
        <v>98</v>
      </c>
    </row>
    <row r="9" spans="1:4" x14ac:dyDescent="0.25">
      <c r="A9" s="6">
        <v>56</v>
      </c>
      <c r="B9" s="3" t="s">
        <v>53</v>
      </c>
      <c r="C9" s="1" t="s">
        <v>99</v>
      </c>
    </row>
    <row r="10" spans="1:4" ht="27.6" x14ac:dyDescent="0.25">
      <c r="A10" s="6">
        <v>57</v>
      </c>
      <c r="B10" s="3" t="s">
        <v>54</v>
      </c>
      <c r="C10" s="4" t="s">
        <v>100</v>
      </c>
    </row>
    <row r="11" spans="1:4" ht="27.6" x14ac:dyDescent="0.25">
      <c r="A11" s="6">
        <v>110</v>
      </c>
      <c r="B11" s="3" t="s">
        <v>55</v>
      </c>
      <c r="C11" s="6" t="s">
        <v>101</v>
      </c>
    </row>
    <row r="12" spans="1:4" ht="27.6" x14ac:dyDescent="0.25">
      <c r="A12" s="6">
        <v>111</v>
      </c>
      <c r="B12" s="3" t="s">
        <v>56</v>
      </c>
      <c r="C12" s="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2025-11-25T12:41:47Z</cp:lastPrinted>
  <dcterms:created xsi:type="dcterms:W3CDTF">2023-09-19T09:44:50Z</dcterms:created>
  <dcterms:modified xsi:type="dcterms:W3CDTF">2025-11-25T12:44:02Z</dcterms:modified>
</cp:coreProperties>
</file>