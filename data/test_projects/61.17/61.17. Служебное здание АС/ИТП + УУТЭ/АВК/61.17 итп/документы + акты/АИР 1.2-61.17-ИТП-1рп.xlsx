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Z:\Стажеры\Лиза\ИТП\61.17 ИТП\"/>
    </mc:Choice>
  </mc:AlternateContent>
  <xr:revisionPtr revIDLastSave="0" documentId="13_ncr:1_{2AB244FF-FC3F-427F-ACE6-6BCBBB32FDF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кт" sheetId="18" r:id="rId1"/>
    <sheet name="подписанты" sheetId="8" r:id="rId2"/>
    <sheet name="Лист общих данных" sheetId="2" r:id="rId3"/>
  </sheets>
  <definedNames>
    <definedName name="_xlnm.Print_Area" localSheetId="0">акт!$A$1:$BS$72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4" i="18" l="1"/>
  <c r="A53" i="18"/>
  <c r="A52" i="18"/>
  <c r="X69" i="18"/>
  <c r="X66" i="18"/>
  <c r="BH63" i="18"/>
  <c r="BH69" i="18" s="1"/>
  <c r="X63" i="18"/>
  <c r="Y59" i="18"/>
  <c r="A51" i="18"/>
  <c r="A50" i="18"/>
  <c r="AA49" i="18"/>
  <c r="Q48" i="18"/>
  <c r="S21" i="18"/>
  <c r="S19" i="18"/>
  <c r="S17" i="18"/>
  <c r="BW16" i="18"/>
  <c r="BH66" i="18" l="1"/>
</calcChain>
</file>

<file path=xl/sharedStrings.xml><?xml version="1.0" encoding="utf-8"?>
<sst xmlns="http://schemas.openxmlformats.org/spreadsheetml/2006/main" count="149" uniqueCount="126">
  <si>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</si>
  <si>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</si>
  <si>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</si>
  <si>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</si>
  <si>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</si>
  <si>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</si>
  <si>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</si>
  <si>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</si>
  <si>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</si>
  <si>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</si>
  <si>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</si>
  <si>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</si>
  <si>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</si>
  <si>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</si>
  <si>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</si>
  <si>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</si>
  <si>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</si>
  <si>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</si>
  <si>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</si>
  <si>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</si>
  <si>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</si>
  <si>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</si>
  <si>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</si>
  <si>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</si>
  <si>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</si>
  <si>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</si>
  <si>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</si>
  <si>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</si>
  <si>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</si>
  <si>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</si>
  <si>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</si>
  <si>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</si>
  <si>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</si>
  <si>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</si>
  <si>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</si>
  <si>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</si>
  <si>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</si>
  <si>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</si>
  <si>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</si>
  <si>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</si>
  <si>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</si>
  <si>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</si>
  <si>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</si>
  <si>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</si>
  <si>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</si>
  <si>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 xml:space="preserve">о результатах проверки изделий/материалов </t>
  </si>
  <si>
    <t>на соответствие техдокументации</t>
  </si>
  <si>
    <t xml:space="preserve">  (сплошной, выборочный )</t>
  </si>
  <si>
    <t xml:space="preserve">Наименование объекта </t>
  </si>
  <si>
    <t>Шифр чертежа КМ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</si>
  <si>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</si>
  <si>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</si>
  <si>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</si>
  <si>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</si>
  <si>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</si>
  <si>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</si>
  <si>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</si>
  <si>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 xml:space="preserve"> на изделия установлено, </t>
  </si>
  <si>
    <t>что</t>
  </si>
  <si>
    <t>(фамилия, инициалы)</t>
  </si>
  <si>
    <t>ПАО «Газпром»</t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</si>
  <si>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</si>
  <si>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</si>
  <si>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</si>
  <si>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Лбова П.А.</t>
  </si>
  <si>
    <t>Инженер отдела технического надзора АО «Газстройпроект»</t>
  </si>
  <si>
    <t>Халыгов Э. А.</t>
  </si>
  <si>
    <r>
      <t xml:space="preserve">Основание: </t>
    </r>
    <r>
      <rPr>
        <u/>
        <sz val="11"/>
        <rFont val="Times New Roman"/>
        <family val="1"/>
        <charset val="204"/>
      </rPr>
      <t>ВСН 012-88 (Часть II)</t>
    </r>
  </si>
  <si>
    <r>
      <t xml:space="preserve">Строительство: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</si>
  <si>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1"/>
        <rFont val="Times New Roman"/>
        <family val="1"/>
        <charset val="204"/>
      </rPr>
      <t>Аэропортовый комплекс на аэродроме «Левашово»</t>
    </r>
  </si>
  <si>
    <t>проекту (соответствует, не соответствует)</t>
  </si>
  <si>
    <t xml:space="preserve">с </t>
  </si>
  <si>
    <t>до</t>
  </si>
  <si>
    <t>Должность</t>
  </si>
  <si>
    <t>ФИО</t>
  </si>
  <si>
    <t>Журавлев Ю.С.</t>
  </si>
  <si>
    <t>Ведущий инженер МТО АО «Газстройпроект»</t>
  </si>
  <si>
    <t>Ведущий нженер отдела технического надзора АО «Газстройпроект»</t>
  </si>
  <si>
    <t>Ткаченко С.В.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</si>
  <si>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</si>
  <si>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</si>
  <si>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</t>
  </si>
  <si>
    <t>трубы: диаметр 25 мм толщ. 3 мм, диаметр 32 мм толщ. 4 мм</t>
  </si>
  <si>
    <t>По поворотам, отводам и т.д. необходимо уточнее в МТО ГСП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</si>
  <si>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</t>
  </si>
  <si>
    <t>Если в РД отсутствует ГОСТ-ы, ТУ или СТО пишится из паспорта</t>
  </si>
  <si>
    <t>При отсутствиее норматива в РД или паспорта остается пустым</t>
  </si>
  <si>
    <t>сплошной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</si>
  <si>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</si>
  <si>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</si>
  <si>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Будянский А.С.</t>
  </si>
  <si>
    <t>на период отпуска Ткаченко, на период отпуска Халыгова август 2024</t>
  </si>
  <si>
    <t>подписывает сейчас</t>
  </si>
  <si>
    <t>61.6</t>
  </si>
  <si>
    <t>61.17</t>
  </si>
  <si>
    <t>61.2</t>
  </si>
  <si>
    <t>№ по ГП</t>
  </si>
  <si>
    <t>ПП2020РД-1.2-61.6-ОВ1</t>
  </si>
  <si>
    <t>ПП2020РД-1.2-61.17-ОВ1</t>
  </si>
  <si>
    <t>ПП2020РД-1.2-61.2-ОВ1</t>
  </si>
  <si>
    <t>ПП2020РД-1.2-56-ОВ1</t>
  </si>
  <si>
    <t>ПП2020РД-1.2-57-ОВ1</t>
  </si>
  <si>
    <t>ПП2020РД-1.2-110-ОВ1</t>
  </si>
  <si>
    <t>ПП2020РД-1.2-111-ОВ1</t>
  </si>
  <si>
    <t>№ последнего изм</t>
  </si>
  <si>
    <t xml:space="preserve">ВК произведен в соответствиями с требованиями НТД
</t>
  </si>
  <si>
    <t>Руководитель группы МТО АО «Газстройпроект»</t>
  </si>
  <si>
    <t>Кострова Н.Л.</t>
  </si>
  <si>
    <t>Труба стальная электросварная: Dн=76, Dн=57,</t>
  </si>
  <si>
    <t>Труба стальная водогазопроводная: Dу=40, Dу=32.</t>
  </si>
  <si>
    <t>Сертификат качества №72458751 от 07.11.2023;</t>
  </si>
  <si>
    <t xml:space="preserve">Сертификат качества №72551367 от 04.10.2023; Декларация о соответствии № ЕАЭС N RU Д-RU.РА01.В.81703/21 </t>
  </si>
  <si>
    <t>с 24.02.2021 по 23.02.2026, Свидетельство о гос. регистрации № RU.61.РЦ.10.013.Е.000084.09.15 от 08.09.2015</t>
  </si>
  <si>
    <t>АИР 1.2-61.17-ИТП/1рп</t>
  </si>
  <si>
    <t>Сертификат качества № 20-088-101184-23 от 25.03.2023, Сертификат качества № 20-088-003288-23 от 08.07.2023,</t>
  </si>
  <si>
    <t xml:space="preserve">Сертификат соответствия № ЮАЧ1.RU.1406.Н.00200 с 25.11.2022 по 24.11.2025, Экспертное заключение № 13-04-244 </t>
  </si>
  <si>
    <t>от 19.04.2013.</t>
  </si>
  <si>
    <t xml:space="preserve">ТУ 14-157-95-2015, ГОСТ 8731-74, ГОСТ 8732-78, ГОСТ 10704-91, ГОСТ 10705-80, </t>
  </si>
  <si>
    <t>ГОСТ 32528-2013, ТР ТС 032/2013, ГОСТ 3262-75</t>
  </si>
  <si>
    <t>ПП2020РД-1.2-61.17-ИТП; ПП2020РД-1.2-61.17-ИТП.СО; изм.4; лист 11</t>
  </si>
  <si>
    <t>Трубы прямошовные общего назначения,</t>
  </si>
  <si>
    <t>Труба стальная водогазопроводная</t>
  </si>
  <si>
    <t>Трубы прямошовные общего назначения: D76х3,5 - 4,67 м, D57х3,5 - 23,56 м,</t>
  </si>
  <si>
    <t>Труба стальная водогазопроводная: Ду40х3,5 - 7,88 м, Ду32х3,2 - 10,67 м</t>
  </si>
  <si>
    <t>Труба стальная водогазопроводная: Ду40х3,5, Ду32х3,2</t>
  </si>
  <si>
    <t>Трубы прямошовные общего назначения: D76х3,5, D57х3,5,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</si>
</sst>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;\-0;;@"/>
    <numFmt numFmtId="166" formatCode="dddd"/>
  </numFmts>
  <fonts count="22" x14ac:knownFonts="1">
    <font>
      <sz val="11"/>
      <color theme="1"/>
      <name val="Times New Roman"/>
      <family val="2"/>
      <charset val="204"/>
      <scheme val="minor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  <scheme val="minor"/>
    </font>
    <font>
      <sz val="1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u/>
      <sz val="11"/>
      <name val="Times New Roman"/>
      <family val="1"/>
      <charset val="204"/>
    </font>
    <font>
      <sz val="11"/>
      <name val="Times New Roman"/>
      <family val="1"/>
      <charset val="204"/>
    </font>
    <font>
      <u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sz val="11"/>
      <color theme="1"/>
      <name val="Times New Roman"/>
      <family val="1"/>
      <charset val="204"/>
      <scheme val="minor"/>
    </font>
    <font>
      <sz val="8"/>
      <name val="Times New Roman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11">
    <xf numFmtId="0" fontId="0" fillId="0" borderId="0" xfId="0"/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1" fillId="2" borderId="0" xfId="1" applyFont="1" applyFill="1"/>
    <xf numFmtId="0" fontId="12" fillId="2" borderId="0" xfId="1" applyFont="1" applyFill="1"/>
    <xf numFmtId="0" fontId="13" fillId="2" borderId="0" xfId="1" applyFont="1" applyFill="1"/>
    <xf numFmtId="0" fontId="12" fillId="2" borderId="0" xfId="1" applyFont="1" applyFill="1" applyAlignment="1">
      <alignment vertical="top"/>
    </xf>
    <xf numFmtId="0" fontId="12" fillId="2" borderId="0" xfId="1" applyFont="1" applyFill="1" applyAlignment="1">
      <alignment horizontal="left" vertical="top"/>
    </xf>
    <xf numFmtId="0" fontId="12" fillId="2" borderId="0" xfId="1" applyFont="1" applyFill="1" applyAlignment="1">
      <alignment wrapText="1"/>
    </xf>
    <xf numFmtId="0" fontId="14" fillId="2" borderId="0" xfId="1" applyFont="1" applyFill="1"/>
    <xf numFmtId="0" fontId="14" fillId="2" borderId="0" xfId="1" applyFont="1" applyFill="1" applyAlignment="1">
      <alignment horizontal="center"/>
    </xf>
    <xf numFmtId="0" fontId="12" fillId="2" borderId="0" xfId="1" applyFont="1" applyFill="1" applyAlignment="1">
      <alignment vertical="center"/>
    </xf>
    <xf numFmtId="0" fontId="12" fillId="2" borderId="2" xfId="1" applyFont="1" applyFill="1" applyBorder="1" applyAlignment="1">
      <alignment vertical="top"/>
    </xf>
    <xf numFmtId="0" fontId="12" fillId="0" borderId="0" xfId="1" applyFont="1"/>
    <xf numFmtId="14" fontId="14" fillId="0" borderId="0" xfId="1" applyNumberFormat="1" applyFont="1" applyAlignment="1">
      <alignment vertical="center" wrapText="1"/>
    </xf>
    <xf numFmtId="0" fontId="14" fillId="2" borderId="0" xfId="1" applyFont="1" applyFill="1" applyAlignment="1">
      <alignment horizontal="center" vertical="top"/>
    </xf>
    <xf numFmtId="0" fontId="11" fillId="2" borderId="0" xfId="1" applyFont="1" applyFill="1" applyAlignment="1">
      <alignment vertical="top" wrapText="1"/>
    </xf>
    <xf numFmtId="0" fontId="14" fillId="2" borderId="0" xfId="1" applyFont="1" applyFill="1" applyAlignment="1">
      <alignment vertical="top"/>
    </xf>
    <xf numFmtId="0" fontId="13" fillId="2" borderId="0" xfId="1" applyFont="1" applyFill="1" applyAlignment="1">
      <alignment wrapText="1"/>
    </xf>
    <xf numFmtId="0" fontId="14" fillId="2" borderId="0" xfId="1" applyFont="1" applyFill="1" applyAlignment="1">
      <alignment wrapText="1"/>
    </xf>
    <xf numFmtId="0" fontId="12" fillId="2" borderId="0" xfId="1" applyFont="1" applyFill="1" applyAlignment="1">
      <alignment horizontal="center" vertical="top" wrapText="1"/>
    </xf>
    <xf numFmtId="0" fontId="16" fillId="2" borderId="2" xfId="1" applyFont="1" applyFill="1" applyBorder="1" applyAlignment="1">
      <alignment vertical="top"/>
    </xf>
    <xf numFmtId="165" fontId="11" fillId="2" borderId="0" xfId="1" applyNumberFormat="1" applyFont="1" applyFill="1" applyAlignment="1">
      <alignment vertical="center" wrapText="1"/>
    </xf>
    <xf numFmtId="165" fontId="11" fillId="2" borderId="0" xfId="1" applyNumberFormat="1" applyFont="1" applyFill="1" applyAlignment="1">
      <alignment vertical="top" wrapText="1"/>
    </xf>
    <xf numFmtId="0" fontId="16" fillId="2" borderId="0" xfId="1" applyFont="1" applyFill="1"/>
    <xf numFmtId="14" fontId="14" fillId="2" borderId="0" xfId="1" applyNumberFormat="1" applyFont="1" applyFill="1" applyAlignment="1">
      <alignment vertical="top" wrapText="1"/>
    </xf>
    <xf numFmtId="14" fontId="11" fillId="2" borderId="0" xfId="1" applyNumberFormat="1" applyFont="1" applyFill="1" applyAlignment="1">
      <alignment vertical="top" wrapText="1"/>
    </xf>
    <xf numFmtId="0" fontId="12" fillId="2" borderId="0" xfId="1" applyFont="1" applyFill="1" applyAlignment="1">
      <alignment horizontal="center" vertical="top"/>
    </xf>
    <xf numFmtId="0" fontId="12" fillId="2" borderId="0" xfId="1" applyFont="1" applyFill="1" applyAlignment="1">
      <alignment horizontal="left" wrapText="1"/>
    </xf>
    <xf numFmtId="0" fontId="7" fillId="2" borderId="0" xfId="1" applyFont="1" applyFill="1" applyAlignment="1">
      <alignment horizontal="left" wrapText="1"/>
    </xf>
    <xf numFmtId="0" fontId="5" fillId="0" borderId="0" xfId="0" applyFont="1"/>
    <xf numFmtId="0" fontId="18" fillId="0" borderId="0" xfId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/>
    <xf numFmtId="0" fontId="1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7" fillId="2" borderId="0" xfId="1" applyFont="1" applyFill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9" fillId="0" borderId="0" xfId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 wrapText="1"/>
    </xf>
    <xf numFmtId="14" fontId="19" fillId="0" borderId="0" xfId="0" applyNumberFormat="1" applyFont="1" applyAlignment="1">
      <alignment vertical="center"/>
    </xf>
    <xf numFmtId="0" fontId="1" fillId="0" borderId="0" xfId="0" applyFont="1"/>
    <xf numFmtId="166" fontId="0" fillId="0" borderId="0" xfId="0" applyNumberFormat="1"/>
    <xf numFmtId="0" fontId="14" fillId="2" borderId="0" xfId="1" applyFont="1" applyFill="1" applyAlignment="1">
      <alignment vertical="top" wrapText="1"/>
    </xf>
    <xf numFmtId="0" fontId="15" fillId="2" borderId="0" xfId="1" applyFont="1" applyFill="1" applyAlignment="1">
      <alignment wrapText="1"/>
    </xf>
    <xf numFmtId="0" fontId="20" fillId="0" borderId="0" xfId="0" applyFont="1"/>
    <xf numFmtId="0" fontId="14" fillId="4" borderId="0" xfId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top" wrapText="1"/>
    </xf>
    <xf numFmtId="0" fontId="14" fillId="4" borderId="0" xfId="1" applyFont="1" applyFill="1" applyAlignment="1">
      <alignment horizontal="left" wrapText="1"/>
    </xf>
    <xf numFmtId="0" fontId="14" fillId="3" borderId="0" xfId="1" applyFont="1" applyFill="1" applyAlignment="1">
      <alignment horizontal="left"/>
    </xf>
    <xf numFmtId="0" fontId="14" fillId="3" borderId="1" xfId="1" applyFont="1" applyFill="1" applyBorder="1"/>
    <xf numFmtId="0" fontId="14" fillId="2" borderId="0" xfId="1" applyFont="1" applyFill="1" applyAlignment="1">
      <alignment horizontal="left" vertical="top" wrapText="1"/>
    </xf>
    <xf numFmtId="14" fontId="14" fillId="4" borderId="1" xfId="1" applyNumberFormat="1" applyFont="1" applyFill="1" applyBorder="1" applyAlignment="1">
      <alignment horizontal="left" vertical="center" wrapText="1"/>
    </xf>
    <xf numFmtId="0" fontId="16" fillId="2" borderId="0" xfId="1" applyFont="1" applyFill="1" applyAlignment="1">
      <alignment horizontal="center" vertical="center"/>
    </xf>
    <xf numFmtId="0" fontId="12" fillId="3" borderId="1" xfId="1" applyFont="1" applyFill="1" applyBorder="1" applyAlignment="1">
      <alignment horizontal="left" wrapText="1"/>
    </xf>
    <xf numFmtId="0" fontId="12" fillId="3" borderId="1" xfId="1" applyFont="1" applyFill="1" applyBorder="1" applyAlignment="1">
      <alignment horizontal="right"/>
    </xf>
    <xf numFmtId="0" fontId="16" fillId="2" borderId="0" xfId="1" applyFont="1" applyFill="1" applyAlignment="1">
      <alignment horizontal="center" vertical="top"/>
    </xf>
    <xf numFmtId="0" fontId="16" fillId="2" borderId="2" xfId="1" applyFont="1" applyFill="1" applyBorder="1" applyAlignment="1">
      <alignment horizontal="center" vertical="top"/>
    </xf>
    <xf numFmtId="0" fontId="12" fillId="3" borderId="0" xfId="1" applyFont="1" applyFill="1" applyAlignment="1">
      <alignment horizontal="left" wrapText="1"/>
    </xf>
    <xf numFmtId="0" fontId="12" fillId="3" borderId="1" xfId="1" applyFont="1" applyFill="1" applyBorder="1" applyAlignment="1">
      <alignment horizontal="right" vertical="center"/>
    </xf>
    <xf numFmtId="14" fontId="14" fillId="2" borderId="0" xfId="1" applyNumberFormat="1" applyFont="1" applyFill="1" applyAlignment="1">
      <alignment horizontal="center" wrapText="1"/>
    </xf>
    <xf numFmtId="0" fontId="12" fillId="3" borderId="1" xfId="1" applyFont="1" applyFill="1" applyBorder="1" applyAlignment="1">
      <alignment horizontal="center"/>
    </xf>
    <xf numFmtId="0" fontId="12" fillId="2" borderId="1" xfId="1" applyFont="1" applyFill="1" applyBorder="1" applyAlignment="1">
      <alignment horizontal="center"/>
    </xf>
    <xf numFmtId="14" fontId="12" fillId="3" borderId="1" xfId="1" applyNumberFormat="1" applyFont="1" applyFill="1" applyBorder="1" applyAlignment="1">
      <alignment horizontal="center"/>
    </xf>
    <xf numFmtId="0" fontId="12" fillId="2" borderId="0" xfId="1" applyFont="1" applyFill="1" applyAlignment="1">
      <alignment horizontal="center"/>
    </xf>
    <xf numFmtId="49" fontId="13" fillId="2" borderId="0" xfId="1" applyNumberFormat="1" applyFont="1" applyFill="1" applyAlignment="1">
      <alignment horizontal="center" vertical="center"/>
    </xf>
    <xf numFmtId="0" fontId="13" fillId="2" borderId="0" xfId="1" applyFont="1" applyFill="1" applyAlignment="1">
      <alignment horizontal="left"/>
    </xf>
    <xf numFmtId="0" fontId="12" fillId="2" borderId="0" xfId="1" applyFont="1" applyFill="1" applyAlignment="1">
      <alignment horizontal="left" wrapText="1"/>
    </xf>
    <xf numFmtId="49" fontId="12" fillId="2" borderId="0" xfId="1" applyNumberFormat="1" applyFont="1" applyFill="1" applyAlignment="1">
      <alignment horizontal="center"/>
    </xf>
    <xf numFmtId="0" fontId="14" fillId="4" borderId="0" xfId="1" applyFont="1" applyFill="1" applyAlignment="1">
      <alignment horizontal="left"/>
    </xf>
    <xf numFmtId="0" fontId="14" fillId="0" borderId="0" xfId="1" applyFont="1" applyAlignment="1">
      <alignment horizontal="center"/>
    </xf>
    <xf numFmtId="164" fontId="14" fillId="4" borderId="1" xfId="1" applyNumberFormat="1" applyFont="1" applyFill="1" applyBorder="1" applyAlignment="1">
      <alignment horizontal="center"/>
    </xf>
    <xf numFmtId="165" fontId="12" fillId="3" borderId="1" xfId="1" applyNumberFormat="1" applyFont="1" applyFill="1" applyBorder="1" applyAlignment="1">
      <alignment horizontal="center"/>
    </xf>
    <xf numFmtId="14" fontId="12" fillId="2" borderId="0" xfId="1" applyNumberFormat="1" applyFont="1" applyFill="1" applyAlignment="1">
      <alignment horizontal="center"/>
    </xf>
    <xf numFmtId="0" fontId="12" fillId="2" borderId="0" xfId="1" applyFont="1" applyFill="1" applyAlignment="1">
      <alignment horizontal="center" vertical="top"/>
    </xf>
    <xf numFmtId="0" fontId="17" fillId="0" borderId="0" xfId="1" applyFont="1" applyAlignment="1">
      <alignment horizontal="center" vertical="top"/>
    </xf>
    <xf numFmtId="165" fontId="14" fillId="3" borderId="1" xfId="1" applyNumberFormat="1" applyFont="1" applyFill="1" applyBorder="1" applyAlignment="1">
      <alignment horizontal="left" vertical="top" wrapText="1"/>
    </xf>
    <xf numFmtId="0" fontId="16" fillId="2" borderId="0" xfId="1" applyFont="1" applyFill="1" applyAlignment="1">
      <alignment vertical="top"/>
    </xf>
    <xf numFmtId="0" fontId="11" fillId="3" borderId="0" xfId="1" applyFont="1" applyFill="1" applyAlignment="1">
      <alignment horizontal="left"/>
    </xf>
    <xf numFmtId="0" fontId="14" fillId="4" borderId="1" xfId="1" applyFont="1" applyFill="1" applyBorder="1" applyAlignment="1">
      <alignment horizontal="left" wrapText="1"/>
    </xf>
    <xf numFmtId="0" fontId="16" fillId="2" borderId="0" xfId="1" applyFont="1" applyFill="1" applyAlignment="1">
      <alignment horizontal="right" vertical="top" wrapText="1"/>
    </xf>
    <xf numFmtId="0" fontId="11" fillId="3" borderId="0" xfId="1" applyFont="1" applyFill="1" applyAlignment="1">
      <alignment horizontal="center"/>
    </xf>
    <xf numFmtId="0" fontId="12" fillId="2" borderId="0" xfId="1" applyFont="1" applyFill="1" applyAlignment="1">
      <alignment horizontal="left"/>
    </xf>
    <xf numFmtId="0" fontId="14" fillId="3" borderId="1" xfId="1" applyFont="1" applyFill="1" applyBorder="1" applyAlignment="1">
      <alignment horizontal="left" vertical="top" wrapText="1"/>
    </xf>
    <xf numFmtId="14" fontId="14" fillId="3" borderId="1" xfId="1" applyNumberFormat="1" applyFont="1" applyFill="1" applyBorder="1" applyAlignment="1">
      <alignment horizontal="left" vertical="top" wrapText="1"/>
    </xf>
    <xf numFmtId="0" fontId="14" fillId="3" borderId="1" xfId="1" applyFont="1" applyFill="1" applyBorder="1" applyAlignment="1">
      <alignment horizontal="left"/>
    </xf>
    <xf numFmtId="0" fontId="11" fillId="2" borderId="0" xfId="1" applyFont="1" applyFill="1" applyAlignment="1">
      <alignment horizontal="center"/>
    </xf>
    <xf numFmtId="0" fontId="14" fillId="4" borderId="1" xfId="1" applyFont="1" applyFill="1" applyBorder="1" applyAlignment="1">
      <alignment horizontal="left"/>
    </xf>
    <xf numFmtId="0" fontId="0" fillId="0" borderId="0" xfId="0" applyAlignment="1">
      <alignment horizontal="left" vertical="top" wrapText="1"/>
    </xf>
    <xf numFmtId="14" fontId="14" fillId="4" borderId="1" xfId="1" applyNumberFormat="1" applyFont="1" applyFill="1" applyBorder="1" applyAlignment="1">
      <alignment horizontal="left" vertical="top" wrapText="1"/>
    </xf>
    <xf numFmtId="0" fontId="12" fillId="2" borderId="0" xfId="1" applyFont="1" applyFill="1" applyAlignment="1">
      <alignment horizontal="left" vertical="center"/>
    </xf>
    <xf numFmtId="14" fontId="14" fillId="2" borderId="0" xfId="1" applyNumberFormat="1" applyFont="1" applyFill="1" applyAlignment="1">
      <alignment horizontal="center" vertical="top" wrapText="1"/>
    </xf>
    <xf numFmtId="0" fontId="14" fillId="4" borderId="1" xfId="1" applyFont="1" applyFill="1" applyBorder="1" applyAlignment="1">
      <alignment horizontal="left" vertical="top" wrapText="1"/>
    </xf>
    <xf numFmtId="0" fontId="14" fillId="4" borderId="3" xfId="1" applyFont="1" applyFill="1" applyBorder="1" applyAlignment="1">
      <alignment horizontal="left"/>
    </xf>
    <xf numFmtId="0" fontId="14" fillId="4" borderId="3" xfId="1" applyFont="1" applyFill="1" applyBorder="1" applyAlignment="1">
      <alignment horizontal="left" wrapText="1"/>
    </xf>
    <xf numFmtId="0" fontId="16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 vertical="top" wrapText="1"/>
    </xf>
    <xf numFmtId="0" fontId="14" fillId="4" borderId="1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4" fillId="3" borderId="3" xfId="1" applyFont="1" applyFill="1" applyBorder="1" applyAlignment="1">
      <alignment horizontal="left"/>
    </xf>
  </cellXfs>
  <cellStyles count="2">
    <cellStyle name="Обычный" xfId="0" builtinId="0"/>
    <cellStyle name="Обычный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74</xdr:col>
      <xdr:colOff>289560</xdr:colOff>
      <xdr:row>10</xdr:row>
      <xdr:rowOff>30480</xdr:rowOff>
    </xdr:from>
    <xdr:to>
      <xdr:col>76</xdr:col>
      <xdr:colOff>201930</xdr:colOff>
      <xdr:row>13</xdr:row>
      <xdr:rowOff>97155</xdr:rowOff>
    </xdr:to>
    <xdr:sp macro="" textlink="">
      <xdr:nvSpPr>
        <xdr:cNvPr id="2" name="Стрелка: влево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680960" y="1783080"/>
          <a:ext cx="1131570" cy="59245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23</xdr:row>
      <xdr:rowOff>0</xdr:rowOff>
    </xdr:from>
    <xdr:to>
      <xdr:col>75</xdr:col>
      <xdr:colOff>521970</xdr:colOff>
      <xdr:row>24</xdr:row>
      <xdr:rowOff>78105</xdr:rowOff>
    </xdr:to>
    <xdr:sp macro="" textlink="">
      <xdr:nvSpPr>
        <xdr:cNvPr id="3" name="Стрелка: влево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391400" y="4358640"/>
          <a:ext cx="1131570" cy="25336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26</xdr:row>
      <xdr:rowOff>0</xdr:rowOff>
    </xdr:from>
    <xdr:to>
      <xdr:col>75</xdr:col>
      <xdr:colOff>521970</xdr:colOff>
      <xdr:row>27</xdr:row>
      <xdr:rowOff>38100</xdr:rowOff>
    </xdr:to>
    <xdr:sp macro="" textlink="">
      <xdr:nvSpPr>
        <xdr:cNvPr id="4" name="Стрелка: влево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391400" y="52349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30</xdr:row>
      <xdr:rowOff>0</xdr:rowOff>
    </xdr:from>
    <xdr:to>
      <xdr:col>75</xdr:col>
      <xdr:colOff>521970</xdr:colOff>
      <xdr:row>41</xdr:row>
      <xdr:rowOff>0</xdr:rowOff>
    </xdr:to>
    <xdr:sp macro="" textlink="">
      <xdr:nvSpPr>
        <xdr:cNvPr id="5" name="Стрелка: влево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91400" y="6111240"/>
          <a:ext cx="1131570" cy="38862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54</xdr:row>
      <xdr:rowOff>0</xdr:rowOff>
    </xdr:from>
    <xdr:to>
      <xdr:col>75</xdr:col>
      <xdr:colOff>521970</xdr:colOff>
      <xdr:row>57</xdr:row>
      <xdr:rowOff>72390</xdr:rowOff>
    </xdr:to>
    <xdr:sp macro="" textlink="">
      <xdr:nvSpPr>
        <xdr:cNvPr id="6" name="Стрелка: влево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391400" y="7863840"/>
          <a:ext cx="113157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74</xdr:col>
      <xdr:colOff>0</xdr:colOff>
      <xdr:row>67</xdr:row>
      <xdr:rowOff>0</xdr:rowOff>
    </xdr:from>
    <xdr:to>
      <xdr:col>75</xdr:col>
      <xdr:colOff>521970</xdr:colOff>
      <xdr:row>69</xdr:row>
      <xdr:rowOff>66675</xdr:rowOff>
    </xdr:to>
    <xdr:sp macro="" textlink="">
      <xdr:nvSpPr>
        <xdr:cNvPr id="7" name="Стрелка: влево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7391400" y="9441180"/>
          <a:ext cx="1131570" cy="241935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 New Roman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CE82"/>
  <sheetViews>
    <sheetView tabSelected="1" view="pageBreakPreview" topLeftCell="A43" zoomScaleNormal="100" zoomScaleSheetLayoutView="100" workbookViewId="0">
      <selection activeCell="Y59" sqref="Y59:BT59"/>
    </sheetView>
  </sheetViews>
  <sheetFormatPr defaultRowHeight="13.8" x14ac:dyDescent="0.25"/>
  <cols>
    <col min="1" max="12" width="1.44140625" customWidth="1"/>
    <col min="13" max="13" width="2.33203125" customWidth="1"/>
    <col min="14" max="70" width="1.44140625" customWidth="1"/>
    <col min="71" max="71" width="6.6640625" customWidth="1"/>
    <col min="72" max="72" width="3" hidden="1" customWidth="1"/>
    <col min="73" max="73" width="9.5546875" customWidth="1"/>
    <col min="74" max="74" width="5.6640625" customWidth="1"/>
    <col min="75" max="75" width="14.5546875" bestFit="1" customWidth="1"/>
  </cols>
  <sheetData>
    <row r="1" spans="1:75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 t="s">
        <v>60</v>
      </c>
      <c r="M1" s="9"/>
      <c r="N1" s="9"/>
      <c r="O1" s="9"/>
      <c r="P1" s="9"/>
      <c r="Q1" s="9"/>
      <c r="R1" s="9"/>
      <c r="S1" s="9"/>
      <c r="T1" s="9"/>
      <c r="U1" s="9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9" t="s">
        <v>1</v>
      </c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8"/>
      <c r="BT1" s="12"/>
    </row>
    <row r="2" spans="1:7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7" t="s">
        <v>3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8"/>
      <c r="Z2" s="8"/>
      <c r="AA2" s="8"/>
      <c r="AB2" s="8"/>
      <c r="AC2" s="8"/>
      <c r="AD2" s="8"/>
      <c r="AE2" s="8"/>
      <c r="AF2" s="8"/>
      <c r="AG2" s="8"/>
      <c r="AH2" s="8" t="s">
        <v>67</v>
      </c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12"/>
    </row>
    <row r="3" spans="1:75" x14ac:dyDescent="0.25">
      <c r="A3" s="75" t="s">
        <v>4</v>
      </c>
      <c r="B3" s="75"/>
      <c r="C3" s="75"/>
      <c r="D3" s="75"/>
      <c r="E3" s="75"/>
      <c r="F3" s="76" t="s">
        <v>5</v>
      </c>
      <c r="G3" s="76"/>
      <c r="H3" s="76"/>
      <c r="I3" s="77" t="s">
        <v>6</v>
      </c>
      <c r="J3" s="77"/>
      <c r="K3" s="77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0"/>
      <c r="AJ3" s="10"/>
      <c r="AK3" s="10"/>
      <c r="AL3" s="10"/>
      <c r="AM3" s="8"/>
      <c r="AN3" s="11" t="s">
        <v>62</v>
      </c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8"/>
      <c r="BT3" s="12"/>
    </row>
    <row r="4" spans="1:7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 t="s">
        <v>68</v>
      </c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12"/>
    </row>
    <row r="5" spans="1:75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 t="s">
        <v>69</v>
      </c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12"/>
    </row>
    <row r="6" spans="1:75" x14ac:dyDescent="0.25">
      <c r="A6" s="75"/>
      <c r="B6" s="75"/>
      <c r="C6" s="75"/>
      <c r="D6" s="75"/>
      <c r="E6" s="75"/>
      <c r="F6" s="76"/>
      <c r="G6" s="76"/>
      <c r="H6" s="76"/>
      <c r="I6" s="77"/>
      <c r="J6" s="77"/>
      <c r="K6" s="77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2"/>
      <c r="AF6" s="12"/>
      <c r="AG6" s="12"/>
      <c r="AH6" s="78" t="s">
        <v>61</v>
      </c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</row>
    <row r="7" spans="1:75" x14ac:dyDescent="0.25">
      <c r="A7" s="8"/>
      <c r="B7" s="8"/>
      <c r="C7" s="8"/>
      <c r="D7" s="8"/>
      <c r="E7" s="8"/>
      <c r="F7" s="8"/>
      <c r="G7" s="79"/>
      <c r="H7" s="79"/>
      <c r="I7" s="77"/>
      <c r="J7" s="77"/>
      <c r="K7" s="77"/>
      <c r="L7" s="77"/>
      <c r="M7" s="77"/>
      <c r="N7" s="77"/>
      <c r="O7" s="77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12"/>
      <c r="AE7" s="12"/>
      <c r="AF7" s="12"/>
      <c r="AG7" s="12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</row>
    <row r="8" spans="1:75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10" t="s">
        <v>7</v>
      </c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12"/>
      <c r="BS8" s="8"/>
      <c r="BT8" s="12"/>
    </row>
    <row r="9" spans="1:75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13" t="s">
        <v>8</v>
      </c>
      <c r="AA9" s="8"/>
      <c r="AB9" s="8"/>
      <c r="AC9" s="8"/>
      <c r="AD9" s="8"/>
      <c r="AE9" s="8"/>
      <c r="AF9" s="80" t="s">
        <v>113</v>
      </c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  <c r="AV9" s="80"/>
      <c r="AW9" s="80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</row>
    <row r="10" spans="1:75" x14ac:dyDescent="0.25">
      <c r="A10" s="81" t="s">
        <v>45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</row>
    <row r="11" spans="1:75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</row>
    <row r="12" spans="1:75" ht="15.6" customHeight="1" x14ac:dyDescent="0.25">
      <c r="A12" s="63" t="s">
        <v>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/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/>
      <c r="BR12" s="63"/>
      <c r="BS12" s="63"/>
      <c r="BT12" s="63"/>
    </row>
    <row r="13" spans="1:75" x14ac:dyDescent="0.25">
      <c r="A13" s="63" t="s">
        <v>109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  <c r="AZ13" s="63"/>
      <c r="BA13" s="63"/>
      <c r="BB13" s="63"/>
      <c r="BC13" s="63"/>
      <c r="BD13" s="63"/>
      <c r="BE13" s="63"/>
      <c r="BF13" s="63"/>
      <c r="BG13" s="63"/>
      <c r="BH13" s="63"/>
      <c r="BI13" s="63"/>
      <c r="BJ13" s="63"/>
      <c r="BK13" s="63"/>
      <c r="BL13" s="63"/>
      <c r="BM13" s="63"/>
      <c r="BN13" s="63"/>
      <c r="BO13" s="63"/>
      <c r="BP13" s="63"/>
      <c r="BQ13" s="63"/>
      <c r="BR13" s="63"/>
      <c r="BS13" s="63"/>
      <c r="BT13" s="63"/>
    </row>
    <row r="14" spans="1:75" x14ac:dyDescent="0.25">
      <c r="A14" s="71" t="s">
        <v>46</v>
      </c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71"/>
      <c r="BL14" s="71"/>
      <c r="BM14" s="71"/>
      <c r="BN14" s="71"/>
      <c r="BO14" s="71"/>
      <c r="BP14" s="71"/>
      <c r="BQ14" s="71"/>
      <c r="BR14" s="71"/>
      <c r="BS14" s="71"/>
      <c r="BT14" s="71"/>
    </row>
    <row r="15" spans="1:75" ht="12" customHeight="1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13" t="s">
        <v>9</v>
      </c>
      <c r="AB15" s="8"/>
      <c r="AC15" s="8"/>
      <c r="AD15" s="8"/>
      <c r="AE15" s="82">
        <v>45250</v>
      </c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15"/>
      <c r="AV15" s="15"/>
      <c r="AW15" s="15"/>
      <c r="AX15" s="15"/>
      <c r="AY15" s="15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12"/>
    </row>
    <row r="16" spans="1:75" x14ac:dyDescent="0.25">
      <c r="A16" s="8" t="s">
        <v>10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 t="s">
        <v>11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12"/>
      <c r="BW16" s="52">
        <f>AE15</f>
        <v>45250</v>
      </c>
    </row>
    <row r="17" spans="1:83" x14ac:dyDescent="0.25">
      <c r="A17" s="8" t="s">
        <v>12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69" t="str">
        <f>VLOOKUP(BJ17,подписанты!$B$3:$C$11,2,FALSE)</f>
        <v>Руководитель группы МТО АО «Газстройпроект»</v>
      </c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9"/>
      <c r="AJ17" s="69"/>
      <c r="AK17" s="69"/>
      <c r="AL17" s="69"/>
      <c r="AM17" s="69"/>
      <c r="AN17" s="69"/>
      <c r="AO17" s="69"/>
      <c r="AP17" s="69"/>
      <c r="AQ17" s="69"/>
      <c r="AR17" s="69"/>
      <c r="AS17" s="69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69"/>
      <c r="BG17" s="69"/>
      <c r="BH17" s="69"/>
      <c r="BI17" s="69"/>
      <c r="BJ17" s="66" t="s">
        <v>107</v>
      </c>
      <c r="BK17" s="66"/>
      <c r="BL17" s="66"/>
      <c r="BM17" s="66"/>
      <c r="BN17" s="66"/>
      <c r="BO17" s="66"/>
      <c r="BP17" s="66"/>
      <c r="BQ17" s="66"/>
      <c r="BR17" s="66"/>
      <c r="BS17" s="66"/>
      <c r="BT17" s="66"/>
    </row>
    <row r="18" spans="1:83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68" t="s">
        <v>13</v>
      </c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8"/>
      <c r="BK18" s="25"/>
      <c r="BL18" s="25"/>
      <c r="BM18" s="25"/>
      <c r="BN18" s="25"/>
      <c r="BO18" s="25"/>
      <c r="BP18" s="16"/>
      <c r="BQ18" s="16"/>
      <c r="BR18" s="16"/>
      <c r="BS18" s="16"/>
      <c r="BT18" s="16"/>
    </row>
    <row r="19" spans="1:83" x14ac:dyDescent="0.25">
      <c r="A19" s="8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65" t="str">
        <f>VLOOKUP(BJ19,подписанты!$B$3:$C$11,2,FALSE)</f>
        <v>Инженер отдела технического надзора АО «Газстройпроект»</v>
      </c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6" t="s">
        <v>66</v>
      </c>
      <c r="BK19" s="66"/>
      <c r="BL19" s="66"/>
      <c r="BM19" s="66"/>
      <c r="BN19" s="66"/>
      <c r="BO19" s="66"/>
      <c r="BP19" s="66"/>
      <c r="BQ19" s="66"/>
      <c r="BR19" s="66"/>
      <c r="BS19" s="66"/>
      <c r="BT19" s="66"/>
    </row>
    <row r="20" spans="1:83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67" t="s">
        <v>13</v>
      </c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8"/>
      <c r="BK20" s="16"/>
      <c r="BL20" s="16"/>
      <c r="BM20" s="16"/>
      <c r="BN20" s="16"/>
      <c r="BO20" s="16"/>
      <c r="BP20" s="16"/>
      <c r="BQ20" s="16"/>
      <c r="BR20" s="16"/>
      <c r="BS20" s="16"/>
      <c r="BT20" s="16"/>
    </row>
    <row r="21" spans="1:83" ht="40.799999999999997" customHeight="1" x14ac:dyDescent="0.25">
      <c r="A21" s="8" t="s">
        <v>15</v>
      </c>
      <c r="B21" s="8"/>
      <c r="C21" s="8"/>
      <c r="D21" s="8"/>
      <c r="E21" s="8"/>
      <c r="F21" s="8"/>
      <c r="G21" s="8"/>
      <c r="H21" s="8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69" t="str">
        <f>VLOOKUP(BJ21,подписанты!$B$3:$C$11,2,FALSE)</f>
        <v>Начальник отдела организации и контроля материально-технического обеспечения Управления по реализации проектов авиационной инфраструктуры ГГС</v>
      </c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9"/>
      <c r="AJ21" s="69"/>
      <c r="AK21" s="69"/>
      <c r="AL21" s="69"/>
      <c r="AM21" s="69"/>
      <c r="AN21" s="69"/>
      <c r="AO21" s="69"/>
      <c r="AP21" s="69"/>
      <c r="AQ21" s="69"/>
      <c r="AR21" s="69"/>
      <c r="AS21" s="69"/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69"/>
      <c r="BE21" s="69"/>
      <c r="BF21" s="69"/>
      <c r="BG21" s="69"/>
      <c r="BH21" s="69"/>
      <c r="BI21" s="69"/>
      <c r="BJ21" s="70" t="s">
        <v>89</v>
      </c>
      <c r="BK21" s="70"/>
      <c r="BL21" s="70"/>
      <c r="BM21" s="70"/>
      <c r="BN21" s="70"/>
      <c r="BO21" s="70"/>
      <c r="BP21" s="70"/>
      <c r="BQ21" s="70"/>
      <c r="BR21" s="70"/>
      <c r="BS21" s="70"/>
      <c r="BT21" s="70"/>
    </row>
    <row r="22" spans="1:83" x14ac:dyDescent="0.25">
      <c r="A22" s="8"/>
      <c r="B22" s="8"/>
      <c r="C22" s="8"/>
      <c r="D22" s="8"/>
      <c r="E22" s="8"/>
      <c r="F22" s="8"/>
      <c r="G22" s="8"/>
      <c r="H22" s="8"/>
      <c r="I22" s="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68" t="s">
        <v>13</v>
      </c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83" x14ac:dyDescent="0.25">
      <c r="A23" s="8" t="s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17"/>
      <c r="O23" s="72" t="s">
        <v>87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2"/>
      <c r="BL23" s="72"/>
      <c r="BM23" s="72"/>
      <c r="BN23" s="72"/>
      <c r="BO23" s="72"/>
      <c r="BP23" s="72"/>
      <c r="BQ23" s="8" t="s">
        <v>17</v>
      </c>
      <c r="BR23" s="13"/>
      <c r="BS23" s="13"/>
      <c r="BT23" s="13"/>
    </row>
    <row r="24" spans="1:83" x14ac:dyDescent="0.25">
      <c r="A24" s="8"/>
      <c r="B24" s="8"/>
      <c r="C24" s="8"/>
      <c r="D24" s="8"/>
      <c r="E24" s="64" t="s">
        <v>47</v>
      </c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Y24" s="99" t="s">
        <v>79</v>
      </c>
      <c r="BZ24" s="99"/>
      <c r="CA24" s="99"/>
      <c r="CB24" s="99"/>
      <c r="CC24" s="99"/>
      <c r="CD24" s="99"/>
      <c r="CE24" s="99"/>
    </row>
    <row r="25" spans="1:83" ht="13.8" customHeight="1" x14ac:dyDescent="0.25">
      <c r="A25" s="63" t="s">
        <v>122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  <c r="BA25" s="63"/>
      <c r="BB25" s="63"/>
      <c r="BC25" s="63"/>
      <c r="BD25" s="63"/>
      <c r="BE25" s="63"/>
      <c r="BF25" s="63"/>
      <c r="BG25" s="63"/>
      <c r="BH25" s="63"/>
      <c r="BI25" s="63"/>
      <c r="BJ25" s="63"/>
      <c r="BK25" s="63"/>
      <c r="BL25" s="63"/>
      <c r="BM25" s="63"/>
      <c r="BN25" s="63"/>
      <c r="BO25" s="63"/>
      <c r="BP25" s="63"/>
      <c r="BQ25" s="63"/>
      <c r="BR25" s="63"/>
      <c r="BS25" s="63"/>
      <c r="BT25" s="63"/>
      <c r="BY25" s="99"/>
      <c r="BZ25" s="99"/>
      <c r="CA25" s="99"/>
      <c r="CB25" s="99"/>
      <c r="CC25" s="99"/>
      <c r="CD25" s="99"/>
      <c r="CE25" s="99"/>
    </row>
    <row r="26" spans="1:83" ht="13.8" customHeight="1" x14ac:dyDescent="0.25">
      <c r="A26" s="63" t="s">
        <v>123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  <c r="AZ26" s="63"/>
      <c r="BA26" s="63"/>
      <c r="BB26" s="63"/>
      <c r="BC26" s="63"/>
      <c r="BD26" s="63"/>
      <c r="BE26" s="63"/>
      <c r="BF26" s="63"/>
      <c r="BG26" s="63"/>
      <c r="BH26" s="63"/>
      <c r="BI26" s="63"/>
      <c r="BJ26" s="63"/>
      <c r="BK26" s="63"/>
      <c r="BL26" s="63"/>
      <c r="BM26" s="63"/>
      <c r="BN26" s="63"/>
      <c r="BO26" s="63"/>
      <c r="BP26" s="63"/>
      <c r="BQ26" s="63"/>
      <c r="BR26" s="63"/>
      <c r="BS26" s="63"/>
      <c r="BT26" s="63"/>
      <c r="BY26" s="58"/>
      <c r="BZ26" s="58"/>
      <c r="CA26" s="58"/>
      <c r="CB26" s="58"/>
      <c r="CC26" s="58"/>
      <c r="CD26" s="58"/>
      <c r="CE26" s="58"/>
    </row>
    <row r="27" spans="1:83" x14ac:dyDescent="0.25">
      <c r="A27" s="102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2"/>
      <c r="BF27" s="102"/>
      <c r="BG27" s="102"/>
      <c r="BH27" s="102"/>
      <c r="BI27" s="102"/>
      <c r="BJ27" s="102"/>
      <c r="BK27" s="102"/>
      <c r="BL27" s="102"/>
      <c r="BM27" s="102"/>
      <c r="BN27" s="102"/>
      <c r="BO27" s="102"/>
      <c r="BP27" s="102"/>
      <c r="BQ27" s="102"/>
      <c r="BR27" s="102"/>
      <c r="BS27" s="102"/>
      <c r="BT27" s="102"/>
      <c r="BY27" s="99"/>
      <c r="BZ27" s="99"/>
      <c r="CA27" s="99"/>
      <c r="CB27" s="99"/>
      <c r="CC27" s="99"/>
      <c r="CD27" s="99"/>
    </row>
    <row r="28" spans="1:83" x14ac:dyDescent="0.25">
      <c r="A28" s="10" t="s">
        <v>18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54"/>
      <c r="S28" s="8"/>
      <c r="T28" s="53"/>
      <c r="U28" s="103" t="s">
        <v>119</v>
      </c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Y28" s="99"/>
      <c r="BZ28" s="99"/>
      <c r="CA28" s="99"/>
      <c r="CB28" s="99"/>
      <c r="CC28" s="99"/>
      <c r="CD28" s="99"/>
    </row>
    <row r="29" spans="1:83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106" t="s">
        <v>19</v>
      </c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  <c r="AI29" s="106"/>
      <c r="AJ29" s="106"/>
      <c r="AK29" s="106"/>
      <c r="AL29" s="106"/>
      <c r="AM29" s="106"/>
      <c r="AN29" s="106"/>
      <c r="AO29" s="106"/>
      <c r="AP29" s="106"/>
      <c r="AQ29" s="106"/>
      <c r="AR29" s="106"/>
      <c r="AS29" s="106"/>
      <c r="AT29" s="106"/>
      <c r="AU29" s="106"/>
      <c r="AV29" s="106"/>
      <c r="AW29" s="106"/>
      <c r="AX29" s="106"/>
      <c r="AY29" s="106"/>
      <c r="AZ29" s="106"/>
      <c r="BA29" s="106"/>
      <c r="BB29" s="106"/>
      <c r="BC29" s="106"/>
      <c r="BD29" s="106"/>
      <c r="BE29" s="106"/>
      <c r="BF29" s="106"/>
      <c r="BG29" s="106"/>
      <c r="BH29" s="106"/>
      <c r="BI29" s="106"/>
      <c r="BJ29" s="106"/>
      <c r="BK29" s="106"/>
      <c r="BL29" s="106"/>
      <c r="BM29" s="106"/>
      <c r="BN29" s="106"/>
      <c r="BO29" s="106"/>
      <c r="BP29" s="106"/>
      <c r="BQ29" s="106"/>
      <c r="BR29" s="106"/>
      <c r="BS29" s="106"/>
      <c r="BT29" s="106"/>
    </row>
    <row r="30" spans="1:83" x14ac:dyDescent="0.25">
      <c r="A30" s="10" t="s">
        <v>20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0"/>
      <c r="T30" s="20"/>
      <c r="U30" s="107" t="s">
        <v>51</v>
      </c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7"/>
      <c r="AH30" s="107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</row>
    <row r="31" spans="1:83" x14ac:dyDescent="0.25">
      <c r="A31" s="67" t="s">
        <v>21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Y31" s="42" t="s">
        <v>80</v>
      </c>
    </row>
    <row r="32" spans="1:83" x14ac:dyDescent="0.25">
      <c r="A32" s="8"/>
      <c r="B32" s="8"/>
      <c r="C32" s="8"/>
      <c r="D32" s="8" t="s">
        <v>22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G32" s="7"/>
      <c r="AH32" s="7"/>
      <c r="AI32" s="7"/>
      <c r="AJ32" s="7"/>
      <c r="AK32" s="97"/>
      <c r="AL32" s="97"/>
      <c r="AM32" s="97"/>
      <c r="AN32" s="97"/>
      <c r="AO32" s="97"/>
      <c r="AP32" s="97"/>
      <c r="AQ32" s="97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97"/>
      <c r="BF32" s="97"/>
      <c r="BG32" s="97"/>
      <c r="BH32" s="97"/>
      <c r="BI32" s="97"/>
      <c r="BJ32" s="97"/>
      <c r="BK32" s="97"/>
      <c r="BL32" s="97"/>
      <c r="BM32" s="97"/>
      <c r="BN32" s="97"/>
      <c r="BO32" s="97"/>
      <c r="BP32" s="97"/>
      <c r="BQ32" s="97"/>
      <c r="BR32" s="97"/>
      <c r="BS32" s="97"/>
      <c r="BT32" s="97"/>
      <c r="BY32" s="99" t="s">
        <v>81</v>
      </c>
      <c r="BZ32" s="99"/>
      <c r="CA32" s="99"/>
      <c r="CB32" s="99"/>
      <c r="CC32" s="99"/>
      <c r="CD32" s="99"/>
      <c r="CE32" s="99"/>
    </row>
    <row r="33" spans="1:83" x14ac:dyDescent="0.25">
      <c r="A33" s="8" t="s">
        <v>23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29"/>
      <c r="AJ33" s="8"/>
      <c r="AK33" s="100" t="s">
        <v>110</v>
      </c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Y33" s="99"/>
      <c r="BZ33" s="99"/>
      <c r="CA33" s="99"/>
      <c r="CB33" s="99"/>
      <c r="CC33" s="99"/>
      <c r="CD33" s="99"/>
      <c r="CE33" s="99"/>
    </row>
    <row r="34" spans="1:83" x14ac:dyDescent="0.25">
      <c r="A34" s="98" t="s">
        <v>111</v>
      </c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Y34" s="99"/>
      <c r="BZ34" s="99"/>
      <c r="CA34" s="99"/>
      <c r="CB34" s="99"/>
      <c r="CC34" s="99"/>
      <c r="CD34" s="99"/>
      <c r="CE34" s="99"/>
    </row>
    <row r="35" spans="1:83" x14ac:dyDescent="0.25">
      <c r="A35" s="98" t="s">
        <v>112</v>
      </c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56"/>
      <c r="BY35" s="99"/>
      <c r="BZ35" s="99"/>
      <c r="CA35" s="99"/>
      <c r="CB35" s="99"/>
      <c r="CC35" s="99"/>
      <c r="CD35" s="99"/>
      <c r="CE35" s="99"/>
    </row>
    <row r="36" spans="1:83" x14ac:dyDescent="0.25">
      <c r="A36" s="104" t="s">
        <v>114</v>
      </c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56"/>
      <c r="BY36" s="99"/>
      <c r="BZ36" s="99"/>
      <c r="CA36" s="99"/>
      <c r="CB36" s="99"/>
      <c r="CC36" s="99"/>
      <c r="CD36" s="99"/>
      <c r="CE36" s="99"/>
    </row>
    <row r="37" spans="1:83" x14ac:dyDescent="0.25">
      <c r="A37" s="104" t="s">
        <v>115</v>
      </c>
      <c r="B37" s="104"/>
      <c r="C37" s="104"/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56"/>
      <c r="BY37" s="99"/>
      <c r="BZ37" s="99"/>
      <c r="CA37" s="99"/>
      <c r="CB37" s="99"/>
      <c r="CC37" s="99"/>
      <c r="CD37" s="99"/>
      <c r="CE37" s="99"/>
    </row>
    <row r="38" spans="1:83" x14ac:dyDescent="0.25">
      <c r="A38" s="104" t="s">
        <v>116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56"/>
      <c r="BY38" s="99"/>
      <c r="BZ38" s="99"/>
      <c r="CA38" s="99"/>
      <c r="CB38" s="99"/>
      <c r="CC38" s="99"/>
      <c r="CD38" s="99"/>
      <c r="CE38" s="99"/>
    </row>
    <row r="39" spans="1:83" x14ac:dyDescent="0.25">
      <c r="A39" s="68" t="s">
        <v>24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8"/>
      <c r="BK39" s="68"/>
      <c r="BL39" s="68"/>
      <c r="BM39" s="68"/>
      <c r="BN39" s="68"/>
      <c r="BO39" s="68"/>
      <c r="BP39" s="68"/>
      <c r="BQ39" s="68"/>
      <c r="BR39" s="68"/>
      <c r="BS39" s="68"/>
      <c r="BT39" s="68"/>
      <c r="BY39" s="99"/>
      <c r="BZ39" s="99"/>
      <c r="CA39" s="99"/>
      <c r="CB39" s="99"/>
      <c r="CC39" s="99"/>
      <c r="CD39" s="99"/>
      <c r="CE39" s="99"/>
    </row>
    <row r="40" spans="1:83" x14ac:dyDescent="0.25">
      <c r="A40" s="101" t="s">
        <v>57</v>
      </c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Y40" s="99"/>
      <c r="BZ40" s="99"/>
      <c r="CA40" s="99"/>
      <c r="CB40" s="99"/>
      <c r="CC40" s="99"/>
      <c r="CD40" s="99"/>
      <c r="CE40" s="99"/>
    </row>
    <row r="41" spans="1:83" ht="13.8" customHeight="1" x14ac:dyDescent="0.25">
      <c r="A41" s="17" t="s">
        <v>58</v>
      </c>
      <c r="B41" s="18"/>
      <c r="C41" s="18"/>
      <c r="D41" s="63" t="s">
        <v>120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3"/>
      <c r="BK41" s="63"/>
      <c r="BL41" s="63"/>
      <c r="BM41" s="63"/>
      <c r="BN41" s="63"/>
      <c r="BO41" s="63"/>
      <c r="BP41" s="63"/>
      <c r="BQ41" s="63"/>
      <c r="BR41" s="63"/>
      <c r="BS41" s="63"/>
      <c r="BT41" s="63"/>
      <c r="BU41" s="63"/>
      <c r="BV41" s="63"/>
      <c r="BW41" s="63"/>
      <c r="BY41" s="99"/>
      <c r="BZ41" s="99"/>
      <c r="CA41" s="99"/>
      <c r="CB41" s="99"/>
      <c r="CC41" s="99"/>
      <c r="CD41" s="99"/>
      <c r="CE41" s="99"/>
    </row>
    <row r="42" spans="1:83" ht="13.8" customHeight="1" x14ac:dyDescent="0.25">
      <c r="A42" s="17"/>
      <c r="B42" s="18"/>
      <c r="C42" s="18"/>
      <c r="D42" s="63" t="s">
        <v>121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3"/>
      <c r="BK42" s="63"/>
      <c r="BL42" s="63"/>
      <c r="BM42" s="63"/>
      <c r="BN42" s="63"/>
      <c r="BO42" s="63"/>
      <c r="BP42" s="63"/>
      <c r="BQ42" s="63"/>
      <c r="BR42" s="63"/>
      <c r="BS42" s="63"/>
      <c r="BT42" s="63"/>
      <c r="BU42" s="63"/>
      <c r="BV42" s="63"/>
      <c r="BW42" s="63"/>
      <c r="BY42" s="99"/>
      <c r="BZ42" s="99"/>
      <c r="CA42" s="99"/>
      <c r="CB42" s="99"/>
      <c r="CC42" s="99"/>
      <c r="CD42" s="99"/>
      <c r="CE42" s="99"/>
    </row>
    <row r="43" spans="1:83" x14ac:dyDescent="0.25">
      <c r="A43" s="86" t="s">
        <v>25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Y43" s="99"/>
      <c r="BZ43" s="99"/>
      <c r="CA43" s="99"/>
      <c r="CB43" s="99"/>
      <c r="CC43" s="99"/>
      <c r="CD43" s="99"/>
      <c r="CE43" s="99"/>
    </row>
    <row r="44" spans="1:83" x14ac:dyDescent="0.25">
      <c r="A44" s="8" t="s">
        <v>26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31"/>
      <c r="Y44" s="108" t="s">
        <v>125</v>
      </c>
      <c r="Z44" s="109"/>
      <c r="AA44" s="109"/>
      <c r="AB44" s="109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09"/>
      <c r="BJ44" s="109"/>
      <c r="BK44" s="109"/>
      <c r="BL44" s="109"/>
      <c r="BM44" s="109"/>
      <c r="BN44" s="109"/>
      <c r="BO44" s="109"/>
      <c r="BP44" s="109"/>
      <c r="BQ44" s="109"/>
      <c r="BR44" s="109"/>
      <c r="BS44" s="109"/>
      <c r="BT44" s="109"/>
      <c r="BY44" s="99"/>
      <c r="BZ44" s="99"/>
      <c r="CA44" s="99"/>
      <c r="CB44" s="99"/>
      <c r="CC44" s="99"/>
      <c r="CD44" s="99"/>
      <c r="CE44" s="99"/>
    </row>
    <row r="45" spans="1:83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31"/>
      <c r="Y45" s="108" t="s">
        <v>124</v>
      </c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  <c r="BA45" s="109"/>
      <c r="BB45" s="109"/>
      <c r="BC45" s="109"/>
      <c r="BD45" s="109"/>
      <c r="BE45" s="109"/>
      <c r="BF45" s="109"/>
      <c r="BG45" s="109"/>
      <c r="BH45" s="109"/>
      <c r="BI45" s="109"/>
      <c r="BJ45" s="109"/>
      <c r="BK45" s="109"/>
      <c r="BL45" s="109"/>
      <c r="BM45" s="109"/>
      <c r="BN45" s="109"/>
      <c r="BO45" s="109"/>
      <c r="BP45" s="109"/>
      <c r="BQ45" s="109"/>
      <c r="BR45" s="109"/>
      <c r="BS45" s="109"/>
      <c r="BT45" s="109"/>
      <c r="BY45" s="99"/>
      <c r="BZ45" s="99"/>
      <c r="CA45" s="99"/>
      <c r="CB45" s="99"/>
      <c r="CC45" s="99"/>
      <c r="CD45" s="99"/>
      <c r="CE45" s="99"/>
    </row>
    <row r="46" spans="1:83" ht="16.8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9"/>
      <c r="Y46" s="67" t="s">
        <v>27</v>
      </c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67"/>
      <c r="BP46" s="67"/>
      <c r="BQ46" s="67"/>
      <c r="BR46" s="67"/>
      <c r="BS46" s="67"/>
      <c r="BT46" s="67"/>
      <c r="BY46" s="99"/>
      <c r="BZ46" s="99"/>
      <c r="CA46" s="99"/>
      <c r="CB46" s="99"/>
      <c r="CC46" s="99"/>
      <c r="CD46" s="99"/>
      <c r="CE46" s="99"/>
    </row>
    <row r="47" spans="1:83" ht="13.8" customHeight="1" x14ac:dyDescent="0.25">
      <c r="A47" s="8" t="s">
        <v>28</v>
      </c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7"/>
      <c r="AG47" s="7"/>
      <c r="AH47" s="7"/>
      <c r="AI47" s="7"/>
      <c r="AJ47" s="92" t="s">
        <v>29</v>
      </c>
      <c r="AK47" s="92"/>
      <c r="AL47" s="92"/>
      <c r="AM47" s="92"/>
      <c r="AN47" s="92"/>
      <c r="AO47" s="92"/>
      <c r="AP47" s="92"/>
      <c r="AQ47" s="92"/>
      <c r="AR47" s="92"/>
      <c r="AS47" s="92"/>
      <c r="AT47" s="93" t="s">
        <v>70</v>
      </c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Y47" s="99"/>
      <c r="BZ47" s="99"/>
      <c r="CA47" s="99"/>
      <c r="CB47" s="99"/>
      <c r="CC47" s="99"/>
      <c r="CD47" s="99"/>
      <c r="CE47" s="99"/>
    </row>
    <row r="48" spans="1:83" ht="13.8" customHeight="1" x14ac:dyDescent="0.25">
      <c r="A48" s="10" t="s">
        <v>30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53"/>
      <c r="O48" s="53"/>
      <c r="P48" s="53"/>
      <c r="Q48" s="94" t="str">
        <f>U28</f>
        <v>ПП2020РД-1.2-61.17-ИТП; ПП2020РД-1.2-61.17-ИТП.СО; изм.4; лист 11</v>
      </c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4"/>
      <c r="AY48" s="94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4"/>
      <c r="BQ48" s="94"/>
      <c r="BR48" s="94"/>
      <c r="BS48" s="94"/>
      <c r="BT48" s="94"/>
      <c r="BU48" s="55"/>
      <c r="BY48" s="99"/>
      <c r="BZ48" s="99"/>
      <c r="CA48" s="99"/>
      <c r="CB48" s="99"/>
      <c r="CC48" s="99"/>
      <c r="CD48" s="99"/>
      <c r="CE48" s="99"/>
    </row>
    <row r="49" spans="1:83" x14ac:dyDescent="0.25">
      <c r="A49" s="8"/>
      <c r="B49" s="8"/>
      <c r="C49" s="8"/>
      <c r="D49" s="10" t="s">
        <v>31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20"/>
      <c r="X49" s="8"/>
      <c r="Y49" s="30"/>
      <c r="Z49" s="30"/>
      <c r="AA49" s="95" t="str">
        <f>AK33</f>
        <v>Сертификат качества №72458751 от 07.11.2023;</v>
      </c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5"/>
      <c r="BQ49" s="95"/>
      <c r="BR49" s="95"/>
      <c r="BS49" s="95"/>
      <c r="BT49" s="95"/>
      <c r="BY49" s="99"/>
      <c r="BZ49" s="99"/>
      <c r="CA49" s="99"/>
      <c r="CB49" s="99"/>
      <c r="CC49" s="99"/>
      <c r="CD49" s="99"/>
      <c r="CE49" s="99"/>
    </row>
    <row r="50" spans="1:83" x14ac:dyDescent="0.25">
      <c r="A50" s="96" t="str">
        <f>A34</f>
        <v xml:space="preserve">Сертификат качества №72551367 от 04.10.2023; Декларация о соответствии № ЕАЭС N RU Д-RU.РА01.В.81703/21 </v>
      </c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/>
      <c r="BS50" s="96"/>
      <c r="BT50" s="96"/>
    </row>
    <row r="51" spans="1:83" s="61" customFormat="1" x14ac:dyDescent="0.25">
      <c r="A51" s="110" t="str">
        <f>A35</f>
        <v>с 24.02.2021 по 23.02.2026, Свидетельство о гос. регистрации № RU.61.РЦ.10.013.Е.000084.09.15 от 08.09.2015</v>
      </c>
      <c r="B51" s="110"/>
      <c r="C51" s="110"/>
      <c r="D51" s="110"/>
      <c r="E51" s="110"/>
      <c r="F51" s="110"/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  <c r="AR51" s="110"/>
      <c r="AS51" s="110"/>
      <c r="AT51" s="110"/>
      <c r="AU51" s="110"/>
      <c r="AV51" s="110"/>
      <c r="AW51" s="110"/>
      <c r="AX51" s="110"/>
      <c r="AY51" s="110"/>
      <c r="AZ51" s="110"/>
      <c r="BA51" s="110"/>
      <c r="BB51" s="110"/>
      <c r="BC51" s="110"/>
      <c r="BD51" s="110"/>
      <c r="BE51" s="110"/>
      <c r="BF51" s="110"/>
      <c r="BG51" s="110"/>
      <c r="BH51" s="110"/>
      <c r="BI51" s="110"/>
      <c r="BJ51" s="110"/>
      <c r="BK51" s="110"/>
      <c r="BL51" s="110"/>
      <c r="BM51" s="110"/>
      <c r="BN51" s="110"/>
      <c r="BO51" s="110"/>
      <c r="BP51" s="110"/>
      <c r="BQ51" s="110"/>
      <c r="BR51" s="110"/>
      <c r="BS51" s="110"/>
    </row>
    <row r="52" spans="1:83" s="60" customFormat="1" x14ac:dyDescent="0.25">
      <c r="A52" s="110" t="str">
        <f>A36</f>
        <v>Сертификат качества № 20-088-101184-23 от 25.03.2023, Сертификат качества № 20-088-003288-23 от 08.07.2023,</v>
      </c>
      <c r="B52" s="110"/>
      <c r="C52" s="110"/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  <c r="AE52" s="110"/>
      <c r="AF52" s="110"/>
      <c r="AG52" s="110"/>
      <c r="AH52" s="110"/>
      <c r="AI52" s="110"/>
      <c r="AJ52" s="110"/>
      <c r="AK52" s="110"/>
      <c r="AL52" s="110"/>
      <c r="AM52" s="110"/>
      <c r="AN52" s="110"/>
      <c r="AO52" s="110"/>
      <c r="AP52" s="110"/>
      <c r="AQ52" s="110"/>
      <c r="AR52" s="110"/>
      <c r="AS52" s="110"/>
      <c r="AT52" s="110"/>
      <c r="AU52" s="110"/>
      <c r="AV52" s="110"/>
      <c r="AW52" s="110"/>
      <c r="AX52" s="110"/>
      <c r="AY52" s="110"/>
      <c r="AZ52" s="110"/>
      <c r="BA52" s="110"/>
      <c r="BB52" s="110"/>
      <c r="BC52" s="110"/>
      <c r="BD52" s="110"/>
      <c r="BE52" s="110"/>
      <c r="BF52" s="110"/>
      <c r="BG52" s="110"/>
      <c r="BH52" s="110"/>
      <c r="BI52" s="110"/>
      <c r="BJ52" s="110"/>
      <c r="BK52" s="110"/>
      <c r="BL52" s="110"/>
      <c r="BM52" s="110"/>
      <c r="BN52" s="110"/>
      <c r="BO52" s="110"/>
      <c r="BP52" s="110"/>
      <c r="BQ52" s="110"/>
      <c r="BR52" s="110"/>
      <c r="BS52" s="110"/>
    </row>
    <row r="53" spans="1:83" s="60" customFormat="1" x14ac:dyDescent="0.25">
      <c r="A53" s="110" t="str">
        <f>A37</f>
        <v xml:space="preserve">Сертификат соответствия № ЮАЧ1.RU.1406.Н.00200 с 25.11.2022 по 24.11.2025, Экспертное заключение № 13-04-244 </v>
      </c>
      <c r="B53" s="110"/>
      <c r="C53" s="110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0"/>
      <c r="AQ53" s="110"/>
      <c r="AR53" s="110"/>
      <c r="AS53" s="110"/>
      <c r="AT53" s="110"/>
      <c r="AU53" s="110"/>
      <c r="AV53" s="110"/>
      <c r="AW53" s="110"/>
      <c r="AX53" s="110"/>
      <c r="AY53" s="110"/>
      <c r="AZ53" s="110"/>
      <c r="BA53" s="110"/>
      <c r="BB53" s="110"/>
      <c r="BC53" s="110"/>
      <c r="BD53" s="110"/>
      <c r="BE53" s="110"/>
      <c r="BF53" s="110"/>
      <c r="BG53" s="110"/>
      <c r="BH53" s="110"/>
      <c r="BI53" s="110"/>
      <c r="BJ53" s="110"/>
      <c r="BK53" s="110"/>
      <c r="BL53" s="110"/>
      <c r="BM53" s="110"/>
      <c r="BN53" s="110"/>
      <c r="BO53" s="110"/>
      <c r="BP53" s="110"/>
      <c r="BQ53" s="110"/>
      <c r="BR53" s="110"/>
      <c r="BS53" s="110"/>
    </row>
    <row r="54" spans="1:83" s="60" customFormat="1" x14ac:dyDescent="0.25">
      <c r="A54" s="110" t="str">
        <f>A38</f>
        <v>от 19.04.2013.</v>
      </c>
      <c r="B54" s="110"/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0"/>
      <c r="AQ54" s="110"/>
      <c r="AR54" s="110"/>
      <c r="AS54" s="110"/>
      <c r="AT54" s="110"/>
      <c r="AU54" s="110"/>
      <c r="AV54" s="110"/>
      <c r="AW54" s="110"/>
      <c r="AX54" s="110"/>
      <c r="AY54" s="110"/>
      <c r="AZ54" s="110"/>
      <c r="BA54" s="110"/>
      <c r="BB54" s="110"/>
      <c r="BC54" s="110"/>
      <c r="BD54" s="110"/>
      <c r="BE54" s="110"/>
      <c r="BF54" s="110"/>
      <c r="BG54" s="110"/>
      <c r="BH54" s="110"/>
      <c r="BI54" s="110"/>
      <c r="BJ54" s="110"/>
      <c r="BK54" s="110"/>
      <c r="BL54" s="110"/>
      <c r="BM54" s="110"/>
      <c r="BN54" s="110"/>
      <c r="BO54" s="110"/>
      <c r="BP54" s="110"/>
      <c r="BQ54" s="110"/>
      <c r="BR54" s="110"/>
      <c r="BS54" s="110"/>
    </row>
    <row r="55" spans="1:83" x14ac:dyDescent="0.2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88" t="s">
        <v>32</v>
      </c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Y55" t="s">
        <v>82</v>
      </c>
    </row>
    <row r="56" spans="1:83" x14ac:dyDescent="0.25">
      <c r="A56" s="8" t="s">
        <v>33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22"/>
    </row>
    <row r="57" spans="1:83" x14ac:dyDescent="0.25">
      <c r="A57" s="32"/>
      <c r="B57" s="8"/>
      <c r="C57" s="8"/>
      <c r="D57" s="8" t="s">
        <v>34</v>
      </c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7"/>
      <c r="X57" s="7"/>
      <c r="Y57" s="7"/>
      <c r="Z57" s="7"/>
      <c r="AA57" s="32"/>
      <c r="AB57" s="7"/>
      <c r="AC57" s="32"/>
      <c r="AD57" s="89" t="s">
        <v>35</v>
      </c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</row>
    <row r="58" spans="1:83" x14ac:dyDescent="0.25">
      <c r="A58" s="8"/>
      <c r="B58" s="8"/>
      <c r="C58" s="8"/>
      <c r="D58" s="8"/>
      <c r="E58" s="8"/>
      <c r="F58" s="8"/>
      <c r="G58" s="8"/>
      <c r="H58" s="8"/>
      <c r="I58" s="8"/>
      <c r="J58" s="91" t="s">
        <v>36</v>
      </c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J58" s="91"/>
      <c r="AK58" s="91"/>
      <c r="AL58" s="91"/>
      <c r="AM58" s="91"/>
      <c r="AN58" s="91"/>
      <c r="AO58" s="91"/>
      <c r="AP58" s="91"/>
      <c r="AQ58" s="91"/>
      <c r="AR58" s="91"/>
      <c r="AS58" s="91"/>
      <c r="AT58" s="91"/>
      <c r="AU58" s="91"/>
      <c r="AV58" s="91"/>
      <c r="AW58" s="91"/>
      <c r="AX58" s="91"/>
      <c r="AY58" s="91"/>
      <c r="AZ58" s="91"/>
      <c r="BA58" s="91"/>
      <c r="BB58" s="91"/>
      <c r="BC58" s="91"/>
      <c r="BD58" s="91"/>
      <c r="BE58" s="91"/>
      <c r="BF58" s="91"/>
      <c r="BG58" s="91"/>
      <c r="BH58" s="91"/>
      <c r="BI58" s="91"/>
      <c r="BJ58" s="91"/>
      <c r="BK58" s="91"/>
      <c r="BL58" s="91"/>
      <c r="BM58" s="91"/>
      <c r="BN58" s="91"/>
      <c r="BO58" s="91"/>
      <c r="BP58" s="91"/>
      <c r="BQ58" s="91"/>
      <c r="BR58" s="91"/>
      <c r="BS58" s="91"/>
      <c r="BT58" s="91"/>
      <c r="BY58" t="s">
        <v>83</v>
      </c>
    </row>
    <row r="59" spans="1:83" x14ac:dyDescent="0.25">
      <c r="A59" s="10" t="s">
        <v>37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9"/>
      <c r="V59" s="26"/>
      <c r="W59" s="33"/>
      <c r="X59" s="27"/>
      <c r="Y59" s="87" t="str">
        <f>U28</f>
        <v>ПП2020РД-1.2-61.17-ИТП; ПП2020РД-1.2-61.17-ИТП.СО; изм.4; лист 11</v>
      </c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7"/>
      <c r="BI59" s="87"/>
      <c r="BJ59" s="87"/>
      <c r="BK59" s="87"/>
      <c r="BL59" s="87"/>
      <c r="BM59" s="87"/>
      <c r="BN59" s="87"/>
      <c r="BO59" s="87"/>
      <c r="BP59" s="87"/>
      <c r="BQ59" s="87"/>
      <c r="BR59" s="87"/>
      <c r="BS59" s="87"/>
      <c r="BT59" s="87"/>
    </row>
    <row r="60" spans="1:83" x14ac:dyDescent="0.25">
      <c r="A60" s="8" t="s">
        <v>38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32"/>
      <c r="M60" s="23"/>
      <c r="N60" s="90" t="s">
        <v>117</v>
      </c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0"/>
      <c r="AO60" s="90"/>
      <c r="AP60" s="90"/>
      <c r="AQ60" s="90"/>
      <c r="AR60" s="90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</row>
    <row r="61" spans="1:83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32"/>
      <c r="M61" s="23"/>
      <c r="N61" s="105" t="s">
        <v>118</v>
      </c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  <c r="AD61" s="105"/>
      <c r="AE61" s="105"/>
      <c r="AF61" s="105"/>
      <c r="AG61" s="105"/>
      <c r="AH61" s="105"/>
      <c r="AI61" s="105"/>
      <c r="AJ61" s="105"/>
      <c r="AK61" s="105"/>
      <c r="AL61" s="105"/>
      <c r="AM61" s="105"/>
      <c r="AN61" s="105"/>
      <c r="AO61" s="105"/>
      <c r="AP61" s="105"/>
      <c r="AQ61" s="105"/>
      <c r="AR61" s="105"/>
      <c r="AS61" s="105"/>
      <c r="AT61" s="105"/>
      <c r="AU61" s="105"/>
      <c r="AV61" s="105"/>
      <c r="AW61" s="105"/>
      <c r="AX61" s="105"/>
      <c r="AY61" s="105"/>
      <c r="AZ61" s="105"/>
      <c r="BA61" s="105"/>
      <c r="BB61" s="105"/>
      <c r="BC61" s="105"/>
      <c r="BD61" s="105"/>
      <c r="BE61" s="105"/>
      <c r="BF61" s="105"/>
      <c r="BG61" s="105"/>
      <c r="BH61" s="105"/>
      <c r="BI61" s="105"/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59"/>
    </row>
    <row r="62" spans="1:83" x14ac:dyDescent="0.25">
      <c r="A62" s="8" t="s">
        <v>39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12"/>
    </row>
    <row r="63" spans="1:83" x14ac:dyDescent="0.25">
      <c r="A63" s="8" t="s">
        <v>12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3" t="str">
        <f>BJ17</f>
        <v>Кострова Н.Л.</v>
      </c>
      <c r="Y63" s="83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"/>
      <c r="AP63" s="8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3"/>
      <c r="BD63" s="73"/>
      <c r="BE63" s="73"/>
      <c r="BF63" s="8"/>
      <c r="BG63" s="8"/>
      <c r="BH63" s="74">
        <f>AE15</f>
        <v>45250</v>
      </c>
      <c r="BI63" s="74"/>
      <c r="BJ63" s="74"/>
      <c r="BK63" s="74"/>
      <c r="BL63" s="74"/>
      <c r="BM63" s="74"/>
      <c r="BN63" s="74"/>
      <c r="BO63" s="74"/>
      <c r="BP63" s="74"/>
      <c r="BQ63" s="74"/>
      <c r="BR63" s="74"/>
      <c r="BS63" s="74"/>
      <c r="BT63" s="12"/>
    </row>
    <row r="64" spans="1:83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68" t="s">
        <v>59</v>
      </c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28"/>
      <c r="AP64" s="28"/>
      <c r="AQ64" s="68" t="s">
        <v>40</v>
      </c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28"/>
      <c r="BG64" s="28"/>
      <c r="BH64" s="68" t="s">
        <v>41</v>
      </c>
      <c r="BI64" s="68"/>
      <c r="BJ64" s="68"/>
      <c r="BK64" s="68"/>
      <c r="BL64" s="68"/>
      <c r="BM64" s="68"/>
      <c r="BN64" s="68"/>
      <c r="BO64" s="68"/>
      <c r="BP64" s="68"/>
      <c r="BQ64" s="68"/>
      <c r="BR64" s="68"/>
      <c r="BS64" s="68"/>
      <c r="BT64" s="24"/>
    </row>
    <row r="65" spans="1:77" x14ac:dyDescent="0.25">
      <c r="A65" s="8" t="s">
        <v>42</v>
      </c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2"/>
    </row>
    <row r="66" spans="1:77" x14ac:dyDescent="0.25">
      <c r="A66" s="8" t="s">
        <v>43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3" t="str">
        <f>BJ19</f>
        <v>Халыгов Э. А.</v>
      </c>
      <c r="Y66" s="83"/>
      <c r="Z66" s="83"/>
      <c r="AA66" s="83"/>
      <c r="AB66" s="83"/>
      <c r="AC66" s="83"/>
      <c r="AD66" s="83"/>
      <c r="AE66" s="83"/>
      <c r="AF66" s="83"/>
      <c r="AG66" s="83"/>
      <c r="AH66" s="83"/>
      <c r="AI66" s="83"/>
      <c r="AJ66" s="83"/>
      <c r="AK66" s="83"/>
      <c r="AL66" s="83"/>
      <c r="AM66" s="83"/>
      <c r="AN66" s="83"/>
      <c r="AO66" s="8"/>
      <c r="AP66" s="8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3"/>
      <c r="BD66" s="73"/>
      <c r="BE66" s="73"/>
      <c r="BF66" s="8"/>
      <c r="BG66" s="8"/>
      <c r="BH66" s="74">
        <f>BH63</f>
        <v>45250</v>
      </c>
      <c r="BI66" s="72"/>
      <c r="BJ66" s="72"/>
      <c r="BK66" s="72"/>
      <c r="BL66" s="72"/>
      <c r="BM66" s="72"/>
      <c r="BN66" s="72"/>
      <c r="BO66" s="72"/>
      <c r="BP66" s="72"/>
      <c r="BQ66" s="72"/>
      <c r="BR66" s="72"/>
      <c r="BS66" s="72"/>
      <c r="BT66" s="12"/>
    </row>
    <row r="67" spans="1:77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68" t="s">
        <v>59</v>
      </c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28"/>
      <c r="AP67" s="28"/>
      <c r="AQ67" s="68" t="s">
        <v>40</v>
      </c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28"/>
      <c r="BG67" s="28"/>
      <c r="BH67" s="68" t="s">
        <v>41</v>
      </c>
      <c r="BI67" s="68"/>
      <c r="BJ67" s="68"/>
      <c r="BK67" s="68"/>
      <c r="BL67" s="68"/>
      <c r="BM67" s="68"/>
      <c r="BN67" s="68"/>
      <c r="BO67" s="68"/>
      <c r="BP67" s="68"/>
      <c r="BQ67" s="68"/>
      <c r="BR67" s="68"/>
      <c r="BS67" s="68"/>
      <c r="BT67" s="12"/>
    </row>
    <row r="68" spans="1:77" x14ac:dyDescent="0.25">
      <c r="A68" s="8" t="s">
        <v>39</v>
      </c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2"/>
      <c r="BY68" t="s">
        <v>84</v>
      </c>
    </row>
    <row r="69" spans="1:77" x14ac:dyDescent="0.25">
      <c r="A69" s="8" t="s">
        <v>44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72" t="str">
        <f>BJ21</f>
        <v>Тюкин Е.В.</v>
      </c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8"/>
      <c r="AP69" s="8"/>
      <c r="AQ69" s="73"/>
      <c r="AR69" s="73"/>
      <c r="AS69" s="73"/>
      <c r="AT69" s="73"/>
      <c r="AU69" s="73"/>
      <c r="AV69" s="73"/>
      <c r="AW69" s="73"/>
      <c r="AX69" s="73"/>
      <c r="AY69" s="73"/>
      <c r="AZ69" s="73"/>
      <c r="BA69" s="73"/>
      <c r="BB69" s="73"/>
      <c r="BC69" s="73"/>
      <c r="BD69" s="73"/>
      <c r="BE69" s="73"/>
      <c r="BF69" s="8"/>
      <c r="BG69" s="8"/>
      <c r="BH69" s="74">
        <f>BH63</f>
        <v>45250</v>
      </c>
      <c r="BI69" s="72"/>
      <c r="BJ69" s="72"/>
      <c r="BK69" s="72"/>
      <c r="BL69" s="72"/>
      <c r="BM69" s="72"/>
      <c r="BN69" s="72"/>
      <c r="BO69" s="72"/>
      <c r="BP69" s="72"/>
      <c r="BQ69" s="72"/>
      <c r="BR69" s="72"/>
      <c r="BS69" s="72"/>
      <c r="BT69" s="12"/>
    </row>
    <row r="70" spans="1:77" ht="16.2" customHeight="1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68" t="s">
        <v>59</v>
      </c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28"/>
      <c r="AP70" s="28"/>
      <c r="AQ70" s="68" t="s">
        <v>40</v>
      </c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28"/>
      <c r="BG70" s="28"/>
      <c r="BH70" s="68" t="s">
        <v>41</v>
      </c>
      <c r="BI70" s="68"/>
      <c r="BJ70" s="68"/>
      <c r="BK70" s="68"/>
      <c r="BL70" s="68"/>
      <c r="BM70" s="68"/>
      <c r="BN70" s="68"/>
      <c r="BO70" s="68"/>
      <c r="BP70" s="68"/>
      <c r="BQ70" s="68"/>
      <c r="BR70" s="68"/>
      <c r="BS70" s="68"/>
      <c r="BT70" s="12"/>
      <c r="BY70" t="s">
        <v>85</v>
      </c>
    </row>
    <row r="71" spans="1:77" x14ac:dyDescent="0.25">
      <c r="A71" s="13"/>
      <c r="B71" s="13"/>
      <c r="C71" s="13"/>
      <c r="D71" s="7"/>
      <c r="E71" s="7"/>
      <c r="F71" s="7"/>
      <c r="G71" s="7"/>
      <c r="H71" s="7"/>
      <c r="I71" s="7"/>
      <c r="J71" s="7"/>
      <c r="K71" s="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2"/>
      <c r="BY71" t="s">
        <v>86</v>
      </c>
    </row>
    <row r="72" spans="1:77" x14ac:dyDescent="0.25">
      <c r="A72" s="62" t="s">
        <v>105</v>
      </c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13"/>
      <c r="AN72" s="13"/>
      <c r="AO72" s="8"/>
      <c r="AP72" s="8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8"/>
      <c r="BG72" s="8"/>
      <c r="BH72" s="84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12"/>
    </row>
    <row r="73" spans="1:77" x14ac:dyDescent="0.25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10"/>
      <c r="AN73" s="10"/>
      <c r="AO73" s="8"/>
      <c r="AP73" s="8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"/>
      <c r="BG73" s="8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12"/>
    </row>
    <row r="74" spans="1:77" ht="13.8" customHeight="1" x14ac:dyDescent="0.25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2"/>
    </row>
    <row r="76" spans="1:77" ht="16.8" customHeight="1" x14ac:dyDescent="0.25"/>
    <row r="79" spans="1:77" ht="13.8" customHeight="1" x14ac:dyDescent="0.25"/>
    <row r="82" ht="13.8" customHeight="1" x14ac:dyDescent="0.25"/>
  </sheetData>
  <mergeCells count="89">
    <mergeCell ref="A36:BS36"/>
    <mergeCell ref="A37:BS37"/>
    <mergeCell ref="N61:BS61"/>
    <mergeCell ref="P29:BT29"/>
    <mergeCell ref="U30:BT30"/>
    <mergeCell ref="Y44:BT44"/>
    <mergeCell ref="Y46:BT46"/>
    <mergeCell ref="A38:BS38"/>
    <mergeCell ref="A51:BS51"/>
    <mergeCell ref="A52:BS52"/>
    <mergeCell ref="A53:BS53"/>
    <mergeCell ref="A54:BS54"/>
    <mergeCell ref="D41:BW41"/>
    <mergeCell ref="D42:BW42"/>
    <mergeCell ref="Y45:BT45"/>
    <mergeCell ref="T22:BJ22"/>
    <mergeCell ref="O23:BP23"/>
    <mergeCell ref="AK32:BT32"/>
    <mergeCell ref="A35:BS35"/>
    <mergeCell ref="BY24:CE25"/>
    <mergeCell ref="BY27:CD28"/>
    <mergeCell ref="BY32:CE49"/>
    <mergeCell ref="A31:BT31"/>
    <mergeCell ref="AK33:BT33"/>
    <mergeCell ref="A34:BT34"/>
    <mergeCell ref="A39:BT39"/>
    <mergeCell ref="A40:BT40"/>
    <mergeCell ref="A27:BT27"/>
    <mergeCell ref="U28:BT28"/>
    <mergeCell ref="A26:BT26"/>
    <mergeCell ref="AQ72:BE72"/>
    <mergeCell ref="BH72:BS72"/>
    <mergeCell ref="AQ73:BE73"/>
    <mergeCell ref="BH73:BS73"/>
    <mergeCell ref="A43:BT43"/>
    <mergeCell ref="Y59:BT59"/>
    <mergeCell ref="V55:BT55"/>
    <mergeCell ref="AD57:BT57"/>
    <mergeCell ref="N60:BT60"/>
    <mergeCell ref="J58:BT58"/>
    <mergeCell ref="AJ47:AS47"/>
    <mergeCell ref="AT47:BT47"/>
    <mergeCell ref="Q48:BT48"/>
    <mergeCell ref="AA49:BT49"/>
    <mergeCell ref="A50:BT50"/>
    <mergeCell ref="X63:AN63"/>
    <mergeCell ref="AQ63:BE63"/>
    <mergeCell ref="BH63:BS63"/>
    <mergeCell ref="BH67:BS67"/>
    <mergeCell ref="X66:AN66"/>
    <mergeCell ref="AQ66:BE66"/>
    <mergeCell ref="BH66:BS66"/>
    <mergeCell ref="X69:AN69"/>
    <mergeCell ref="AQ69:BE69"/>
    <mergeCell ref="BH69:BS69"/>
    <mergeCell ref="A3:E3"/>
    <mergeCell ref="F3:H3"/>
    <mergeCell ref="I3:K3"/>
    <mergeCell ref="A6:E6"/>
    <mergeCell ref="F6:H6"/>
    <mergeCell ref="I6:K6"/>
    <mergeCell ref="AH6:BT7"/>
    <mergeCell ref="G7:H7"/>
    <mergeCell ref="I7:O7"/>
    <mergeCell ref="AF9:AW9"/>
    <mergeCell ref="A10:BT10"/>
    <mergeCell ref="A12:BT12"/>
    <mergeCell ref="AE15:AT15"/>
    <mergeCell ref="T18:BJ18"/>
    <mergeCell ref="S17:BI17"/>
    <mergeCell ref="BJ17:BT17"/>
    <mergeCell ref="A14:BT14"/>
    <mergeCell ref="A13:BT13"/>
    <mergeCell ref="A72:AL74"/>
    <mergeCell ref="A25:BT25"/>
    <mergeCell ref="E24:BT24"/>
    <mergeCell ref="S19:BI19"/>
    <mergeCell ref="BJ19:BT19"/>
    <mergeCell ref="T20:BJ20"/>
    <mergeCell ref="S21:BI21"/>
    <mergeCell ref="BJ21:BT21"/>
    <mergeCell ref="X70:AN70"/>
    <mergeCell ref="AQ70:BE70"/>
    <mergeCell ref="X64:AN64"/>
    <mergeCell ref="AQ64:BE64"/>
    <mergeCell ref="BH64:BS64"/>
    <mergeCell ref="BH70:BS70"/>
    <mergeCell ref="X67:AN67"/>
    <mergeCell ref="AQ67:BE67"/>
  </mergeCells>
  <phoneticPr fontId="21" type="noConversion"/>
  <dataValidations count="4">
    <dataValidation type="list" errorStyle="information" allowBlank="1" showInputMessage="1" sqref="O23:BP23" xr:uid="{00000000-0002-0000-0000-000000000000}">
      <formula1>"выборочный,сплошной"</formula1>
    </dataValidation>
    <dataValidation type="list" allowBlank="1" showInputMessage="1" showErrorMessage="1" sqref="N23" xr:uid="{00000000-0002-0000-0000-000001000000}">
      <formula1>"выборочный,сплошной"</formula1>
    </dataValidation>
    <dataValidation type="list" allowBlank="1" showInputMessage="1" showErrorMessage="1" sqref="F6:H6 F3:H3" xr:uid="{00000000-0002-0000-0000-000002000000}">
      <formula1>"I.I,I.II,II,III,IV,V,V.I,V.II"</formula1>
    </dataValidation>
    <dataValidation type="list" showInputMessage="1" showErrorMessage="1" sqref="G7:H7" xr:uid="{00000000-0002-0000-0000-000003000000}">
      <formula1>"1,2"</formula1>
    </dataValidation>
  </dataValidations>
  <pageMargins left="0.70866141732283472" right="0.19685039370078741" top="0.39370078740157483" bottom="0.39370078740157483" header="0.19685039370078741" footer="0.19685039370078741"/>
  <pageSetup paperSize="9" scale="88" fitToHeight="0" orientation="portrait" blackAndWhite="1" r:id="rId1"/>
  <rowBreaks count="1" manualBreakCount="1">
    <brk id="61" max="70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подписанты!$B$8:$B$9</xm:f>
          </x14:formula1>
          <xm:sqref>BJ21:BT21</xm:sqref>
        </x14:dataValidation>
        <x14:dataValidation type="list" allowBlank="1" showInputMessage="1" showErrorMessage="1" xr:uid="{00000000-0002-0000-0000-000005000000}">
          <x14:formula1>
            <xm:f>подписанты!$B$5:$B$7</xm:f>
          </x14:formula1>
          <xm:sqref>BJ19:BT19</xm:sqref>
        </x14:dataValidation>
        <x14:dataValidation type="list" allowBlank="1" showInputMessage="1" showErrorMessage="1" xr:uid="{00000000-0002-0000-0000-000006000000}">
          <x14:formula1>
            <xm:f>подписанты!$B$3:$B$4</xm:f>
          </x14:formula1>
          <xm:sqref>BJ17:BT17</xm:sqref>
        </x14:dataValidation>
        <x14:dataValidation type="list" errorStyle="information" allowBlank="1" showInputMessage="1" xr:uid="{00000000-0002-0000-0000-000007000000}">
          <x14:formula1>
            <xm:f>'Лист общих данных'!$C$6:$C$12</xm:f>
          </x14:formula1>
          <xm:sqref>T28:U28</xm:sqref>
        </x14:dataValidation>
        <x14:dataValidation type="list" errorStyle="warning" allowBlank="1" showInputMessage="1" showErrorMessage="1" xr:uid="{00000000-0002-0000-0000-000008000000}">
          <x14:formula1>
            <xm:f>'Лист общих данных'!$B$6:$B$12</xm:f>
          </x14:formula1>
          <xm:sqref>S30:U30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2"/>
  <sheetViews>
    <sheetView workbookViewId="0">
      <selection activeCell="B4" sqref="B4"/>
    </sheetView>
  </sheetViews>
  <sheetFormatPr defaultColWidth="8.88671875" defaultRowHeight="13.8" x14ac:dyDescent="0.25"/>
  <cols>
    <col min="1" max="1" width="27.109375" style="34" customWidth="1"/>
    <col min="2" max="2" width="21.6640625" style="34" customWidth="1"/>
    <col min="3" max="3" width="49.77734375" style="34" customWidth="1"/>
    <col min="4" max="5" width="10.109375" style="34" customWidth="1"/>
    <col min="6" max="6" width="44.77734375" style="34" customWidth="1"/>
    <col min="7" max="16384" width="8.88671875" style="34"/>
  </cols>
  <sheetData>
    <row r="2" spans="1:6" ht="29.4" customHeight="1" x14ac:dyDescent="0.25">
      <c r="A2" s="40" t="s">
        <v>10</v>
      </c>
      <c r="B2" s="41" t="s">
        <v>74</v>
      </c>
      <c r="C2" s="41" t="s">
        <v>73</v>
      </c>
      <c r="D2" s="39" t="s">
        <v>71</v>
      </c>
      <c r="E2" s="39" t="s">
        <v>72</v>
      </c>
    </row>
    <row r="3" spans="1:6" x14ac:dyDescent="0.25">
      <c r="A3" s="35" t="s">
        <v>12</v>
      </c>
      <c r="B3" s="51" t="s">
        <v>107</v>
      </c>
      <c r="C3" s="57" t="s">
        <v>106</v>
      </c>
      <c r="D3" s="37">
        <v>44927</v>
      </c>
      <c r="E3" s="37">
        <v>45337</v>
      </c>
    </row>
    <row r="4" spans="1:6" x14ac:dyDescent="0.25">
      <c r="A4" s="35" t="s">
        <v>12</v>
      </c>
      <c r="B4" s="34" t="s">
        <v>75</v>
      </c>
      <c r="C4" s="43" t="s">
        <v>76</v>
      </c>
      <c r="D4" s="37">
        <v>45337</v>
      </c>
      <c r="E4" s="37">
        <v>45657</v>
      </c>
    </row>
    <row r="5" spans="1:6" x14ac:dyDescent="0.25">
      <c r="A5" s="35" t="s">
        <v>14</v>
      </c>
      <c r="B5" s="34" t="s">
        <v>66</v>
      </c>
      <c r="C5" s="36" t="s">
        <v>65</v>
      </c>
      <c r="D5" s="37">
        <v>45166</v>
      </c>
      <c r="E5" s="37">
        <v>45657</v>
      </c>
    </row>
    <row r="6" spans="1:6" x14ac:dyDescent="0.25">
      <c r="A6" s="35" t="s">
        <v>14</v>
      </c>
      <c r="B6" s="34" t="s">
        <v>78</v>
      </c>
      <c r="C6" s="36" t="s">
        <v>77</v>
      </c>
      <c r="D6" s="37">
        <v>44927</v>
      </c>
      <c r="E6" s="37">
        <v>45166</v>
      </c>
    </row>
    <row r="7" spans="1:6" ht="27.6" x14ac:dyDescent="0.25">
      <c r="A7" s="35" t="s">
        <v>14</v>
      </c>
      <c r="B7" s="46" t="s">
        <v>90</v>
      </c>
      <c r="C7" s="36" t="s">
        <v>65</v>
      </c>
      <c r="D7" s="37">
        <v>45278</v>
      </c>
      <c r="E7" s="37">
        <v>45342</v>
      </c>
      <c r="F7" s="45" t="s">
        <v>91</v>
      </c>
    </row>
    <row r="8" spans="1:6" ht="55.2" x14ac:dyDescent="0.25">
      <c r="A8" s="47" t="s">
        <v>15</v>
      </c>
      <c r="B8" s="48" t="s">
        <v>64</v>
      </c>
      <c r="C8" s="49" t="s">
        <v>63</v>
      </c>
      <c r="D8" s="50">
        <v>44927</v>
      </c>
      <c r="E8" s="50">
        <v>45657</v>
      </c>
    </row>
    <row r="9" spans="1:6" ht="55.2" x14ac:dyDescent="0.25">
      <c r="A9" s="38" t="s">
        <v>15</v>
      </c>
      <c r="B9" s="34" t="s">
        <v>89</v>
      </c>
      <c r="C9" s="44" t="s">
        <v>88</v>
      </c>
      <c r="F9" s="51" t="s">
        <v>92</v>
      </c>
    </row>
    <row r="11" spans="1:6" x14ac:dyDescent="0.25">
      <c r="A11" s="35"/>
    </row>
    <row r="12" spans="1:6" x14ac:dyDescent="0.25">
      <c r="A12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D12"/>
  <sheetViews>
    <sheetView workbookViewId="0">
      <selection activeCell="D6" sqref="D6"/>
    </sheetView>
  </sheetViews>
  <sheetFormatPr defaultColWidth="9.109375" defaultRowHeight="13.8" x14ac:dyDescent="0.25"/>
  <cols>
    <col min="1" max="1" width="9.109375" style="1"/>
    <col min="2" max="2" width="47" style="1" customWidth="1"/>
    <col min="3" max="3" width="28.44140625" style="1" customWidth="1"/>
    <col min="4" max="4" width="17.5546875" style="1" customWidth="1"/>
    <col min="5" max="16384" width="9.109375" style="1"/>
  </cols>
  <sheetData>
    <row r="5" spans="1:4" x14ac:dyDescent="0.25">
      <c r="A5" s="2" t="s">
        <v>96</v>
      </c>
      <c r="B5" s="2" t="s">
        <v>48</v>
      </c>
      <c r="C5" s="2" t="s">
        <v>49</v>
      </c>
      <c r="D5" s="2" t="s">
        <v>104</v>
      </c>
    </row>
    <row r="6" spans="1:4" ht="27.6" x14ac:dyDescent="0.25">
      <c r="A6" s="6" t="s">
        <v>93</v>
      </c>
      <c r="B6" s="3" t="s">
        <v>50</v>
      </c>
      <c r="C6" s="5" t="s">
        <v>97</v>
      </c>
    </row>
    <row r="7" spans="1:4" x14ac:dyDescent="0.25">
      <c r="A7" s="6" t="s">
        <v>94</v>
      </c>
      <c r="B7" s="3" t="s">
        <v>51</v>
      </c>
      <c r="C7" s="1" t="s">
        <v>98</v>
      </c>
    </row>
    <row r="8" spans="1:4" x14ac:dyDescent="0.25">
      <c r="A8" s="6" t="s">
        <v>95</v>
      </c>
      <c r="B8" s="3" t="s">
        <v>52</v>
      </c>
      <c r="C8" s="1" t="s">
        <v>99</v>
      </c>
    </row>
    <row r="9" spans="1:4" x14ac:dyDescent="0.25">
      <c r="A9" s="6">
        <v>56</v>
      </c>
      <c r="B9" s="3" t="s">
        <v>53</v>
      </c>
      <c r="C9" s="1" t="s">
        <v>100</v>
      </c>
    </row>
    <row r="10" spans="1:4" ht="27.6" x14ac:dyDescent="0.25">
      <c r="A10" s="6">
        <v>57</v>
      </c>
      <c r="B10" s="3" t="s">
        <v>54</v>
      </c>
      <c r="C10" s="4" t="s">
        <v>101</v>
      </c>
    </row>
    <row r="11" spans="1:4" ht="27.6" x14ac:dyDescent="0.25">
      <c r="A11" s="6">
        <v>110</v>
      </c>
      <c r="B11" s="3" t="s">
        <v>55</v>
      </c>
      <c r="C11" s="6" t="s">
        <v>102</v>
      </c>
    </row>
    <row r="12" spans="1:4" ht="27.6" x14ac:dyDescent="0.25">
      <c r="A12" s="6">
        <v>111</v>
      </c>
      <c r="B12" s="3" t="s">
        <v>56</v>
      </c>
      <c r="C12" s="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акт</vt:lpstr>
      <vt:lpstr>подписанты</vt:lpstr>
      <vt:lpstr>Лист общих данных</vt:lpstr>
      <vt:lpstr>акт!Область_печати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Виталина Кочеткова</cp:lastModifiedBy>
  <cp:lastPrinted>2026-02-16T15:54:13Z</cp:lastPrinted>
  <dcterms:created xsi:type="dcterms:W3CDTF">2023-09-19T09:44:50Z</dcterms:created>
  <dcterms:modified xsi:type="dcterms:W3CDTF">2026-02-16T15:57:21Z</dcterms:modified>
</cp:coreProperties>
</file>