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Стажеры\Лиза\ИТП\61.17 ИТП\"/>
    </mc:Choice>
  </mc:AlternateContent>
  <xr:revisionPtr revIDLastSave="0" documentId="13_ncr:1_{16863787-27BE-4481-AC8C-6DA8404198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акт!$A$1:$BT$77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7" i="18" l="1"/>
  <c r="A48" i="18"/>
  <c r="A58" i="18"/>
  <c r="A55" i="18"/>
  <c r="A57" i="18" l="1"/>
  <c r="A56" i="18"/>
  <c r="A46" i="18" l="1"/>
  <c r="D45" i="18"/>
  <c r="AA54" i="18" l="1"/>
  <c r="Q53" i="18" l="1"/>
  <c r="BW19" i="18" l="1"/>
  <c r="S24" i="18" l="1"/>
  <c r="S22" i="18"/>
  <c r="S20" i="18"/>
  <c r="X74" i="18" l="1"/>
  <c r="X71" i="18"/>
  <c r="BH68" i="18"/>
  <c r="BH74" i="18" s="1"/>
  <c r="X68" i="18"/>
  <c r="Y63" i="18"/>
  <c r="BH71" i="18" l="1"/>
</calcChain>
</file>

<file path=xl/sharedStrings.xml><?xml version="1.0" encoding="utf-8"?>
<sst xmlns="http://schemas.openxmlformats.org/spreadsheetml/2006/main" count="148" uniqueCount="125">
  <si>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</si>
  <si>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</si>
  <si>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</si>
  <si>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</si>
  <si>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</si>
  <si>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</si>
  <si>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</si>
  <si>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</si>
  <si>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</si>
  <si>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</si>
  <si>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</si>
  <si>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</si>
  <si>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</si>
  <si>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</si>
  <si>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</si>
  <si>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</si>
  <si>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</si>
  <si>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</si>
  <si>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</si>
  <si>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</si>
  <si>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</si>
  <si>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</si>
  <si>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</si>
  <si>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</si>
  <si>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</si>
  <si>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</si>
  <si>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</si>
  <si>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</si>
  <si>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</si>
  <si>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</si>
  <si>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</si>
  <si>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</si>
  <si>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</si>
  <si>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</si>
  <si>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</si>
  <si>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</si>
  <si>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</si>
  <si>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</si>
  <si>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</si>
  <si>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</si>
  <si>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</si>
  <si>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</si>
  <si>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</si>
  <si>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</si>
  <si>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</si>
  <si>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</si>
  <si>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</si>
  <si>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</si>
  <si>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</si>
  <si>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</si>
  <si>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</si>
  <si>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</si>
  <si>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</si>
  <si>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</si>
  <si>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</si>
  <si>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</si>
  <si>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</si>
  <si>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</si>
  <si>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</si>
  <si>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</si>
  <si>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</si>
  <si>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</si>
  <si>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</si>
  <si>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</si>
  <si>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</si>
  <si>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</si>
  <si>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</si>
  <si>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</si>
  <si>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</si>
  <si>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</si>
  <si>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</si>
  <si>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</si>
  <si>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</si>
  <si>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</si>
  <si>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</si>
  <si>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</si>
  <si>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</si>
  <si>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</si>
  <si>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</si>
  <si>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</si>
  <si>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</si>
  <si>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</si>
  <si>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</si>
  <si>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</si>
  <si>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</si>
  <si>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</si>
  <si>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</si>
  <si>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</si>
  <si>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</si>
  <si>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</si>
  <si>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</si>
  <si>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</si>
  <si>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</si>
  <si>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</si>
  <si>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</si>
  <si>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</si>
  <si>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</si>
  <si>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</si>
  <si>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</si>
  <si>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</si>
  <si>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</si>
  <si>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</si>
  <si>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</si>
  <si>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</si>
  <si>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</si>
  <si>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r>
      <t>90</t>
    </r>
    <r>
      <rPr>
        <b/>
        <sz val="11"/>
        <rFont val="Calibri"/>
        <family val="2"/>
        <charset val="204"/>
      </rPr>
      <t>˚</t>
    </r>
  </si>
  <si>
    <t>АИР 1.2-61.17-ИТП/2рп</t>
  </si>
  <si>
    <t>ПП2020РД-1.2-61.17-ИТП; ПП2020РД-1.2-61.17-ИТП.СО изм. 4, лист 11</t>
  </si>
  <si>
    <t>Кострова Н.Л.</t>
  </si>
  <si>
    <t>Руководитель группы МТО АО «Газстройпроект»</t>
  </si>
  <si>
    <t>Тройник стальной Ø57;</t>
  </si>
  <si>
    <t>Отвод стальной 90°: Дн 76, Дн 57, Ду 32, Ду 40;</t>
  </si>
  <si>
    <t>Отвод 90: 76Х3,5 (Ду-65) - 4 шт, Ду-50*2,3-3,5 - 14 шт, Ду-32*2,3-3,5 - 10 шт, Ду-40*2,3-3,5 - 8 шт;</t>
  </si>
  <si>
    <t>Технический паспорт № 1793 от 30.09.2023,</t>
  </si>
  <si>
    <t>Тройник стальной переходной Ø57-Ø38, Ø57-Ø45;</t>
  </si>
  <si>
    <t>Переход стальной Ø57-Ø38, Ø57-Ø45.</t>
  </si>
  <si>
    <t>Тройник стальной 50х3,5 - 3 шт;</t>
  </si>
  <si>
    <t>Тройник стальной переходной 57х3-38х2,5 - 1 шт, 57х3-45х2,5 - 2 шт;</t>
  </si>
  <si>
    <t>Переход стальной: 57х3-38х2 - 3 шт, 57х3-45х2,5 - 1 шт.</t>
  </si>
  <si>
    <t>Декларация о соответствии ЕАЭС № BY/112 11.01. ТР032 056.01 00694 с 14.09.2021 по 13.09.2026.</t>
  </si>
  <si>
    <t xml:space="preserve">ГОСТ 17375-2001, ТУ 24.20.40-002-40541846-2017, ГОСТ 17376-2001, ТР ТС 032/2013, </t>
  </si>
  <si>
    <t>ГОСТ 17378-2001.</t>
  </si>
  <si>
    <t xml:space="preserve">Информационное письмо Исх. № 1580 от 30.03.2021, Паспорт качества № 988-028-8392 от 24.09.2023, </t>
  </si>
  <si>
    <t>Сертификат качества № 361.1 от 13.09.2023, Сертификат качества № 365.2 от 18.09.2023.</t>
  </si>
  <si>
    <t xml:space="preserve">Декларация о  соответствии № ЕАЭС N RU Д-RU.НХ37.В.13751/20 с 27.11.2020 по 26.11.2025,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</si>
</sst>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3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18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14" fillId="3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center" vertical="top"/>
    </xf>
    <xf numFmtId="14" fontId="14" fillId="4" borderId="0" xfId="1" applyNumberFormat="1" applyFont="1" applyFill="1" applyAlignment="1">
      <alignment horizontal="left" vertical="center" wrapText="1"/>
    </xf>
    <xf numFmtId="0" fontId="14" fillId="4" borderId="2" xfId="1" applyFont="1" applyFill="1" applyBorder="1" applyAlignment="1">
      <alignment horizontal="left"/>
    </xf>
    <xf numFmtId="0" fontId="14" fillId="3" borderId="0" xfId="1" applyFont="1" applyFill="1" applyAlignment="1">
      <alignment horizontal="left"/>
    </xf>
    <xf numFmtId="14" fontId="14" fillId="4" borderId="3" xfId="1" applyNumberFormat="1" applyFont="1" applyFill="1" applyBorder="1" applyAlignment="1">
      <alignment vertical="center" wrapText="1"/>
    </xf>
    <xf numFmtId="14" fontId="14" fillId="4" borderId="1" xfId="1" applyNumberFormat="1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14" fontId="14" fillId="4" borderId="0" xfId="1" applyNumberFormat="1" applyFont="1" applyFill="1" applyBorder="1" applyAlignment="1">
      <alignment vertical="center" wrapText="1"/>
    </xf>
    <xf numFmtId="0" fontId="14" fillId="4" borderId="0" xfId="1" applyFont="1" applyFill="1" applyBorder="1" applyAlignment="1">
      <alignment horizontal="left" wrapText="1"/>
    </xf>
    <xf numFmtId="14" fontId="14" fillId="0" borderId="3" xfId="1" applyNumberFormat="1" applyFont="1" applyBorder="1" applyAlignment="1">
      <alignment horizontal="left"/>
    </xf>
    <xf numFmtId="14" fontId="14" fillId="3" borderId="1" xfId="1" applyNumberFormat="1" applyFont="1" applyFill="1" applyBorder="1" applyAlignment="1">
      <alignment horizontal="left" vertical="top" wrapText="1"/>
    </xf>
    <xf numFmtId="0" fontId="14" fillId="3" borderId="1" xfId="1" applyFont="1" applyFill="1" applyBorder="1" applyAlignment="1">
      <alignment horizontal="left"/>
    </xf>
    <xf numFmtId="14" fontId="14" fillId="0" borderId="1" xfId="1" applyNumberFormat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/>
    </xf>
    <xf numFmtId="0" fontId="16" fillId="2" borderId="2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/>
    </xf>
    <xf numFmtId="0" fontId="11" fillId="2" borderId="0" xfId="1" applyFont="1" applyFill="1" applyAlignment="1">
      <alignment horizontal="center"/>
    </xf>
    <xf numFmtId="0" fontId="14" fillId="4" borderId="3" xfId="1" applyFont="1" applyFill="1" applyBorder="1" applyAlignment="1">
      <alignment horizontal="left"/>
    </xf>
    <xf numFmtId="14" fontId="14" fillId="4" borderId="3" xfId="1" applyNumberFormat="1" applyFont="1" applyFill="1" applyBorder="1" applyAlignment="1">
      <alignment horizontal="left" vertical="center" wrapText="1"/>
    </xf>
    <xf numFmtId="0" fontId="12" fillId="2" borderId="0" xfId="1" applyFont="1" applyFill="1" applyAlignment="1">
      <alignment horizontal="center"/>
    </xf>
    <xf numFmtId="14" fontId="12" fillId="2" borderId="0" xfId="1" applyNumberFormat="1" applyFont="1" applyFill="1" applyAlignment="1">
      <alignment horizontal="center"/>
    </xf>
    <xf numFmtId="0" fontId="12" fillId="2" borderId="0" xfId="1" applyFont="1" applyFill="1" applyAlignment="1">
      <alignment horizontal="center" vertical="top"/>
    </xf>
    <xf numFmtId="0" fontId="17" fillId="0" borderId="0" xfId="1" applyFont="1" applyAlignment="1">
      <alignment horizontal="center" vertical="top"/>
    </xf>
    <xf numFmtId="165" fontId="14" fillId="3" borderId="1" xfId="1" applyNumberFormat="1" applyFont="1" applyFill="1" applyBorder="1" applyAlignment="1">
      <alignment horizontal="left" vertical="top" wrapText="1"/>
    </xf>
    <xf numFmtId="0" fontId="16" fillId="2" borderId="2" xfId="1" applyFont="1" applyFill="1" applyBorder="1" applyAlignment="1">
      <alignment vertical="top"/>
    </xf>
    <xf numFmtId="0" fontId="11" fillId="3" borderId="0" xfId="1" applyFont="1" applyFill="1" applyAlignment="1">
      <alignment horizontal="left"/>
    </xf>
    <xf numFmtId="0" fontId="14" fillId="4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righ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vertical="top"/>
    </xf>
    <xf numFmtId="14" fontId="14" fillId="4" borderId="1" xfId="1" applyNumberFormat="1" applyFont="1" applyFill="1" applyBorder="1" applyAlignment="1">
      <alignment horizontal="left" vertical="top" wrapText="1"/>
    </xf>
    <xf numFmtId="0" fontId="12" fillId="2" borderId="0" xfId="1" applyFont="1" applyFill="1" applyAlignment="1">
      <alignment horizontal="left" vertical="center"/>
    </xf>
    <xf numFmtId="14" fontId="14" fillId="2" borderId="0" xfId="1" applyNumberFormat="1" applyFont="1" applyFill="1" applyAlignment="1">
      <alignment horizontal="center" vertical="top" wrapText="1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0" fontId="14" fillId="4" borderId="1" xfId="1" applyFont="1" applyFill="1" applyBorder="1" applyAlignment="1">
      <alignment horizontal="center" vertical="center" wrapText="1"/>
    </xf>
    <xf numFmtId="165" fontId="12" fillId="3" borderId="1" xfId="1" applyNumberFormat="1" applyFont="1" applyFill="1" applyBorder="1" applyAlignment="1">
      <alignment horizontal="center"/>
    </xf>
    <xf numFmtId="0" fontId="14" fillId="4" borderId="3" xfId="1" applyFont="1" applyFill="1" applyBorder="1" applyAlignment="1">
      <alignment horizontal="left" wrapText="1"/>
    </xf>
    <xf numFmtId="49" fontId="13" fillId="2" borderId="0" xfId="1" applyNumberFormat="1" applyFont="1" applyFill="1" applyAlignment="1">
      <alignment horizontal="center" vertical="center"/>
    </xf>
    <xf numFmtId="0" fontId="13" fillId="2" borderId="0" xfId="1" applyFont="1" applyFill="1" applyAlignment="1">
      <alignment horizontal="left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14" fontId="14" fillId="4" borderId="1" xfId="1" applyNumberFormat="1" applyFont="1" applyFill="1" applyBorder="1" applyAlignment="1">
      <alignment horizontal="left" vertical="center" wrapText="1"/>
    </xf>
    <xf numFmtId="164" fontId="14" fillId="4" borderId="1" xfId="1" applyNumberFormat="1" applyFont="1" applyFill="1" applyBorder="1" applyAlignment="1">
      <alignment horizontal="center"/>
    </xf>
    <xf numFmtId="0" fontId="12" fillId="3" borderId="0" xfId="1" applyFont="1" applyFill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14" fontId="14" fillId="2" borderId="0" xfId="1" applyNumberFormat="1" applyFont="1" applyFill="1" applyAlignment="1">
      <alignment horizontal="center" wrapText="1"/>
    </xf>
    <xf numFmtId="14" fontId="14" fillId="2" borderId="0" xfId="1" applyNumberFormat="1" applyFont="1" applyFill="1" applyAlignment="1">
      <alignment horizontal="center" vertical="center" wrapText="1"/>
    </xf>
    <xf numFmtId="0" fontId="14" fillId="2" borderId="0" xfId="1" applyFont="1" applyFill="1" applyAlignment="1">
      <alignment horizontal="left" vertical="top" wrapText="1"/>
    </xf>
    <xf numFmtId="0" fontId="16" fillId="2" borderId="0" xfId="1" applyFont="1" applyFill="1" applyAlignment="1">
      <alignment horizontal="center" vertical="center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16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26</xdr:row>
      <xdr:rowOff>0</xdr:rowOff>
    </xdr:from>
    <xdr:to>
      <xdr:col>75</xdr:col>
      <xdr:colOff>521970</xdr:colOff>
      <xdr:row>27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31</xdr:row>
      <xdr:rowOff>0</xdr:rowOff>
    </xdr:from>
    <xdr:to>
      <xdr:col>75</xdr:col>
      <xdr:colOff>521970</xdr:colOff>
      <xdr:row>32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35</xdr:row>
      <xdr:rowOff>0</xdr:rowOff>
    </xdr:from>
    <xdr:to>
      <xdr:col>75</xdr:col>
      <xdr:colOff>521970</xdr:colOff>
      <xdr:row>42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58</xdr:row>
      <xdr:rowOff>0</xdr:rowOff>
    </xdr:from>
    <xdr:to>
      <xdr:col>75</xdr:col>
      <xdr:colOff>521970</xdr:colOff>
      <xdr:row>58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69</xdr:row>
      <xdr:rowOff>0</xdr:rowOff>
    </xdr:from>
    <xdr:to>
      <xdr:col>75</xdr:col>
      <xdr:colOff>521970</xdr:colOff>
      <xdr:row>71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84"/>
  <sheetViews>
    <sheetView tabSelected="1" view="pageBreakPreview" topLeftCell="A52" zoomScaleNormal="100" zoomScaleSheetLayoutView="100" workbookViewId="0">
      <selection activeCell="A41" sqref="A41:BS41"/>
    </sheetView>
  </sheetViews>
  <sheetFormatPr defaultRowHeight="13.8" x14ac:dyDescent="0.25"/>
  <cols>
    <col min="1" max="12" width="1.44140625" customWidth="1"/>
    <col min="13" max="13" width="2.33203125" customWidth="1"/>
    <col min="14" max="70" width="1.44140625" customWidth="1"/>
    <col min="71" max="71" width="6.6640625" customWidth="1"/>
    <col min="72" max="72" width="3" hidden="1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67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76" t="s">
        <v>4</v>
      </c>
      <c r="B3" s="76"/>
      <c r="C3" s="76"/>
      <c r="D3" s="76"/>
      <c r="E3" s="76"/>
      <c r="F3" s="102" t="s">
        <v>5</v>
      </c>
      <c r="G3" s="102"/>
      <c r="H3" s="102"/>
      <c r="I3" s="103" t="s">
        <v>6</v>
      </c>
      <c r="J3" s="103"/>
      <c r="K3" s="103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68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69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x14ac:dyDescent="0.25">
      <c r="A6" s="76"/>
      <c r="B6" s="76"/>
      <c r="C6" s="76"/>
      <c r="D6" s="76"/>
      <c r="E6" s="76"/>
      <c r="F6" s="102"/>
      <c r="G6" s="102"/>
      <c r="H6" s="102"/>
      <c r="I6" s="103"/>
      <c r="J6" s="103"/>
      <c r="K6" s="103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104" t="s">
        <v>61</v>
      </c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</row>
    <row r="7" spans="1:72" x14ac:dyDescent="0.25">
      <c r="A7" s="8"/>
      <c r="B7" s="8"/>
      <c r="C7" s="8"/>
      <c r="D7" s="8"/>
      <c r="E7" s="8"/>
      <c r="F7" s="8"/>
      <c r="G7" s="105"/>
      <c r="H7" s="105"/>
      <c r="I7" s="103"/>
      <c r="J7" s="103"/>
      <c r="K7" s="103"/>
      <c r="L7" s="103"/>
      <c r="M7" s="103"/>
      <c r="N7" s="103"/>
      <c r="O7" s="103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6" t="s">
        <v>106</v>
      </c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107" t="s">
        <v>45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</row>
    <row r="11" spans="1:72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2" x14ac:dyDescent="0.25">
      <c r="A12" s="108" t="s">
        <v>111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</row>
    <row r="13" spans="1:72" x14ac:dyDescent="0.25">
      <c r="A13" s="75" t="s">
        <v>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58"/>
    </row>
    <row r="14" spans="1:72" x14ac:dyDescent="0.25">
      <c r="A14" s="75" t="s">
        <v>114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58"/>
    </row>
    <row r="15" spans="1:72" x14ac:dyDescent="0.25">
      <c r="A15" s="75" t="s">
        <v>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58"/>
    </row>
    <row r="16" spans="1:72" x14ac:dyDescent="0.25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</row>
    <row r="17" spans="1:83" ht="9" customHeight="1" x14ac:dyDescent="0.25">
      <c r="A17" s="112" t="s">
        <v>46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</row>
    <row r="18" spans="1:83" ht="12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13" t="s">
        <v>9</v>
      </c>
      <c r="AB18" s="8"/>
      <c r="AC18" s="8"/>
      <c r="AD18" s="8"/>
      <c r="AE18" s="109">
        <v>45244</v>
      </c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5"/>
      <c r="AV18" s="15"/>
      <c r="AW18" s="15"/>
      <c r="AX18" s="15"/>
      <c r="AY18" s="15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12"/>
    </row>
    <row r="19" spans="1:83" x14ac:dyDescent="0.25">
      <c r="A19" s="8" t="s">
        <v>10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 t="s">
        <v>11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12"/>
      <c r="BW19" s="52">
        <f>AE18</f>
        <v>45244</v>
      </c>
    </row>
    <row r="20" spans="1:83" x14ac:dyDescent="0.25">
      <c r="A20" s="8" t="s">
        <v>12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0" t="str">
        <f>VLOOKUP(BJ20,подписанты!$B$3:$C$11,2,FALSE)</f>
        <v>Руководитель группы МТО АО «Газстройпроект»</v>
      </c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1" t="s">
        <v>108</v>
      </c>
      <c r="BK20" s="111"/>
      <c r="BL20" s="111"/>
      <c r="BM20" s="111"/>
      <c r="BN20" s="111"/>
      <c r="BO20" s="111"/>
      <c r="BP20" s="111"/>
      <c r="BQ20" s="111"/>
      <c r="BR20" s="111"/>
      <c r="BS20" s="111"/>
      <c r="BT20" s="111"/>
    </row>
    <row r="21" spans="1:8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71" t="s">
        <v>13</v>
      </c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26"/>
      <c r="BL21" s="26"/>
      <c r="BM21" s="26"/>
      <c r="BN21" s="26"/>
      <c r="BO21" s="26"/>
      <c r="BP21" s="16"/>
      <c r="BQ21" s="16"/>
      <c r="BR21" s="16"/>
      <c r="BS21" s="16"/>
      <c r="BT21" s="16"/>
    </row>
    <row r="22" spans="1:83" x14ac:dyDescent="0.25">
      <c r="A22" s="8" t="s">
        <v>14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16" t="str">
        <f>VLOOKUP(BJ22,подписанты!$B$3:$C$11,2,FALSE)</f>
        <v>Инженер отдела технического надзора АО «Газстройпроект»</v>
      </c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1" t="s">
        <v>66</v>
      </c>
      <c r="BK22" s="111"/>
      <c r="BL22" s="111"/>
      <c r="BM22" s="111"/>
      <c r="BN22" s="111"/>
      <c r="BO22" s="111"/>
      <c r="BP22" s="111"/>
      <c r="BQ22" s="111"/>
      <c r="BR22" s="111"/>
      <c r="BS22" s="111"/>
      <c r="BT22" s="111"/>
    </row>
    <row r="23" spans="1:8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92" t="s">
        <v>13</v>
      </c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71"/>
      <c r="BK23" s="16"/>
      <c r="BL23" s="16"/>
      <c r="BM23" s="16"/>
      <c r="BN23" s="16"/>
      <c r="BO23" s="16"/>
      <c r="BP23" s="16"/>
      <c r="BQ23" s="16"/>
      <c r="BR23" s="16"/>
      <c r="BS23" s="16"/>
      <c r="BT23" s="16"/>
    </row>
    <row r="24" spans="1:83" ht="40.200000000000003" customHeight="1" x14ac:dyDescent="0.25">
      <c r="A24" s="8" t="s">
        <v>15</v>
      </c>
      <c r="B24" s="8"/>
      <c r="C24" s="8"/>
      <c r="D24" s="8"/>
      <c r="E24" s="8"/>
      <c r="F24" s="8"/>
      <c r="G24" s="8"/>
      <c r="H24" s="8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10" t="str">
        <f>VLOOKUP(BJ24,подписанты!$B$3:$C$11,2,FALSE)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7" t="s">
        <v>88</v>
      </c>
      <c r="BK24" s="117"/>
      <c r="BL24" s="117"/>
      <c r="BM24" s="117"/>
      <c r="BN24" s="117"/>
      <c r="BO24" s="117"/>
      <c r="BP24" s="117"/>
      <c r="BQ24" s="117"/>
      <c r="BR24" s="117"/>
      <c r="BS24" s="117"/>
      <c r="BT24" s="117"/>
    </row>
    <row r="25" spans="1:83" ht="40.049999999999997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1" t="s">
        <v>13</v>
      </c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10"/>
      <c r="BL25" s="10"/>
      <c r="BM25" s="10"/>
      <c r="BN25" s="10"/>
      <c r="BO25" s="10"/>
      <c r="BP25" s="10"/>
      <c r="BQ25" s="10"/>
      <c r="BR25" s="10"/>
      <c r="BS25" s="10"/>
      <c r="BT25" s="10"/>
    </row>
    <row r="26" spans="1:83" x14ac:dyDescent="0.25">
      <c r="A26" s="8" t="s">
        <v>16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17"/>
      <c r="O26" s="72" t="s">
        <v>86</v>
      </c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8" t="s">
        <v>17</v>
      </c>
      <c r="BR26" s="13"/>
      <c r="BS26" s="13"/>
      <c r="BT26" s="13"/>
    </row>
    <row r="27" spans="1:83" x14ac:dyDescent="0.25">
      <c r="A27" s="8"/>
      <c r="B27" s="8"/>
      <c r="C27" s="8"/>
      <c r="D27" s="8"/>
      <c r="E27" s="115" t="s">
        <v>47</v>
      </c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Y27" s="90" t="s">
        <v>79</v>
      </c>
      <c r="BZ27" s="90"/>
      <c r="CA27" s="90"/>
      <c r="CB27" s="90"/>
      <c r="CC27" s="90"/>
      <c r="CD27" s="90"/>
      <c r="CE27" s="90"/>
    </row>
    <row r="28" spans="1:83" ht="13.8" customHeight="1" x14ac:dyDescent="0.25">
      <c r="A28" s="108" t="s">
        <v>112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Y28" s="90"/>
      <c r="BZ28" s="90"/>
      <c r="CA28" s="90"/>
      <c r="CB28" s="90"/>
      <c r="CC28" s="90"/>
      <c r="CD28" s="90"/>
      <c r="CE28" s="90"/>
    </row>
    <row r="29" spans="1:83" s="62" customFormat="1" ht="13.8" customHeight="1" x14ac:dyDescent="0.25">
      <c r="A29" s="75" t="s">
        <v>116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58"/>
    </row>
    <row r="30" spans="1:83" s="61" customFormat="1" ht="13.8" customHeight="1" x14ac:dyDescent="0.25">
      <c r="A30" s="75" t="s">
        <v>117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58"/>
    </row>
    <row r="31" spans="1:83" s="64" customFormat="1" ht="13.8" customHeight="1" x14ac:dyDescent="0.25">
      <c r="A31" s="75" t="s">
        <v>118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58"/>
    </row>
    <row r="32" spans="1:83" x14ac:dyDescent="0.25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Y32" s="90"/>
      <c r="BZ32" s="90"/>
      <c r="CA32" s="90"/>
      <c r="CB32" s="90"/>
      <c r="CC32" s="90"/>
      <c r="CD32" s="90"/>
    </row>
    <row r="33" spans="1:83" x14ac:dyDescent="0.25">
      <c r="A33" s="10" t="s">
        <v>18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4"/>
      <c r="S33" s="8"/>
      <c r="T33" s="53"/>
      <c r="U33" s="96" t="s">
        <v>107</v>
      </c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BY33" s="90"/>
      <c r="BZ33" s="90"/>
      <c r="CA33" s="90"/>
      <c r="CB33" s="90"/>
      <c r="CC33" s="90"/>
      <c r="CD33" s="90"/>
    </row>
    <row r="34" spans="1:83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7" t="s">
        <v>19</v>
      </c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</row>
    <row r="35" spans="1:83" x14ac:dyDescent="0.25">
      <c r="A35" s="10" t="s">
        <v>20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0"/>
      <c r="T35" s="20"/>
      <c r="U35" s="98" t="s">
        <v>51</v>
      </c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</row>
    <row r="36" spans="1:83" x14ac:dyDescent="0.25">
      <c r="A36" s="92" t="s">
        <v>21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Y36" s="42" t="s">
        <v>80</v>
      </c>
    </row>
    <row r="37" spans="1:83" ht="13.95" customHeight="1" x14ac:dyDescent="0.25">
      <c r="A37" s="8"/>
      <c r="B37" s="8"/>
      <c r="C37" s="8"/>
      <c r="D37" s="8" t="s">
        <v>22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  <c r="AG37" s="7"/>
      <c r="AH37" s="7"/>
      <c r="AI37" s="7"/>
      <c r="AJ37" s="7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Y37" s="90" t="s">
        <v>81</v>
      </c>
      <c r="BZ37" s="90"/>
      <c r="CA37" s="90"/>
      <c r="CB37" s="90"/>
      <c r="CC37" s="90"/>
      <c r="CD37" s="90"/>
      <c r="CE37" s="90"/>
    </row>
    <row r="38" spans="1:83" ht="13.95" customHeight="1" x14ac:dyDescent="0.25">
      <c r="A38" s="8" t="s">
        <v>23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30"/>
      <c r="AJ38" s="8"/>
      <c r="AK38" s="93" t="s">
        <v>113</v>
      </c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Y38" s="90"/>
      <c r="BZ38" s="90"/>
      <c r="CA38" s="90"/>
      <c r="CB38" s="90"/>
      <c r="CC38" s="90"/>
      <c r="CD38" s="90"/>
      <c r="CE38" s="90"/>
    </row>
    <row r="39" spans="1:83" x14ac:dyDescent="0.25">
      <c r="A39" s="74" t="s">
        <v>122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Y39" s="90"/>
      <c r="BZ39" s="90"/>
      <c r="CA39" s="90"/>
      <c r="CB39" s="90"/>
      <c r="CC39" s="90"/>
      <c r="CD39" s="90"/>
      <c r="CE39" s="90"/>
    </row>
    <row r="40" spans="1:83" x14ac:dyDescent="0.25">
      <c r="A40" s="74" t="s">
        <v>124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59"/>
      <c r="BY40" s="90"/>
      <c r="BZ40" s="90"/>
      <c r="CA40" s="90"/>
      <c r="CB40" s="90"/>
      <c r="CC40" s="90"/>
      <c r="CD40" s="90"/>
      <c r="CE40" s="90"/>
    </row>
    <row r="41" spans="1:83" x14ac:dyDescent="0.25">
      <c r="A41" s="74" t="s">
        <v>123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59"/>
      <c r="BY41" s="90"/>
      <c r="BZ41" s="90"/>
      <c r="CA41" s="90"/>
      <c r="CB41" s="90"/>
      <c r="CC41" s="90"/>
      <c r="CD41" s="90"/>
      <c r="CE41" s="90"/>
    </row>
    <row r="42" spans="1:83" x14ac:dyDescent="0.25">
      <c r="A42" s="74" t="s">
        <v>119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59"/>
      <c r="BY42" s="90"/>
      <c r="BZ42" s="90"/>
      <c r="CA42" s="90"/>
      <c r="CB42" s="90"/>
      <c r="CC42" s="90"/>
      <c r="CD42" s="90"/>
      <c r="CE42" s="90"/>
    </row>
    <row r="43" spans="1:83" x14ac:dyDescent="0.25">
      <c r="A43" s="71" t="s">
        <v>24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Y43" s="90"/>
      <c r="BZ43" s="90"/>
      <c r="CA43" s="90"/>
      <c r="CB43" s="90"/>
      <c r="CC43" s="90"/>
      <c r="CD43" s="90"/>
      <c r="CE43" s="90"/>
    </row>
    <row r="44" spans="1:83" x14ac:dyDescent="0.25">
      <c r="A44" s="94" t="s">
        <v>57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4"/>
      <c r="BQ44" s="94"/>
      <c r="BR44" s="94"/>
      <c r="BS44" s="94"/>
      <c r="BT44" s="94"/>
      <c r="BY44" s="90"/>
      <c r="BZ44" s="90"/>
      <c r="CA44" s="90"/>
      <c r="CB44" s="90"/>
      <c r="CC44" s="90"/>
      <c r="CD44" s="90"/>
      <c r="CE44" s="90"/>
    </row>
    <row r="45" spans="1:83" x14ac:dyDescent="0.25">
      <c r="A45" s="17" t="s">
        <v>58</v>
      </c>
      <c r="B45" s="18"/>
      <c r="C45" s="18"/>
      <c r="D45" s="91" t="str">
        <f>A28</f>
        <v>Отвод 90: 76Х3,5 (Ду-65) - 4 шт, Ду-50*2,3-3,5 - 14 шт, Ду-32*2,3-3,5 - 10 шт, Ду-40*2,3-3,5 - 8 шт;</v>
      </c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Y45" s="90"/>
      <c r="BZ45" s="90"/>
      <c r="CA45" s="90"/>
      <c r="CB45" s="90"/>
      <c r="CC45" s="90"/>
      <c r="CD45" s="90"/>
      <c r="CE45" s="90"/>
    </row>
    <row r="46" spans="1:83" x14ac:dyDescent="0.25">
      <c r="A46" s="69" t="str">
        <f>A29</f>
        <v>Тройник стальной 50х3,5 - 3 шт;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56"/>
      <c r="BY46" s="90"/>
      <c r="BZ46" s="90"/>
      <c r="CA46" s="90"/>
      <c r="CB46" s="90"/>
      <c r="CC46" s="90"/>
      <c r="CD46" s="90"/>
      <c r="CE46" s="90"/>
    </row>
    <row r="47" spans="1:83" x14ac:dyDescent="0.25">
      <c r="A47" s="66" t="str">
        <f>A30</f>
        <v>Тройник стальной переходной 57х3-38х2,5 - 1 шт, 57х3-45х2,5 - 2 шт;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56"/>
      <c r="BY47" s="90"/>
      <c r="BZ47" s="90"/>
      <c r="CA47" s="90"/>
      <c r="CB47" s="90"/>
      <c r="CC47" s="90"/>
      <c r="CD47" s="90"/>
      <c r="CE47" s="90"/>
    </row>
    <row r="48" spans="1:83" x14ac:dyDescent="0.25">
      <c r="A48" s="66" t="str">
        <f>A31</f>
        <v>Переход стальной: 57х3-38х2 - 3 шт, 57х3-45х2,5 - 1 шт.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56"/>
      <c r="BY48" s="90"/>
      <c r="BZ48" s="90"/>
      <c r="CA48" s="90"/>
      <c r="CB48" s="90"/>
      <c r="CC48" s="90"/>
      <c r="CD48" s="90"/>
      <c r="CE48" s="90"/>
    </row>
    <row r="49" spans="1:83" ht="13.8" customHeight="1" x14ac:dyDescent="0.25">
      <c r="A49" s="79" t="s">
        <v>25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Y49" s="90"/>
      <c r="BZ49" s="90"/>
      <c r="CA49" s="90"/>
      <c r="CB49" s="90"/>
      <c r="CC49" s="90"/>
      <c r="CD49" s="90"/>
      <c r="CE49" s="90"/>
    </row>
    <row r="50" spans="1:83" ht="13.8" customHeight="1" x14ac:dyDescent="0.25">
      <c r="A50" s="8" t="s">
        <v>26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57"/>
      <c r="Y50" s="99" t="s">
        <v>105</v>
      </c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99"/>
      <c r="BN50" s="99"/>
      <c r="BO50" s="99"/>
      <c r="BP50" s="99"/>
      <c r="BQ50" s="99"/>
      <c r="BR50" s="99"/>
      <c r="BS50" s="99"/>
      <c r="BT50" s="99"/>
      <c r="BU50" s="55"/>
      <c r="BY50" s="90"/>
      <c r="BZ50" s="90"/>
      <c r="CA50" s="90"/>
      <c r="CB50" s="90"/>
      <c r="CC50" s="90"/>
      <c r="CD50" s="90"/>
      <c r="CE50" s="90"/>
    </row>
    <row r="51" spans="1:83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9"/>
      <c r="Y51" s="71" t="s">
        <v>27</v>
      </c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Y51" s="90"/>
      <c r="BZ51" s="90"/>
      <c r="CA51" s="90"/>
      <c r="CB51" s="90"/>
      <c r="CC51" s="90"/>
      <c r="CD51" s="90"/>
      <c r="CE51" s="90"/>
    </row>
    <row r="52" spans="1:83" x14ac:dyDescent="0.25">
      <c r="A52" s="8" t="s">
        <v>28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7"/>
      <c r="AG52" s="7"/>
      <c r="AH52" s="7"/>
      <c r="AI52" s="7"/>
      <c r="AJ52" s="85" t="s">
        <v>29</v>
      </c>
      <c r="AK52" s="85"/>
      <c r="AL52" s="85"/>
      <c r="AM52" s="85"/>
      <c r="AN52" s="85"/>
      <c r="AO52" s="85"/>
      <c r="AP52" s="85"/>
      <c r="AQ52" s="85"/>
      <c r="AR52" s="85"/>
      <c r="AS52" s="85"/>
      <c r="AT52" s="86" t="s">
        <v>70</v>
      </c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6"/>
      <c r="BM52" s="86"/>
      <c r="BN52" s="86"/>
      <c r="BO52" s="86"/>
      <c r="BP52" s="86"/>
      <c r="BQ52" s="86"/>
      <c r="BR52" s="86"/>
      <c r="BS52" s="86"/>
      <c r="BT52" s="86"/>
    </row>
    <row r="53" spans="1:83" x14ac:dyDescent="0.25">
      <c r="A53" s="10" t="s">
        <v>30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53"/>
      <c r="O53" s="53"/>
      <c r="P53" s="53"/>
      <c r="Q53" s="87" t="str">
        <f>U33</f>
        <v>ПП2020РД-1.2-61.17-ИТП; ПП2020РД-1.2-61.17-ИТП.СО изм. 4, лист 11</v>
      </c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</row>
    <row r="54" spans="1:83" x14ac:dyDescent="0.25">
      <c r="A54" s="8"/>
      <c r="B54" s="8"/>
      <c r="C54" s="8"/>
      <c r="D54" s="10" t="s">
        <v>31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0"/>
      <c r="X54" s="8"/>
      <c r="Y54" s="31"/>
      <c r="Z54" s="31"/>
      <c r="AA54" s="67" t="str">
        <f>AK38</f>
        <v>Технический паспорт № 1793 от 30.09.2023,</v>
      </c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</row>
    <row r="55" spans="1:83" x14ac:dyDescent="0.25">
      <c r="A55" s="68" t="str">
        <f>A39</f>
        <v xml:space="preserve">Информационное письмо Исх. № 1580 от 30.03.2021, Паспорт качества № 988-028-8392 от 24.09.2023, 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</row>
    <row r="56" spans="1:83" x14ac:dyDescent="0.25">
      <c r="A56" s="68" t="str">
        <f>A40</f>
        <v xml:space="preserve">Декларация о  соответствии № ЕАЭС N RU Д-RU.НХ37.В.13751/20 с 27.11.2020 по 26.11.2025, 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0"/>
    </row>
    <row r="57" spans="1:83" x14ac:dyDescent="0.25">
      <c r="A57" s="68" t="str">
        <f>A41</f>
        <v>Сертификат качества № 361.1 от 13.09.2023, Сертификат качества № 365.2 от 18.09.2023.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0"/>
    </row>
    <row r="58" spans="1:83" x14ac:dyDescent="0.25">
      <c r="A58" s="68" t="str">
        <f>A42</f>
        <v>Декларация о соответствии ЕАЭС № BY/112 11.01. ТР032 056.01 00694 с 14.09.2021 по 13.09.2026.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0"/>
    </row>
    <row r="59" spans="1:83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81" t="s">
        <v>32</v>
      </c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Y59" t="s">
        <v>82</v>
      </c>
    </row>
    <row r="60" spans="1:83" x14ac:dyDescent="0.25">
      <c r="A60" s="8" t="s">
        <v>33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22"/>
    </row>
    <row r="61" spans="1:83" x14ac:dyDescent="0.25">
      <c r="A61" s="32"/>
      <c r="B61" s="8"/>
      <c r="C61" s="8"/>
      <c r="D61" s="8" t="s">
        <v>34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7"/>
      <c r="X61" s="7"/>
      <c r="Y61" s="7"/>
      <c r="Z61" s="7"/>
      <c r="AA61" s="32"/>
      <c r="AB61" s="7"/>
      <c r="AC61" s="32"/>
      <c r="AD61" s="82" t="s">
        <v>35</v>
      </c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82"/>
    </row>
    <row r="62" spans="1:83" x14ac:dyDescent="0.25">
      <c r="A62" s="8"/>
      <c r="B62" s="8"/>
      <c r="C62" s="8"/>
      <c r="D62" s="8"/>
      <c r="E62" s="8"/>
      <c r="F62" s="8"/>
      <c r="G62" s="8"/>
      <c r="H62" s="8"/>
      <c r="I62" s="8"/>
      <c r="J62" s="84" t="s">
        <v>36</v>
      </c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</row>
    <row r="63" spans="1:83" x14ac:dyDescent="0.25">
      <c r="A63" s="10" t="s">
        <v>37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9"/>
      <c r="V63" s="27"/>
      <c r="W63" s="33"/>
      <c r="X63" s="28"/>
      <c r="Y63" s="80" t="str">
        <f>U33</f>
        <v>ПП2020РД-1.2-61.17-ИТП; ПП2020РД-1.2-61.17-ИТП.СО изм. 4, лист 11</v>
      </c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</row>
    <row r="64" spans="1:83" x14ac:dyDescent="0.25">
      <c r="A64" s="8" t="s">
        <v>38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32"/>
      <c r="M64" s="23"/>
      <c r="N64" s="83" t="s">
        <v>120</v>
      </c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</row>
    <row r="65" spans="1:77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32"/>
      <c r="M65" s="23"/>
      <c r="N65" s="101" t="s">
        <v>121</v>
      </c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65"/>
    </row>
    <row r="66" spans="1:77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</row>
    <row r="67" spans="1:77" x14ac:dyDescent="0.25">
      <c r="A67" s="8" t="s">
        <v>39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12"/>
    </row>
    <row r="68" spans="1:77" x14ac:dyDescent="0.25">
      <c r="A68" s="8" t="s">
        <v>12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100" t="str">
        <f>BJ20</f>
        <v>Кострова Н.Л.</v>
      </c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8"/>
      <c r="AP68" s="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"/>
      <c r="BG68" s="8"/>
      <c r="BH68" s="89">
        <f>AE18</f>
        <v>45244</v>
      </c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12"/>
    </row>
    <row r="69" spans="1:77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71" t="s">
        <v>59</v>
      </c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29"/>
      <c r="AP69" s="29"/>
      <c r="AQ69" s="71" t="s">
        <v>40</v>
      </c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29"/>
      <c r="BG69" s="29"/>
      <c r="BH69" s="71" t="s">
        <v>41</v>
      </c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25"/>
    </row>
    <row r="70" spans="1:77" x14ac:dyDescent="0.25">
      <c r="A70" s="8" t="s">
        <v>42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12"/>
      <c r="BY70" t="s">
        <v>83</v>
      </c>
    </row>
    <row r="71" spans="1:77" x14ac:dyDescent="0.25">
      <c r="A71" s="8" t="s">
        <v>43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100" t="str">
        <f>BJ22</f>
        <v>Халыгов Э. А.</v>
      </c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8"/>
      <c r="AP71" s="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"/>
      <c r="BG71" s="8"/>
      <c r="BH71" s="89">
        <f>BH68</f>
        <v>45244</v>
      </c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12"/>
    </row>
    <row r="72" spans="1:77" ht="16.2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71" t="s">
        <v>59</v>
      </c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29"/>
      <c r="AP72" s="29"/>
      <c r="AQ72" s="71" t="s">
        <v>40</v>
      </c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29"/>
      <c r="BG72" s="29"/>
      <c r="BH72" s="71" t="s">
        <v>41</v>
      </c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12"/>
      <c r="BY72" t="s">
        <v>84</v>
      </c>
    </row>
    <row r="73" spans="1:77" x14ac:dyDescent="0.25">
      <c r="A73" s="8" t="s">
        <v>39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12"/>
      <c r="BY73" t="s">
        <v>85</v>
      </c>
    </row>
    <row r="74" spans="1:77" x14ac:dyDescent="0.25">
      <c r="A74" s="8" t="s">
        <v>44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72" t="str">
        <f>BJ24</f>
        <v>Тюкин Е.В.</v>
      </c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8"/>
      <c r="AP74" s="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"/>
      <c r="BG74" s="8"/>
      <c r="BH74" s="89">
        <f>BH68</f>
        <v>45244</v>
      </c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12"/>
    </row>
    <row r="75" spans="1:77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71" t="s">
        <v>59</v>
      </c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29"/>
      <c r="AP75" s="29"/>
      <c r="AQ75" s="71" t="s">
        <v>40</v>
      </c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29"/>
      <c r="BG75" s="29"/>
      <c r="BH75" s="71" t="s">
        <v>41</v>
      </c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12"/>
    </row>
    <row r="76" spans="1:77" ht="13.8" customHeight="1" x14ac:dyDescent="0.25">
      <c r="A76" s="13"/>
      <c r="B76" s="13"/>
      <c r="C76" s="13"/>
      <c r="D76" s="7"/>
      <c r="E76" s="7"/>
      <c r="F76" s="7"/>
      <c r="G76" s="7"/>
      <c r="H76" s="7"/>
      <c r="I76" s="7"/>
      <c r="J76" s="7"/>
      <c r="K76" s="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12"/>
    </row>
    <row r="77" spans="1:77" x14ac:dyDescent="0.25">
      <c r="A77" s="114" t="s">
        <v>104</v>
      </c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4"/>
      <c r="AL77" s="114"/>
      <c r="AM77" s="13"/>
      <c r="AN77" s="13"/>
      <c r="AO77" s="8"/>
      <c r="AP77" s="8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8"/>
      <c r="BG77" s="8"/>
      <c r="BH77" s="77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12"/>
    </row>
    <row r="78" spans="1:77" ht="16.8" customHeight="1" x14ac:dyDescent="0.25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0"/>
      <c r="AN78" s="10"/>
      <c r="AO78" s="8"/>
      <c r="AP78" s="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8"/>
      <c r="BG78" s="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12"/>
    </row>
    <row r="79" spans="1:77" x14ac:dyDescent="0.25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12"/>
    </row>
    <row r="81" ht="13.8" customHeight="1" x14ac:dyDescent="0.25"/>
    <row r="84" ht="13.8" customHeight="1" x14ac:dyDescent="0.25"/>
  </sheetData>
  <mergeCells count="93">
    <mergeCell ref="A77:AL79"/>
    <mergeCell ref="A28:BT28"/>
    <mergeCell ref="E27:BT27"/>
    <mergeCell ref="S22:BI22"/>
    <mergeCell ref="BJ22:BT22"/>
    <mergeCell ref="T23:BJ23"/>
    <mergeCell ref="S24:BI24"/>
    <mergeCell ref="BJ24:BT24"/>
    <mergeCell ref="X75:AN75"/>
    <mergeCell ref="AQ75:BE75"/>
    <mergeCell ref="X69:AN69"/>
    <mergeCell ref="AQ69:BE69"/>
    <mergeCell ref="BH69:BS69"/>
    <mergeCell ref="BH75:BS75"/>
    <mergeCell ref="X72:AN72"/>
    <mergeCell ref="A40:BS40"/>
    <mergeCell ref="A12:BT12"/>
    <mergeCell ref="AE18:AT18"/>
    <mergeCell ref="T21:BJ21"/>
    <mergeCell ref="S20:BI20"/>
    <mergeCell ref="BJ20:BT20"/>
    <mergeCell ref="A17:BT17"/>
    <mergeCell ref="A16:BT16"/>
    <mergeCell ref="A13:BS13"/>
    <mergeCell ref="A14:BS14"/>
    <mergeCell ref="A15:BS15"/>
    <mergeCell ref="AH6:BT7"/>
    <mergeCell ref="G7:H7"/>
    <mergeCell ref="I7:O7"/>
    <mergeCell ref="AF9:AW9"/>
    <mergeCell ref="A10:BT10"/>
    <mergeCell ref="A3:E3"/>
    <mergeCell ref="F3:H3"/>
    <mergeCell ref="I3:K3"/>
    <mergeCell ref="A6:E6"/>
    <mergeCell ref="F6:H6"/>
    <mergeCell ref="I6:K6"/>
    <mergeCell ref="AQ72:BE72"/>
    <mergeCell ref="BH72:BS72"/>
    <mergeCell ref="X71:AN71"/>
    <mergeCell ref="AQ71:BE71"/>
    <mergeCell ref="BH71:BS71"/>
    <mergeCell ref="X68:AN68"/>
    <mergeCell ref="AQ68:BE68"/>
    <mergeCell ref="BH68:BS68"/>
    <mergeCell ref="A56:BS56"/>
    <mergeCell ref="A57:BS57"/>
    <mergeCell ref="A58:BS58"/>
    <mergeCell ref="N65:BS65"/>
    <mergeCell ref="BY27:CE28"/>
    <mergeCell ref="BY32:CD33"/>
    <mergeCell ref="BY37:CE51"/>
    <mergeCell ref="D45:BT45"/>
    <mergeCell ref="A36:BT36"/>
    <mergeCell ref="AK38:BT38"/>
    <mergeCell ref="A39:BT39"/>
    <mergeCell ref="A43:BT43"/>
    <mergeCell ref="A44:BT44"/>
    <mergeCell ref="A32:BT32"/>
    <mergeCell ref="U33:BT33"/>
    <mergeCell ref="P34:BT34"/>
    <mergeCell ref="U35:BT35"/>
    <mergeCell ref="Y50:BT50"/>
    <mergeCell ref="Y51:BT51"/>
    <mergeCell ref="A48:BS48"/>
    <mergeCell ref="AQ77:BE77"/>
    <mergeCell ref="BH77:BS77"/>
    <mergeCell ref="AQ78:BE78"/>
    <mergeCell ref="BH78:BS78"/>
    <mergeCell ref="A49:BT49"/>
    <mergeCell ref="Y63:BT63"/>
    <mergeCell ref="V59:BT59"/>
    <mergeCell ref="AD61:BT61"/>
    <mergeCell ref="N64:BT64"/>
    <mergeCell ref="J62:BT62"/>
    <mergeCell ref="AJ52:AS52"/>
    <mergeCell ref="AT52:BT52"/>
    <mergeCell ref="Q53:BT53"/>
    <mergeCell ref="X74:AN74"/>
    <mergeCell ref="AQ74:BE74"/>
    <mergeCell ref="BH74:BS74"/>
    <mergeCell ref="A47:BS47"/>
    <mergeCell ref="AA54:BT54"/>
    <mergeCell ref="A55:BT55"/>
    <mergeCell ref="A46:BS46"/>
    <mergeCell ref="T25:BJ25"/>
    <mergeCell ref="O26:BP26"/>
    <mergeCell ref="AK37:BT37"/>
    <mergeCell ref="A41:BS41"/>
    <mergeCell ref="A30:BS30"/>
    <mergeCell ref="A29:BS29"/>
    <mergeCell ref="A31:BS31"/>
    <mergeCell ref="A42:BS42"/>
  </mergeCells>
  <phoneticPr fontId="21" type="noConversion"/>
  <dataValidations count="4">
    <dataValidation type="list" errorStyle="information" allowBlank="1" showInputMessage="1" sqref="O26:BP26" xr:uid="{00000000-0002-0000-0000-000000000000}">
      <formula1>"выборочный,сплошной"</formula1>
    </dataValidation>
    <dataValidation type="list" allowBlank="1" showInputMessage="1" showErrorMessage="1" sqref="N26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8" fitToHeight="0" orientation="portrait" blackAndWhite="1" r:id="rId1"/>
  <rowBreaks count="1" manualBreakCount="1">
    <brk id="60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BJ24:BT24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BJ22:BT22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BJ20:BT20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T33:U33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S35:U35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workbookViewId="0">
      <selection activeCell="C4" sqref="C4"/>
    </sheetView>
  </sheetViews>
  <sheetFormatPr defaultColWidth="8.88671875" defaultRowHeight="13.8" x14ac:dyDescent="0.25"/>
  <cols>
    <col min="1" max="1" width="27.109375" style="34" customWidth="1"/>
    <col min="2" max="2" width="21.6640625" style="34" customWidth="1"/>
    <col min="3" max="3" width="49.77734375" style="34" customWidth="1"/>
    <col min="4" max="5" width="10.109375" style="34" customWidth="1"/>
    <col min="6" max="6" width="44.77734375" style="34" customWidth="1"/>
    <col min="7" max="16384" width="8.88671875" style="34"/>
  </cols>
  <sheetData>
    <row r="2" spans="1:6" ht="29.4" customHeight="1" x14ac:dyDescent="0.25">
      <c r="A2" s="40" t="s">
        <v>10</v>
      </c>
      <c r="B2" s="41" t="s">
        <v>74</v>
      </c>
      <c r="C2" s="41" t="s">
        <v>73</v>
      </c>
      <c r="D2" s="39" t="s">
        <v>71</v>
      </c>
      <c r="E2" s="39" t="s">
        <v>72</v>
      </c>
    </row>
    <row r="3" spans="1:6" x14ac:dyDescent="0.25">
      <c r="A3" s="35" t="s">
        <v>12</v>
      </c>
      <c r="B3" s="51" t="s">
        <v>108</v>
      </c>
      <c r="C3" s="63" t="s">
        <v>109</v>
      </c>
      <c r="D3" s="37">
        <v>44927</v>
      </c>
      <c r="E3" s="37">
        <v>45337</v>
      </c>
    </row>
    <row r="4" spans="1:6" x14ac:dyDescent="0.25">
      <c r="A4" s="35" t="s">
        <v>12</v>
      </c>
      <c r="B4" s="34" t="s">
        <v>75</v>
      </c>
      <c r="C4" s="43" t="s">
        <v>76</v>
      </c>
      <c r="D4" s="37">
        <v>45337</v>
      </c>
      <c r="E4" s="37">
        <v>45657</v>
      </c>
    </row>
    <row r="5" spans="1:6" x14ac:dyDescent="0.25">
      <c r="A5" s="35" t="s">
        <v>14</v>
      </c>
      <c r="B5" s="34" t="s">
        <v>66</v>
      </c>
      <c r="C5" s="36" t="s">
        <v>65</v>
      </c>
      <c r="D5" s="37">
        <v>45166</v>
      </c>
      <c r="E5" s="37">
        <v>45657</v>
      </c>
    </row>
    <row r="6" spans="1:6" x14ac:dyDescent="0.25">
      <c r="A6" s="35" t="s">
        <v>14</v>
      </c>
      <c r="B6" s="34" t="s">
        <v>78</v>
      </c>
      <c r="C6" s="36" t="s">
        <v>77</v>
      </c>
      <c r="D6" s="37">
        <v>44927</v>
      </c>
      <c r="E6" s="37">
        <v>45166</v>
      </c>
    </row>
    <row r="7" spans="1:6" ht="27.6" x14ac:dyDescent="0.25">
      <c r="A7" s="35" t="s">
        <v>14</v>
      </c>
      <c r="B7" s="46" t="s">
        <v>89</v>
      </c>
      <c r="C7" s="36" t="s">
        <v>65</v>
      </c>
      <c r="D7" s="37">
        <v>45278</v>
      </c>
      <c r="E7" s="37">
        <v>45342</v>
      </c>
      <c r="F7" s="45" t="s">
        <v>90</v>
      </c>
    </row>
    <row r="8" spans="1:6" ht="55.2" x14ac:dyDescent="0.25">
      <c r="A8" s="47" t="s">
        <v>15</v>
      </c>
      <c r="B8" s="48" t="s">
        <v>64</v>
      </c>
      <c r="C8" s="49" t="s">
        <v>63</v>
      </c>
      <c r="D8" s="50">
        <v>44927</v>
      </c>
      <c r="E8" s="50">
        <v>45657</v>
      </c>
    </row>
    <row r="9" spans="1:6" ht="55.2" x14ac:dyDescent="0.25">
      <c r="A9" s="38" t="s">
        <v>15</v>
      </c>
      <c r="B9" s="34" t="s">
        <v>88</v>
      </c>
      <c r="C9" s="44" t="s">
        <v>87</v>
      </c>
      <c r="F9" s="51" t="s">
        <v>91</v>
      </c>
    </row>
    <row r="11" spans="1:6" x14ac:dyDescent="0.25">
      <c r="A11" s="35"/>
    </row>
    <row r="12" spans="1:6" x14ac:dyDescent="0.25">
      <c r="A12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95</v>
      </c>
      <c r="B5" s="2" t="s">
        <v>48</v>
      </c>
      <c r="C5" s="2" t="s">
        <v>49</v>
      </c>
      <c r="D5" s="2" t="s">
        <v>103</v>
      </c>
    </row>
    <row r="6" spans="1:4" ht="27.6" x14ac:dyDescent="0.25">
      <c r="A6" s="6" t="s">
        <v>92</v>
      </c>
      <c r="B6" s="3" t="s">
        <v>50</v>
      </c>
      <c r="C6" s="5" t="s">
        <v>96</v>
      </c>
    </row>
    <row r="7" spans="1:4" x14ac:dyDescent="0.25">
      <c r="A7" s="6" t="s">
        <v>93</v>
      </c>
      <c r="B7" s="3" t="s">
        <v>51</v>
      </c>
      <c r="C7" s="1" t="s">
        <v>97</v>
      </c>
    </row>
    <row r="8" spans="1:4" x14ac:dyDescent="0.25">
      <c r="A8" s="6" t="s">
        <v>94</v>
      </c>
      <c r="B8" s="3" t="s">
        <v>52</v>
      </c>
      <c r="C8" s="1" t="s">
        <v>98</v>
      </c>
    </row>
    <row r="9" spans="1:4" x14ac:dyDescent="0.25">
      <c r="A9" s="6">
        <v>56</v>
      </c>
      <c r="B9" s="3" t="s">
        <v>53</v>
      </c>
      <c r="C9" s="1" t="s">
        <v>99</v>
      </c>
    </row>
    <row r="10" spans="1:4" ht="27.6" x14ac:dyDescent="0.25">
      <c r="A10" s="6">
        <v>57</v>
      </c>
      <c r="B10" s="3" t="s">
        <v>54</v>
      </c>
      <c r="C10" s="4" t="s">
        <v>100</v>
      </c>
    </row>
    <row r="11" spans="1:4" ht="27.6" x14ac:dyDescent="0.25">
      <c r="A11" s="6">
        <v>110</v>
      </c>
      <c r="B11" s="3" t="s">
        <v>55</v>
      </c>
      <c r="C11" s="6" t="s">
        <v>101</v>
      </c>
    </row>
    <row r="12" spans="1:4" ht="27.6" x14ac:dyDescent="0.25">
      <c r="A12" s="6">
        <v>111</v>
      </c>
      <c r="B12" s="3" t="s">
        <v>56</v>
      </c>
      <c r="C12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2025-11-27T15:00:08Z</cp:lastPrinted>
  <dcterms:created xsi:type="dcterms:W3CDTF">2023-09-19T09:44:50Z</dcterms:created>
  <dcterms:modified xsi:type="dcterms:W3CDTF">2025-11-27T15:01:12Z</dcterms:modified>
</cp:coreProperties>
</file>