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DE075663-82C9-4633-9804-EF8ECDF5D9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8" l="1"/>
  <c r="A47" i="18"/>
  <c r="A46" i="18"/>
  <c r="AA43" i="18"/>
  <c r="D37" i="18" l="1"/>
  <c r="A44" i="18"/>
  <c r="Q42" i="18" l="1"/>
  <c r="BW15" i="18" l="1"/>
  <c r="S20" i="18" l="1"/>
  <c r="S18" i="18"/>
  <c r="S16" i="18"/>
  <c r="X62" i="18" l="1"/>
  <c r="X59" i="18"/>
  <c r="BH56" i="18"/>
  <c r="BH62" i="18" s="1"/>
  <c r="X56" i="18"/>
  <c r="Y52" i="18"/>
  <c r="BH59" i="18" l="1"/>
</calcChain>
</file>

<file path=xl/sharedStrings.xml><?xml version="1.0" encoding="utf-8"?>
<sst xmlns="http://schemas.openxmlformats.org/spreadsheetml/2006/main" count="141" uniqueCount="118">
  <si>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</si>
  <si>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</si>
  <si>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</si>
  <si>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</si>
  <si>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</si>
  <si>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</si>
  <si>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</si>
  <si>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</si>
  <si>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</si>
  <si>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</si>
  <si>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</si>
  <si>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</si>
  <si>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</si>
  <si>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</si>
  <si>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</si>
  <si>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</si>
  <si>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</si>
  <si>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</si>
  <si>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</si>
  <si>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</si>
  <si>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</si>
  <si>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</si>
  <si>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</si>
  <si>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</si>
  <si>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</si>
  <si>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</si>
  <si>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</si>
  <si>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</si>
  <si>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</si>
  <si>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</si>
  <si>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</si>
  <si>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</si>
  <si>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</si>
  <si>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</si>
  <si>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</si>
  <si>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</si>
  <si>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</si>
  <si>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</si>
  <si>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</si>
  <si>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</si>
  <si>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</si>
  <si>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</si>
  <si>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</si>
  <si>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</si>
  <si>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</si>
  <si>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</si>
  <si>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</si>
  <si>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</si>
  <si>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</si>
  <si>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</si>
  <si>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</si>
  <si>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</si>
  <si>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</si>
  <si>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</si>
  <si>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</si>
  <si>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</si>
  <si>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</si>
  <si>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</si>
  <si>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</si>
  <si>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</si>
  <si>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</si>
  <si>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</si>
  <si>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</si>
  <si>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</si>
  <si>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</si>
  <si>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</si>
  <si>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</si>
  <si>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</si>
  <si>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</si>
  <si>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</si>
  <si>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</si>
  <si>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</si>
  <si>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</si>
  <si>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</si>
  <si>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</si>
  <si>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</si>
  <si>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</si>
  <si>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</si>
  <si>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</si>
  <si>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</si>
  <si>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</si>
  <si>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</si>
  <si>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</si>
  <si>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</si>
  <si>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</si>
  <si>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</si>
  <si>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</si>
  <si>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</si>
  <si>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</si>
  <si>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</si>
  <si>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</si>
  <si>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</si>
  <si>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</si>
  <si>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</si>
  <si>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</si>
  <si>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</si>
  <si>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</si>
  <si>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</si>
  <si>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</si>
  <si>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</si>
  <si>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</si>
  <si>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</si>
  <si>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</si>
  <si>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</si>
  <si>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</si>
  <si>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Кострова Н.Л.</t>
  </si>
  <si>
    <t>Руководитель группы МТО АО «Газстройпроект»</t>
  </si>
  <si>
    <t>АИР 1.2-61.17-ИТП/4рп</t>
  </si>
  <si>
    <t>Паспорт № 270923/1/62954298 от 27.09.2023; Паспорт № 200923/3/62976542 от 20.09.2023;</t>
  </si>
  <si>
    <t xml:space="preserve">Паспорт № 110923/1/62865757 от 11.09.2023; Сертификат соответствия № RU С-RU.ЧС13.В.00363/20 с 24.04.2020 </t>
  </si>
  <si>
    <t>Экспертное заключение № 1855г/2018 от 17.08.2018.</t>
  </si>
  <si>
    <t>по 24.04.2025; Декларация о соответствии № РОСС RU Д-RU.PA01.В.79950/21 с 25.05.2021 по 01.01.2026;</t>
  </si>
  <si>
    <t>Негорючие фольгированные цилиндры с усиленным защитным покрытием. Толщина 30 мм. Rockwool 100: Dвн=76, Dвн=57, Dвн=42, Dвн=32</t>
  </si>
  <si>
    <t>Изделия теплоизоляционные из каменной ваты. Цилиндры навивные ROCKWOOL 100: Dвн=76х30 - 4,67 м, Dвн=57х30 - 23,56 м, Dвн=42х30 - 7,88 м, Dвн=32х30 - 10,67 м.</t>
  </si>
  <si>
    <t>ПП2020РД-1.2-61.17-ИТП; ПП2020РД-1.2-61.17-ИТП.СО; изм.4; лист 11</t>
  </si>
  <si>
    <t>н/п</t>
  </si>
  <si>
    <t>Паспорт № 130923/2/63114758 от 13.09.2023;</t>
  </si>
  <si>
    <t>ГОСТ 32313-2020, ТУ 5762-050-45757203-15, ГОСТ 30244-94, ГОСТ 30402-96, ГОСТ 12.1.044-89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</si>
</sst>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6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3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4" fillId="4" borderId="3" xfId="1" applyFont="1" applyFill="1" applyBorder="1" applyAlignment="1">
      <alignment horizontal="left"/>
    </xf>
    <xf numFmtId="0" fontId="14" fillId="3" borderId="1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164" fontId="14" fillId="4" borderId="1" xfId="1" applyNumberFormat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wrapText="1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3" fillId="2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14" fontId="14" fillId="4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 vertical="center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4" fillId="2" borderId="0" xfId="1" applyFont="1" applyFill="1" applyAlignment="1">
      <alignment horizontal="left" vertical="top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24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27</xdr:row>
      <xdr:rowOff>0</xdr:rowOff>
    </xdr:from>
    <xdr:to>
      <xdr:col>75</xdr:col>
      <xdr:colOff>521970</xdr:colOff>
      <xdr:row>34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47</xdr:row>
      <xdr:rowOff>0</xdr:rowOff>
    </xdr:from>
    <xdr:to>
      <xdr:col>75</xdr:col>
      <xdr:colOff>521970</xdr:colOff>
      <xdr:row>47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57</xdr:row>
      <xdr:rowOff>0</xdr:rowOff>
    </xdr:from>
    <xdr:to>
      <xdr:col>75</xdr:col>
      <xdr:colOff>521970</xdr:colOff>
      <xdr:row>59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72"/>
  <sheetViews>
    <sheetView tabSelected="1" view="pageBreakPreview" zoomScaleNormal="100" zoomScaleSheetLayoutView="100" workbookViewId="0">
      <selection activeCell="AB68" sqref="AB68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76" t="s">
        <v>4</v>
      </c>
      <c r="B3" s="76"/>
      <c r="C3" s="76"/>
      <c r="D3" s="76"/>
      <c r="E3" s="76"/>
      <c r="F3" s="77" t="s">
        <v>5</v>
      </c>
      <c r="G3" s="77"/>
      <c r="H3" s="77"/>
      <c r="I3" s="73" t="s">
        <v>6</v>
      </c>
      <c r="J3" s="73"/>
      <c r="K3" s="7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76"/>
      <c r="B6" s="76"/>
      <c r="C6" s="76"/>
      <c r="D6" s="76"/>
      <c r="E6" s="76"/>
      <c r="F6" s="77"/>
      <c r="G6" s="77"/>
      <c r="H6" s="77"/>
      <c r="I6" s="73"/>
      <c r="J6" s="73"/>
      <c r="K6" s="73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1" t="s">
        <v>61</v>
      </c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</row>
    <row r="7" spans="1:75" x14ac:dyDescent="0.25">
      <c r="A7" s="8"/>
      <c r="B7" s="8"/>
      <c r="C7" s="8"/>
      <c r="D7" s="8"/>
      <c r="E7" s="8"/>
      <c r="F7" s="8"/>
      <c r="G7" s="72"/>
      <c r="H7" s="72"/>
      <c r="I7" s="73"/>
      <c r="J7" s="73"/>
      <c r="K7" s="73"/>
      <c r="L7" s="73"/>
      <c r="M7" s="73"/>
      <c r="N7" s="73"/>
      <c r="O7" s="73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74" t="s">
        <v>107</v>
      </c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75" t="s">
        <v>45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</row>
    <row r="11" spans="1:7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27.6" customHeight="1" x14ac:dyDescent="0.25">
      <c r="A12" s="68" t="s">
        <v>112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</row>
    <row r="13" spans="1:75" ht="13.8" customHeight="1" x14ac:dyDescent="0.25">
      <c r="A13" s="70" t="s">
        <v>46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</row>
    <row r="14" spans="1:75" ht="12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3" t="s">
        <v>9</v>
      </c>
      <c r="AB14" s="8"/>
      <c r="AC14" s="8"/>
      <c r="AD14" s="8"/>
      <c r="AE14" s="69">
        <v>45259</v>
      </c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15"/>
      <c r="AV14" s="15"/>
      <c r="AW14" s="15"/>
      <c r="AX14" s="15"/>
      <c r="AY14" s="15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12"/>
    </row>
    <row r="15" spans="1:75" x14ac:dyDescent="0.25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 t="s">
        <v>11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2">
        <f>AE14</f>
        <v>45259</v>
      </c>
    </row>
    <row r="16" spans="1:75" x14ac:dyDescent="0.25">
      <c r="A16" s="8" t="s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66" t="str">
        <f>VLOOKUP(BJ16,подписанты!$B$3:$C$11,2,FALSE)</f>
        <v>Руководитель группы МТО АО «Газстройпроект»</v>
      </c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4" t="s">
        <v>105</v>
      </c>
      <c r="BK16" s="64"/>
      <c r="BL16" s="64"/>
      <c r="BM16" s="64"/>
      <c r="BN16" s="64"/>
      <c r="BO16" s="64"/>
      <c r="BP16" s="64"/>
      <c r="BQ16" s="64"/>
      <c r="BR16" s="64"/>
      <c r="BS16" s="64"/>
      <c r="BT16" s="64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62" t="s">
        <v>13</v>
      </c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26"/>
      <c r="BL17" s="26"/>
      <c r="BM17" s="26"/>
      <c r="BN17" s="26"/>
      <c r="BO17" s="26"/>
      <c r="BP17" s="16"/>
      <c r="BQ17" s="16"/>
      <c r="BR17" s="16"/>
      <c r="BS17" s="16"/>
      <c r="BT17" s="16"/>
    </row>
    <row r="18" spans="1:83" x14ac:dyDescent="0.25">
      <c r="A18" s="8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63" t="str">
        <f>VLOOKUP(BJ18,подписанты!$B$3:$C$11,2,FALSE)</f>
        <v>Инженер отдела технического надзора АО «Газстройпроект»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4" t="s">
        <v>66</v>
      </c>
      <c r="BK18" s="64"/>
      <c r="BL18" s="64"/>
      <c r="BM18" s="64"/>
      <c r="BN18" s="64"/>
      <c r="BO18" s="64"/>
      <c r="BP18" s="64"/>
      <c r="BQ18" s="64"/>
      <c r="BR18" s="64"/>
      <c r="BS18" s="64"/>
      <c r="BT18" s="64"/>
    </row>
    <row r="19" spans="1:8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5" t="s">
        <v>13</v>
      </c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2"/>
      <c r="BK19" s="16"/>
      <c r="BL19" s="16"/>
      <c r="BM19" s="16"/>
      <c r="BN19" s="16"/>
      <c r="BO19" s="16"/>
      <c r="BP19" s="16"/>
      <c r="BQ19" s="16"/>
      <c r="BR19" s="16"/>
      <c r="BS19" s="16"/>
      <c r="BT19" s="16"/>
    </row>
    <row r="20" spans="1:83" ht="40.200000000000003" customHeight="1" x14ac:dyDescent="0.25">
      <c r="A20" s="8" t="s">
        <v>15</v>
      </c>
      <c r="B20" s="8"/>
      <c r="C20" s="8"/>
      <c r="D20" s="8"/>
      <c r="E20" s="8"/>
      <c r="F20" s="8"/>
      <c r="G20" s="8"/>
      <c r="H20" s="8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66" t="str">
        <f>VLOOKUP(BJ20,подписанты!$B$3:$C$11,2,FALSE)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7" t="s">
        <v>88</v>
      </c>
      <c r="BK20" s="67"/>
      <c r="BL20" s="67"/>
      <c r="BM20" s="67"/>
      <c r="BN20" s="67"/>
      <c r="BO20" s="67"/>
      <c r="BP20" s="67"/>
      <c r="BQ20" s="67"/>
      <c r="BR20" s="67"/>
      <c r="BS20" s="67"/>
      <c r="BT20" s="67"/>
    </row>
    <row r="21" spans="1:83" ht="13.2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62" t="s">
        <v>13</v>
      </c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83" x14ac:dyDescent="0.25">
      <c r="A22" s="8" t="s">
        <v>16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7"/>
      <c r="O22" s="98" t="s">
        <v>86</v>
      </c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8" t="s">
        <v>17</v>
      </c>
      <c r="BR22" s="13"/>
      <c r="BS22" s="13"/>
      <c r="BT22" s="13"/>
    </row>
    <row r="23" spans="1:83" x14ac:dyDescent="0.25">
      <c r="A23" s="8"/>
      <c r="B23" s="8"/>
      <c r="C23" s="8"/>
      <c r="D23" s="8"/>
      <c r="E23" s="87" t="s">
        <v>47</v>
      </c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Y23" s="78" t="s">
        <v>79</v>
      </c>
      <c r="BZ23" s="78"/>
      <c r="CA23" s="78"/>
      <c r="CB23" s="78"/>
      <c r="CC23" s="78"/>
      <c r="CD23" s="78"/>
      <c r="CE23" s="78"/>
    </row>
    <row r="24" spans="1:83" ht="25.8" customHeight="1" x14ac:dyDescent="0.25">
      <c r="A24" s="68" t="s">
        <v>113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Y24" s="78"/>
      <c r="BZ24" s="78"/>
      <c r="CA24" s="78"/>
      <c r="CB24" s="78"/>
      <c r="CC24" s="78"/>
      <c r="CD24" s="78"/>
      <c r="CE24" s="78"/>
    </row>
    <row r="25" spans="1:83" ht="13.8" customHeight="1" x14ac:dyDescent="0.25">
      <c r="A25" s="10" t="s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4"/>
      <c r="S25" s="8"/>
      <c r="T25" s="53"/>
      <c r="U25" s="83" t="s">
        <v>114</v>
      </c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Y25" s="78"/>
      <c r="BZ25" s="78"/>
      <c r="CA25" s="78"/>
      <c r="CB25" s="78"/>
      <c r="CC25" s="78"/>
      <c r="CD25" s="78"/>
    </row>
    <row r="26" spans="1:8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84" t="s">
        <v>19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</row>
    <row r="27" spans="1:83" x14ac:dyDescent="0.25">
      <c r="A27" s="10" t="s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0"/>
      <c r="T27" s="20"/>
      <c r="U27" s="85" t="s">
        <v>51</v>
      </c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</row>
    <row r="28" spans="1:83" x14ac:dyDescent="0.25">
      <c r="A28" s="65" t="s">
        <v>21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Y28" s="42" t="s">
        <v>80</v>
      </c>
    </row>
    <row r="29" spans="1:83" ht="13.95" customHeight="1" x14ac:dyDescent="0.25">
      <c r="A29" s="8"/>
      <c r="B29" s="8"/>
      <c r="C29" s="8"/>
      <c r="D29" s="8" t="s">
        <v>22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9"/>
      <c r="AG29" s="7"/>
      <c r="AH29" s="7"/>
      <c r="AI29" s="7"/>
      <c r="AJ29" s="7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Y29" s="78" t="s">
        <v>81</v>
      </c>
      <c r="BZ29" s="78"/>
      <c r="CA29" s="78"/>
      <c r="CB29" s="78"/>
      <c r="CC29" s="78"/>
      <c r="CD29" s="78"/>
      <c r="CE29" s="78"/>
    </row>
    <row r="30" spans="1:83" ht="13.95" customHeight="1" x14ac:dyDescent="0.25">
      <c r="A30" s="8" t="s">
        <v>23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0"/>
      <c r="AJ30" s="8"/>
      <c r="AK30" s="80" t="s">
        <v>116</v>
      </c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Y30" s="78"/>
      <c r="BZ30" s="78"/>
      <c r="CA30" s="78"/>
      <c r="CB30" s="78"/>
      <c r="CC30" s="78"/>
      <c r="CD30" s="78"/>
      <c r="CE30" s="78"/>
    </row>
    <row r="31" spans="1:83" x14ac:dyDescent="0.25">
      <c r="A31" s="81" t="s">
        <v>108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Y31" s="78"/>
      <c r="BZ31" s="78"/>
      <c r="CA31" s="78"/>
      <c r="CB31" s="78"/>
      <c r="CC31" s="78"/>
      <c r="CD31" s="78"/>
      <c r="CE31" s="78"/>
    </row>
    <row r="32" spans="1:83" x14ac:dyDescent="0.25">
      <c r="A32" s="60" t="s">
        <v>109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58"/>
      <c r="BY32" s="78"/>
      <c r="BZ32" s="78"/>
      <c r="CA32" s="78"/>
      <c r="CB32" s="78"/>
      <c r="CC32" s="78"/>
      <c r="CD32" s="78"/>
      <c r="CE32" s="78"/>
    </row>
    <row r="33" spans="1:83" x14ac:dyDescent="0.25">
      <c r="A33" s="60" t="s">
        <v>111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58"/>
      <c r="BY33" s="78"/>
      <c r="BZ33" s="78"/>
      <c r="CA33" s="78"/>
      <c r="CB33" s="78"/>
      <c r="CC33" s="78"/>
      <c r="CD33" s="78"/>
      <c r="CE33" s="78"/>
    </row>
    <row r="34" spans="1:83" x14ac:dyDescent="0.25">
      <c r="A34" s="60" t="s">
        <v>110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58"/>
      <c r="BY34" s="78"/>
      <c r="BZ34" s="78"/>
      <c r="CA34" s="78"/>
      <c r="CB34" s="78"/>
      <c r="CC34" s="78"/>
      <c r="CD34" s="78"/>
      <c r="CE34" s="78"/>
    </row>
    <row r="35" spans="1:83" x14ac:dyDescent="0.25">
      <c r="A35" s="62" t="s">
        <v>24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Y35" s="78"/>
      <c r="BZ35" s="78"/>
      <c r="CA35" s="78"/>
      <c r="CB35" s="78"/>
      <c r="CC35" s="78"/>
      <c r="CD35" s="78"/>
      <c r="CE35" s="78"/>
    </row>
    <row r="36" spans="1:83" x14ac:dyDescent="0.25">
      <c r="A36" s="82" t="s">
        <v>57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Y36" s="78"/>
      <c r="BZ36" s="78"/>
      <c r="CA36" s="78"/>
      <c r="CB36" s="78"/>
      <c r="CC36" s="78"/>
      <c r="CD36" s="78"/>
      <c r="CE36" s="78"/>
    </row>
    <row r="37" spans="1:83" ht="25.2" customHeight="1" x14ac:dyDescent="0.25">
      <c r="A37" s="17" t="s">
        <v>58</v>
      </c>
      <c r="B37" s="18"/>
      <c r="C37" s="18"/>
      <c r="D37" s="79" t="str">
        <f>A24</f>
        <v>Изделия теплоизоляционные из каменной ваты. Цилиндры навивные ROCKWOOL 100: Dвн=76х30 - 4,67 м, Dвн=57х30 - 23,56 м, Dвн=42х30 - 7,88 м, Dвн=32х30 - 10,67 м.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Y37" s="78"/>
      <c r="BZ37" s="78"/>
      <c r="CA37" s="78"/>
      <c r="CB37" s="78"/>
      <c r="CC37" s="78"/>
      <c r="CD37" s="78"/>
      <c r="CE37" s="78"/>
    </row>
    <row r="38" spans="1:83" ht="13.8" customHeight="1" x14ac:dyDescent="0.25">
      <c r="A38" s="89" t="s">
        <v>25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Y38" s="78"/>
      <c r="BZ38" s="78"/>
      <c r="CA38" s="78"/>
      <c r="CB38" s="78"/>
      <c r="CC38" s="78"/>
      <c r="CD38" s="78"/>
      <c r="CE38" s="78"/>
    </row>
    <row r="39" spans="1:83" ht="13.8" customHeight="1" x14ac:dyDescent="0.25">
      <c r="A39" s="8" t="s">
        <v>26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56"/>
      <c r="Y39" s="86" t="s">
        <v>115</v>
      </c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55"/>
      <c r="BY39" s="78"/>
      <c r="BZ39" s="78"/>
      <c r="CA39" s="78"/>
      <c r="CB39" s="78"/>
      <c r="CC39" s="78"/>
      <c r="CD39" s="78"/>
      <c r="CE39" s="78"/>
    </row>
    <row r="40" spans="1:8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9"/>
      <c r="Y40" s="62" t="s">
        <v>27</v>
      </c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Y40" s="78"/>
      <c r="BZ40" s="78"/>
      <c r="CA40" s="78"/>
      <c r="CB40" s="78"/>
      <c r="CC40" s="78"/>
      <c r="CD40" s="78"/>
      <c r="CE40" s="78"/>
    </row>
    <row r="41" spans="1:83" x14ac:dyDescent="0.25">
      <c r="A41" s="8" t="s">
        <v>28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7"/>
      <c r="AG41" s="7"/>
      <c r="AH41" s="7"/>
      <c r="AI41" s="7"/>
      <c r="AJ41" s="95" t="s">
        <v>29</v>
      </c>
      <c r="AK41" s="95"/>
      <c r="AL41" s="95"/>
      <c r="AM41" s="95"/>
      <c r="AN41" s="95"/>
      <c r="AO41" s="95"/>
      <c r="AP41" s="95"/>
      <c r="AQ41" s="95"/>
      <c r="AR41" s="95"/>
      <c r="AS41" s="95"/>
      <c r="AT41" s="96" t="s">
        <v>70</v>
      </c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</row>
    <row r="42" spans="1:83" x14ac:dyDescent="0.25">
      <c r="A42" s="10" t="s">
        <v>30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3"/>
      <c r="O42" s="53"/>
      <c r="P42" s="53"/>
      <c r="Q42" s="97" t="str">
        <f>U25</f>
        <v>ПП2020РД-1.2-61.17-ИТП; ПП2020РД-1.2-61.17-ИТП.СО; изм.4; лист 11</v>
      </c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</row>
    <row r="43" spans="1:83" x14ac:dyDescent="0.25">
      <c r="A43" s="8"/>
      <c r="B43" s="8"/>
      <c r="C43" s="8"/>
      <c r="D43" s="10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0"/>
      <c r="X43" s="8"/>
      <c r="Y43" s="31"/>
      <c r="Z43" s="31"/>
      <c r="AA43" s="101" t="str">
        <f>AK30</f>
        <v>Паспорт № 130923/2/63114758 от 13.09.2023;</v>
      </c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</row>
    <row r="44" spans="1:83" x14ac:dyDescent="0.25">
      <c r="A44" s="61" t="str">
        <f>A31</f>
        <v>Паспорт № 270923/1/62954298 от 27.09.2023; Паспорт № 200923/3/62976542 от 20.09.2023;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</row>
    <row r="45" spans="1:83" x14ac:dyDescent="0.25">
      <c r="A45" s="61" t="str">
        <f>A32</f>
        <v xml:space="preserve">Паспорт № 110923/1/62865757 от 11.09.2023; Сертификат соответствия № RU С-RU.ЧС13.В.00363/20 с 24.04.2020 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57"/>
    </row>
    <row r="46" spans="1:83" x14ac:dyDescent="0.25">
      <c r="A46" s="61" t="str">
        <f>A33</f>
        <v>по 24.04.2025; Декларация о соответствии № РОСС RU Д-RU.PA01.В.79950/21 с 25.05.2021 по 01.01.2026;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</row>
    <row r="47" spans="1:83" x14ac:dyDescent="0.25">
      <c r="A47" s="61" t="str">
        <f>A34</f>
        <v>Экспертное заключение № 1855г/2018 от 17.08.2018.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</row>
    <row r="48" spans="1:83" ht="12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91" t="s">
        <v>32</v>
      </c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Y48" t="s">
        <v>82</v>
      </c>
    </row>
    <row r="49" spans="1:77" x14ac:dyDescent="0.25">
      <c r="A49" s="8" t="s">
        <v>33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22"/>
    </row>
    <row r="50" spans="1:77" x14ac:dyDescent="0.25">
      <c r="A50" s="32"/>
      <c r="B50" s="8"/>
      <c r="C50" s="8"/>
      <c r="D50" s="8" t="s">
        <v>34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7"/>
      <c r="X50" s="7"/>
      <c r="Y50" s="7"/>
      <c r="Z50" s="7"/>
      <c r="AA50" s="32"/>
      <c r="AB50" s="7"/>
      <c r="AC50" s="32"/>
      <c r="AD50" s="92" t="s">
        <v>35</v>
      </c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</row>
    <row r="51" spans="1:77" x14ac:dyDescent="0.25">
      <c r="A51" s="8"/>
      <c r="B51" s="8"/>
      <c r="C51" s="8"/>
      <c r="D51" s="8"/>
      <c r="E51" s="8"/>
      <c r="F51" s="8"/>
      <c r="G51" s="8"/>
      <c r="H51" s="8"/>
      <c r="I51" s="8"/>
      <c r="J51" s="94" t="s">
        <v>36</v>
      </c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</row>
    <row r="52" spans="1:77" x14ac:dyDescent="0.25">
      <c r="A52" s="10" t="s">
        <v>37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27"/>
      <c r="W52" s="33"/>
      <c r="X52" s="28"/>
      <c r="Y52" s="90" t="str">
        <f>U25</f>
        <v>ПП2020РД-1.2-61.17-ИТП; ПП2020РД-1.2-61.17-ИТП.СО; изм.4; лист 11</v>
      </c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</row>
    <row r="53" spans="1:77" x14ac:dyDescent="0.25">
      <c r="A53" s="8" t="s">
        <v>38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32"/>
      <c r="M53" s="23"/>
      <c r="N53" s="93" t="s">
        <v>117</v>
      </c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</row>
    <row r="54" spans="1:7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</row>
    <row r="55" spans="1:77" x14ac:dyDescent="0.25">
      <c r="A55" s="8" t="s">
        <v>39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12"/>
    </row>
    <row r="56" spans="1:77" x14ac:dyDescent="0.25">
      <c r="A56" s="8" t="s">
        <v>12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04" t="str">
        <f>BJ16</f>
        <v>Кострова Н.Л.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8"/>
      <c r="AP56" s="8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8"/>
      <c r="BG56" s="8"/>
      <c r="BH56" s="100">
        <f>AE14</f>
        <v>45259</v>
      </c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2"/>
    </row>
    <row r="57" spans="1:7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62" t="s">
        <v>59</v>
      </c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29"/>
      <c r="AP57" s="29"/>
      <c r="AQ57" s="62" t="s">
        <v>40</v>
      </c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29"/>
      <c r="BG57" s="29"/>
      <c r="BH57" s="62" t="s">
        <v>41</v>
      </c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25"/>
    </row>
    <row r="58" spans="1:77" x14ac:dyDescent="0.25">
      <c r="A58" s="8" t="s">
        <v>42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12"/>
      <c r="BY58" t="s">
        <v>83</v>
      </c>
    </row>
    <row r="59" spans="1:77" x14ac:dyDescent="0.25">
      <c r="A59" s="8" t="s">
        <v>43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104" t="str">
        <f>BJ18</f>
        <v>Халыгов Э. А.</v>
      </c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8"/>
      <c r="AP59" s="8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8"/>
      <c r="BG59" s="8"/>
      <c r="BH59" s="100">
        <f>BH56</f>
        <v>45259</v>
      </c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12"/>
    </row>
    <row r="60" spans="1:77" ht="16.2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62" t="s">
        <v>59</v>
      </c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29"/>
      <c r="AP60" s="29"/>
      <c r="AQ60" s="62" t="s">
        <v>40</v>
      </c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29"/>
      <c r="BG60" s="29"/>
      <c r="BH60" s="62" t="s">
        <v>41</v>
      </c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12"/>
      <c r="BY60" t="s">
        <v>84</v>
      </c>
    </row>
    <row r="61" spans="1:77" x14ac:dyDescent="0.25">
      <c r="A61" s="8" t="s">
        <v>39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12"/>
      <c r="BY61" t="s">
        <v>85</v>
      </c>
    </row>
    <row r="62" spans="1:77" x14ac:dyDescent="0.25">
      <c r="A62" s="8" t="s">
        <v>44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8" t="str">
        <f>BJ20</f>
        <v>Тюкин Е.В.</v>
      </c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8"/>
      <c r="AP62" s="8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8"/>
      <c r="BG62" s="8"/>
      <c r="BH62" s="100">
        <f>BH56</f>
        <v>45259</v>
      </c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12"/>
    </row>
    <row r="63" spans="1:77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62" t="s">
        <v>59</v>
      </c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29"/>
      <c r="AP63" s="29"/>
      <c r="AQ63" s="62" t="s">
        <v>40</v>
      </c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29"/>
      <c r="BG63" s="29"/>
      <c r="BH63" s="62" t="s">
        <v>41</v>
      </c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12"/>
    </row>
    <row r="64" spans="1:77" hidden="1" x14ac:dyDescent="0.25">
      <c r="A64" s="13"/>
      <c r="B64" s="13"/>
      <c r="C64" s="13"/>
      <c r="D64" s="7"/>
      <c r="E64" s="7"/>
      <c r="F64" s="7"/>
      <c r="G64" s="7"/>
      <c r="H64" s="7"/>
      <c r="I64" s="7"/>
      <c r="J64" s="7"/>
      <c r="K64" s="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12"/>
    </row>
    <row r="65" spans="1:72" x14ac:dyDescent="0.25">
      <c r="A65" s="105" t="s">
        <v>104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3"/>
      <c r="AN65" s="13"/>
      <c r="AO65" s="8"/>
      <c r="AP65" s="8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8"/>
      <c r="BG65" s="8"/>
      <c r="BH65" s="103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12"/>
    </row>
    <row r="66" spans="1:72" ht="16.8" customHeight="1" x14ac:dyDescent="0.25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"/>
      <c r="AN66" s="10"/>
      <c r="AO66" s="8"/>
      <c r="AP66" s="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"/>
      <c r="BG66" s="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12"/>
    </row>
    <row r="67" spans="1:72" x14ac:dyDescent="0.25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2"/>
    </row>
    <row r="69" spans="1:72" ht="13.8" customHeight="1" x14ac:dyDescent="0.25"/>
    <row r="72" spans="1:72" ht="13.8" customHeight="1" x14ac:dyDescent="0.25"/>
  </sheetData>
  <mergeCells count="81">
    <mergeCell ref="T21:BJ21"/>
    <mergeCell ref="O22:BP22"/>
    <mergeCell ref="AK29:BT29"/>
    <mergeCell ref="AQ65:BE65"/>
    <mergeCell ref="BH65:BS65"/>
    <mergeCell ref="X56:AN56"/>
    <mergeCell ref="AQ56:BE56"/>
    <mergeCell ref="BH56:BS56"/>
    <mergeCell ref="A45:BS45"/>
    <mergeCell ref="AQ60:BE60"/>
    <mergeCell ref="BH60:BS60"/>
    <mergeCell ref="X59:AN59"/>
    <mergeCell ref="AQ59:BE59"/>
    <mergeCell ref="BH59:BS59"/>
    <mergeCell ref="A65:AL67"/>
    <mergeCell ref="X63:AN63"/>
    <mergeCell ref="AQ66:BE66"/>
    <mergeCell ref="BH66:BS66"/>
    <mergeCell ref="A38:BT38"/>
    <mergeCell ref="Y52:BT52"/>
    <mergeCell ref="V48:BT48"/>
    <mergeCell ref="AD50:BT50"/>
    <mergeCell ref="N53:BT53"/>
    <mergeCell ref="J51:BT51"/>
    <mergeCell ref="AJ41:AS41"/>
    <mergeCell ref="AT41:BT41"/>
    <mergeCell ref="Q42:BT42"/>
    <mergeCell ref="X62:AN62"/>
    <mergeCell ref="AQ62:BE62"/>
    <mergeCell ref="BH62:BS62"/>
    <mergeCell ref="AA43:BT43"/>
    <mergeCell ref="A44:BT44"/>
    <mergeCell ref="BY23:CE24"/>
    <mergeCell ref="BY25:CD25"/>
    <mergeCell ref="BY29:CE40"/>
    <mergeCell ref="D37:BT37"/>
    <mergeCell ref="A28:BT28"/>
    <mergeCell ref="AK30:BT30"/>
    <mergeCell ref="A31:BT31"/>
    <mergeCell ref="A35:BT35"/>
    <mergeCell ref="A36:BT36"/>
    <mergeCell ref="U25:BT25"/>
    <mergeCell ref="P26:BT26"/>
    <mergeCell ref="U27:BT27"/>
    <mergeCell ref="Y39:BT39"/>
    <mergeCell ref="Y40:BT40"/>
    <mergeCell ref="A24:BT24"/>
    <mergeCell ref="E23:BT23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AE14:AT14"/>
    <mergeCell ref="T17:BJ17"/>
    <mergeCell ref="S16:BI16"/>
    <mergeCell ref="BJ16:BT16"/>
    <mergeCell ref="A13:BT13"/>
    <mergeCell ref="S18:BI18"/>
    <mergeCell ref="BJ18:BT18"/>
    <mergeCell ref="T19:BJ19"/>
    <mergeCell ref="S20:BI20"/>
    <mergeCell ref="BJ20:BT20"/>
    <mergeCell ref="AQ63:BE63"/>
    <mergeCell ref="X57:AN57"/>
    <mergeCell ref="AQ57:BE57"/>
    <mergeCell ref="BH57:BS57"/>
    <mergeCell ref="BH63:BS63"/>
    <mergeCell ref="X60:AN60"/>
    <mergeCell ref="A33:BS33"/>
    <mergeCell ref="A32:BS32"/>
    <mergeCell ref="A34:BS34"/>
    <mergeCell ref="A46:BT46"/>
    <mergeCell ref="A47:BT47"/>
  </mergeCells>
  <phoneticPr fontId="21" type="noConversion"/>
  <dataValidations count="4">
    <dataValidation type="list" errorStyle="information" allowBlank="1" showInputMessage="1" sqref="O22:BP22" xr:uid="{00000000-0002-0000-0000-000000000000}">
      <formula1>"выборочный,сплошной"</formula1>
    </dataValidation>
    <dataValidation type="list" allowBlank="1" showInputMessage="1" showErrorMessage="1" sqref="N22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8" fitToHeight="0" orientation="portrait" blackAndWhite="1" r:id="rId1"/>
  <rowBreaks count="1" manualBreakCount="1">
    <brk id="53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BJ20:BT20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BJ18:BT18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BJ16:BT16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T25:U25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S27:U27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3" sqref="B3:C3"/>
    </sheetView>
  </sheetViews>
  <sheetFormatPr defaultColWidth="8.88671875" defaultRowHeight="13.8" x14ac:dyDescent="0.25"/>
  <cols>
    <col min="1" max="1" width="27.109375" style="34" customWidth="1"/>
    <col min="2" max="2" width="21.6640625" style="34" customWidth="1"/>
    <col min="3" max="3" width="49.77734375" style="34" customWidth="1"/>
    <col min="4" max="5" width="10.109375" style="34" customWidth="1"/>
    <col min="6" max="6" width="44.77734375" style="34" customWidth="1"/>
    <col min="7" max="16384" width="8.88671875" style="34"/>
  </cols>
  <sheetData>
    <row r="2" spans="1:6" ht="29.4" customHeight="1" x14ac:dyDescent="0.25">
      <c r="A2" s="40" t="s">
        <v>10</v>
      </c>
      <c r="B2" s="41" t="s">
        <v>74</v>
      </c>
      <c r="C2" s="41" t="s">
        <v>73</v>
      </c>
      <c r="D2" s="39" t="s">
        <v>71</v>
      </c>
      <c r="E2" s="39" t="s">
        <v>72</v>
      </c>
    </row>
    <row r="3" spans="1:6" x14ac:dyDescent="0.25">
      <c r="A3" s="35" t="s">
        <v>12</v>
      </c>
      <c r="B3" s="51" t="s">
        <v>105</v>
      </c>
      <c r="C3" s="59" t="s">
        <v>106</v>
      </c>
      <c r="D3" s="37">
        <v>44927</v>
      </c>
      <c r="E3" s="37">
        <v>45337</v>
      </c>
    </row>
    <row r="4" spans="1:6" x14ac:dyDescent="0.25">
      <c r="A4" s="35" t="s">
        <v>12</v>
      </c>
      <c r="B4" s="34" t="s">
        <v>75</v>
      </c>
      <c r="C4" s="43" t="s">
        <v>76</v>
      </c>
      <c r="D4" s="37">
        <v>45337</v>
      </c>
      <c r="E4" s="37">
        <v>45657</v>
      </c>
    </row>
    <row r="5" spans="1:6" x14ac:dyDescent="0.25">
      <c r="A5" s="35" t="s">
        <v>14</v>
      </c>
      <c r="B5" s="34" t="s">
        <v>66</v>
      </c>
      <c r="C5" s="36" t="s">
        <v>65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78</v>
      </c>
      <c r="C6" s="36" t="s">
        <v>77</v>
      </c>
      <c r="D6" s="37">
        <v>44927</v>
      </c>
      <c r="E6" s="37">
        <v>45166</v>
      </c>
    </row>
    <row r="7" spans="1:6" ht="27.6" x14ac:dyDescent="0.25">
      <c r="A7" s="35" t="s">
        <v>14</v>
      </c>
      <c r="B7" s="46" t="s">
        <v>89</v>
      </c>
      <c r="C7" s="36" t="s">
        <v>65</v>
      </c>
      <c r="D7" s="37">
        <v>45278</v>
      </c>
      <c r="E7" s="37">
        <v>45342</v>
      </c>
      <c r="F7" s="45" t="s">
        <v>90</v>
      </c>
    </row>
    <row r="8" spans="1:6" ht="55.2" x14ac:dyDescent="0.25">
      <c r="A8" s="47" t="s">
        <v>15</v>
      </c>
      <c r="B8" s="48" t="s">
        <v>64</v>
      </c>
      <c r="C8" s="49" t="s">
        <v>63</v>
      </c>
      <c r="D8" s="50">
        <v>44927</v>
      </c>
      <c r="E8" s="50">
        <v>45657</v>
      </c>
    </row>
    <row r="9" spans="1:6" ht="55.2" x14ac:dyDescent="0.25">
      <c r="A9" s="38" t="s">
        <v>15</v>
      </c>
      <c r="B9" s="34" t="s">
        <v>88</v>
      </c>
      <c r="C9" s="44" t="s">
        <v>87</v>
      </c>
      <c r="F9" s="51" t="s">
        <v>91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HOST</cp:lastModifiedBy>
  <cp:lastPrinted>2025-12-02T12:27:03Z</cp:lastPrinted>
  <dcterms:created xsi:type="dcterms:W3CDTF">2023-09-19T09:44:50Z</dcterms:created>
  <dcterms:modified xsi:type="dcterms:W3CDTF">2026-02-09T08:40:25Z</dcterms:modified>
</cp:coreProperties>
</file>