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Стажеры\Лиза\ИТП\61.17 ИТП\"/>
    </mc:Choice>
  </mc:AlternateContent>
  <xr:revisionPtr revIDLastSave="0" documentId="13_ncr:1_{D20DAE3F-CD87-466B-B348-3D8B001ECD18}" xr6:coauthVersionLast="47" xr6:coauthVersionMax="47" xr10:uidLastSave="{00000000-0000-0000-0000-000000000000}"/>
  <bookViews>
    <workbookView xWindow="3144" yWindow="156" windowWidth="11544" windowHeight="12216" xr2:uid="{00000000-000D-0000-FFFF-FFFF00000000}"/>
  </bookViews>
  <sheets>
    <sheet name="акт" sheetId="18" r:id="rId1"/>
    <sheet name="подписанты" sheetId="8" r:id="rId2"/>
    <sheet name="Лист общих данных" sheetId="2" r:id="rId3"/>
  </sheets>
  <definedNames>
    <definedName name="_xlnm.Print_Area" localSheetId="0">акт!$A$1:$BT$136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1" i="18" l="1"/>
  <c r="D106" i="18"/>
  <c r="D107" i="18"/>
  <c r="D108" i="18"/>
  <c r="D109" i="18"/>
  <c r="D110" i="18"/>
  <c r="D105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BW40" i="18"/>
  <c r="S41" i="18"/>
  <c r="S43" i="18"/>
  <c r="D87" i="18"/>
  <c r="AA117" i="18" l="1"/>
  <c r="A119" i="18" l="1"/>
  <c r="D86" i="18" l="1"/>
  <c r="A118" i="18"/>
  <c r="Q116" i="18" l="1"/>
  <c r="S45" i="18" l="1"/>
  <c r="X133" i="18" l="1"/>
  <c r="X130" i="18"/>
  <c r="BH127" i="18"/>
  <c r="BH133" i="18" s="1"/>
  <c r="X127" i="18"/>
  <c r="Y124" i="18"/>
  <c r="BH130" i="18" l="1"/>
</calcChain>
</file>

<file path=xl/sharedStrings.xml><?xml version="1.0" encoding="utf-8"?>
<sst xmlns="http://schemas.openxmlformats.org/spreadsheetml/2006/main" count="188" uniqueCount="163">
  <si>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</si>
  <si>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</si>
  <si>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</si>
  <si>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</si>
  <si>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</si>
  <si>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</si>
  <si>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</si>
  <si>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</si>
  <si>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</si>
  <si>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</si>
  <si>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</si>
  <si>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</si>
  <si>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</si>
  <si>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</si>
  <si>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</si>
  <si>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</si>
  <si>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</si>
  <si>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</si>
  <si>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</si>
  <si>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</si>
  <si>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</si>
  <si>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</si>
  <si>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</si>
  <si>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</si>
  <si>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</si>
  <si>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</si>
  <si>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</si>
  <si>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</si>
  <si>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</si>
  <si>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</si>
  <si>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</si>
  <si>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</si>
  <si>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</si>
  <si>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</si>
  <si>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</si>
  <si>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</si>
  <si>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</si>
  <si>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</si>
  <si>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</si>
  <si>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</si>
  <si>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</si>
  <si>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</si>
  <si>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</si>
  <si>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</si>
  <si>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</si>
  <si>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</si>
  <si>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</si>
  <si>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</si>
  <si>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</si>
  <si>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</si>
  <si>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</si>
  <si>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</si>
  <si>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</si>
  <si>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</si>
  <si>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</si>
  <si>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</si>
  <si>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</si>
  <si>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</si>
  <si>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</si>
  <si>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</si>
  <si>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</si>
  <si>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</si>
  <si>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</si>
  <si>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</si>
  <si>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</si>
  <si>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</si>
  <si>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</si>
  <si>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</si>
  <si>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</si>
  <si>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</si>
  <si>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</si>
  <si>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</si>
  <si>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</si>
  <si>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</si>
  <si>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</si>
  <si>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</si>
  <si>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</si>
  <si>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Ведущий нженер отдела технического надзора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</si>
  <si>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</si>
  <si>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</si>
  <si>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</si>
  <si>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</si>
  <si>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</si>
  <si>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</si>
  <si>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</si>
  <si>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</si>
  <si>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</si>
  <si>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</si>
  <si>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</si>
  <si>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</si>
  <si>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</si>
  <si>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</si>
  <si>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</si>
  <si>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</si>
  <si>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</si>
  <si>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</si>
  <si>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</si>
  <si>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</si>
  <si>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</si>
  <si>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</si>
  <si>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</si>
  <si>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</si>
  <si>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</si>
  <si>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</si>
  <si>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</si>
  <si>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t>-</t>
  </si>
  <si>
    <t>Кострова Н.Л.</t>
  </si>
  <si>
    <t>Руководитель группы МТО АО «Газстройпроект»</t>
  </si>
  <si>
    <t>ПП2020РД-1.2-61.17-ИТП; ПП2020РД-1.2-61.17-ИТП.СО; изм. 4; л. 8-11</t>
  </si>
  <si>
    <t xml:space="preserve">2. Электропривод ARV-1000R 082G6011R, 230V, импульсное управление; </t>
  </si>
  <si>
    <t xml:space="preserve">3. Манометр показывающий ТМ510 0..16бар. 100мм. G1/2. кл. точн. 1.5. IP43; </t>
  </si>
  <si>
    <t xml:space="preserve">4. Кран под манометр трехходовой резьбовой G1/2/Py25/Tmax150; </t>
  </si>
  <si>
    <t xml:space="preserve">5. Термометр биметаллический O80мм 0..160С, L=100 мм, кл. точн. 1.5, IP43; </t>
  </si>
  <si>
    <t xml:space="preserve">6. Воздушник Ду15/Ру40/Тmax180 сталь с/с; термометр биметаллический O80мм 0..120С, L=100 мм, кл. точн. 1.5, IP43; </t>
  </si>
  <si>
    <t xml:space="preserve">7. Термометр биметаллический O80мм 0..120С, L=100 мм, кл. точн. 1.5, IP43; </t>
  </si>
  <si>
    <t>8. Спускник Ду25/Ру40/Tmax180 сталь с/с; 9. Термометр биметаллический О80мм 0..120С, L=100 мм, кл. точн. 1.5, IP43;</t>
  </si>
  <si>
    <t>10. Манометр показывающий ТМ510 0..10бар. 100мм. G1/2 кл. точн 1.5. IP43;</t>
  </si>
  <si>
    <t xml:space="preserve">11. Спускник Ду25/Ру16/Tmax130 латунь р/р; 12. Предохранительный клапан 1/2" OR 1832.015; </t>
  </si>
  <si>
    <t xml:space="preserve">13. Шаровой кран Ду25/Ру16/Tmax130 латунь р/р; 14. Теплообменник НН-04A-22-TL; </t>
  </si>
  <si>
    <t xml:space="preserve">15. Датчик температуры погружной с гильзой из нерж. стали, L=100 мм, Pt1000, T=-50...+200°С, G1/2", IP65; </t>
  </si>
  <si>
    <t xml:space="preserve">16. Обратный клапан NRV-R EF/Dy25/Py25/Tmax110 латунь р/р; </t>
  </si>
  <si>
    <t xml:space="preserve">17. Спускник Ду15/Ру16/Tmax130 латунь р/р; 18. Насос RWS 25-80SN; </t>
  </si>
  <si>
    <t xml:space="preserve">19. Реле разности давлений RT262R, диап. настр. переп. давл. 0,5-3,5 бар, PN16,5, Tmax=120°C, G1/2", IP20; </t>
  </si>
  <si>
    <t>20. Шаровой кран трехходовой резьбовой G1/2/Py25/Tmax150;</t>
  </si>
  <si>
    <t xml:space="preserve">21. Прессостат KPI 35R, диап. настр. давл. -0,2-7,5 бар, PN17, Tmax=120°C, G1/2", IP44; </t>
  </si>
  <si>
    <t xml:space="preserve">22. Расходомер Питерфлоу Dy20/Резьбовой/Qmax 6/Tmax150/PN16; </t>
  </si>
  <si>
    <t>23. Фильтр FVR-R/Dy25/Py25/Tmax130 латунь р/р; 24. Балансировочный клапан MVT-R/Dy32/Kvs14.11/PN16/Tmax120 р/р;</t>
  </si>
  <si>
    <t xml:space="preserve">25. Тепловая изоляция для теплообменника НН04А; 21 - 30 пл.; </t>
  </si>
  <si>
    <t>26. Шаровой кран RJIP Standard WW/Ду40/Ру16/Тmax150 сталь с/с;</t>
  </si>
  <si>
    <t>27. Балансировочный клапан MVT-R/Dy32/Kvs14.11/PN16/Tmax120 р/р;</t>
  </si>
  <si>
    <t xml:space="preserve">28. Регулятор перепада давлений VFG-2R/Dy20/Kvs6.3/Tmax150/Pmax16 сталь ф/ф; </t>
  </si>
  <si>
    <t xml:space="preserve">29. Регулирующий блок AFP-R 0,15-1,50; 30. Трубная обвязка элементов блока и демпферные медные трубки; </t>
  </si>
  <si>
    <t xml:space="preserve">31. Наклейка для шильдика БТП; 32. Шаровой кран ДУ15/Ру40/Tmax180 сталь с/с; </t>
  </si>
  <si>
    <t>33. Воздушник Ду15/Ру16/Tmax130 латунь р/р.</t>
  </si>
  <si>
    <t xml:space="preserve">БТП Ридан N0507232064-4: 1. Регулирующий клапан VFM-2VR/Dy20/Kvs6.3/Tmax150/Pmax25 чугун ф/ф; </t>
  </si>
  <si>
    <t xml:space="preserve">БТП Ридан N0507232064-4 - 1 компл.: 1. Регулирующий клапан VFM-2VR/Dy20/Kvs6.3/Tmax150/Pmax25 чугун ф/ф - 1 шт; </t>
  </si>
  <si>
    <t xml:space="preserve">2. Электропривод ARV-1000R 082G6011R, 230V, импульсное управление - 1 шт; </t>
  </si>
  <si>
    <t xml:space="preserve">3. Манометр показывающий ТМ510 0..16бар. 100мм. G1/2. кл. точн. 1.5. IP43 - 5 шт; </t>
  </si>
  <si>
    <t xml:space="preserve">4. Кран под манометр трехходовой резьбовой G1/2/Py25/Tmax150 - 19 шт; </t>
  </si>
  <si>
    <t xml:space="preserve">5. Термометр биметаллический O80мм 0..160С, L=100 мм, кл. точн. 1.5, IP43 - 1 шт; </t>
  </si>
  <si>
    <t xml:space="preserve">6. Воздушник Ду15/Ру40/Тmax180 сталь с/с; термометр биметаллический O80мм 0..120С, L=100 мм, кл. точн. 1.5, IP43 - 1 шт; </t>
  </si>
  <si>
    <t xml:space="preserve">7. Термометр биметаллический O80мм 0..120С, L=100 мм, кл. точн. 1.5, IP43 - 1 шт; </t>
  </si>
  <si>
    <t>8. Спускник Ду25/Ру40/Tmax180 сталь с/с - 1 шт; 9. Термометр биметаллический О80мм 0..120С, L=100 мм, кл. точн. 1.5, IP43 - 5 шт;</t>
  </si>
  <si>
    <t>10. Манометр показывающий ТМ510 0..10бар. 100мм. G1/2 кл. точн 1.5. IP43 - 14 шт;</t>
  </si>
  <si>
    <t xml:space="preserve">11. Спускник Ду25/Ру16/Tmax130 латунь р/р - 3 шт; 12. Предохранительный клапан 1/2" OR 1832.015 - 1 шт; </t>
  </si>
  <si>
    <t xml:space="preserve">13. Шаровой кран Ду25/Ру16/Tmax130 латунь р/р - 7 шт; 14. Теплообменник НН-04A-22-TL - 1 шт; </t>
  </si>
  <si>
    <t xml:space="preserve">15. Датчик температуры погружной с гильзой из нерж. стали, L=100 мм, Pt1000, T=-50...+200°С, G1/2", IP65 - 2 шт; </t>
  </si>
  <si>
    <t xml:space="preserve">16. Обратный клапан NRV-R EF/Dy25/Py25/Tmax110 латунь р/р - 3 шт; </t>
  </si>
  <si>
    <t xml:space="preserve">17. Спускник Ду15/Ру16/Tmax130 латунь р/р - 3 шт; 18. Насос RWS 25-80SN - 2 шт; </t>
  </si>
  <si>
    <t xml:space="preserve">19. Реле разности давлений RT262R, диап. настр. переп. давл. 0,5-3,5 бар, PN16,5, Tmax=120°C, G1/2", IP20 - 1 шт; </t>
  </si>
  <si>
    <t>20. Шаровой кран трехходовой резьбовой G1/2/Py25/Tmax150 - 3 шт;</t>
  </si>
  <si>
    <t xml:space="preserve">21. Прессостат KPI 35R, диап. настр. давл. -0,2-7,5 бар, PN17, Tmax=120°C, G1/2", IP44 - 1 шт; </t>
  </si>
  <si>
    <t xml:space="preserve">22. Расходомер Питерфлоу Dy20/Резьбовой/Qmax 6/Tmax150/PN16 - 1 шт; </t>
  </si>
  <si>
    <t>23. Фильтр FVR-R/Dy25/Py25/Tmax130 латунь р/р - 2 шт; 24. Балансировочный клапан MVT-R/Dy32/Kvs14.11/PN16/Tmax120 р/р - 1 шт;</t>
  </si>
  <si>
    <t xml:space="preserve">25. Тепловая изоляция для теплообменника НН04А; 21 - 30 пл. - 1 шт; </t>
  </si>
  <si>
    <t>26. Шаровой кран RJIP Standard WW/Ду40/Ру16/Тmax150 сталь с/с - 1 шт;</t>
  </si>
  <si>
    <t>27. Балансировочный клапан MVT-R/Dy32/Kvs14.11/PN16/Tmax120 р/р - 1 шт;</t>
  </si>
  <si>
    <t xml:space="preserve">28. Регулятор перепада давлений VFG-2R/Dy20/Kvs6.3/Tmax150/Pmax16 сталь ф/ф  - 1 шт; </t>
  </si>
  <si>
    <t xml:space="preserve">29. Регулирующий блок AFP-R 0,15-1,50 - 1 шт; 30. Трубная обвязка элементов блока и демпферные медные трубки - 1 шт; </t>
  </si>
  <si>
    <t xml:space="preserve">31. Наклейка для шильдика БТП - 1 шт; 32. Шаровой кран ДУ15/Ру40/Tmax180 сталь с/с - 2 шт; </t>
  </si>
  <si>
    <t>33. Воздушник Ду15/Ру16/Tmax130 латунь р/р - 1 шт.</t>
  </si>
  <si>
    <t>Паспорт б/н (БТП/HS23L-1899) от октября 2023</t>
  </si>
  <si>
    <t>АИР 1.2-61.17-ИТП/БТП4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</si>
</sst>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2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09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4" fillId="2" borderId="0" xfId="1" applyFont="1" applyFill="1" applyAlignment="1">
      <alignment horizontal="center"/>
    </xf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12" fillId="2" borderId="0" xfId="1" applyFont="1" applyFill="1" applyAlignment="1">
      <alignment horizontal="center" vertical="top"/>
    </xf>
    <xf numFmtId="0" fontId="14" fillId="3" borderId="0" xfId="1" applyFont="1" applyFill="1" applyAlignment="1">
      <alignment horizontal="left"/>
    </xf>
    <xf numFmtId="14" fontId="14" fillId="2" borderId="0" xfId="1" applyNumberFormat="1" applyFont="1" applyFill="1" applyAlignment="1">
      <alignment horizontal="left" vertical="center" wrapText="1"/>
    </xf>
    <xf numFmtId="0" fontId="0" fillId="2" borderId="0" xfId="0" applyFill="1"/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4" fillId="4" borderId="0" xfId="1" applyFont="1" applyFill="1" applyAlignment="1">
      <alignment horizontal="left"/>
    </xf>
    <xf numFmtId="0" fontId="1" fillId="0" borderId="0" xfId="0" applyFont="1" applyAlignment="1">
      <alignment horizontal="left" vertical="center"/>
    </xf>
    <xf numFmtId="14" fontId="14" fillId="3" borderId="0" xfId="1" applyNumberFormat="1" applyFont="1" applyFill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14" fontId="14" fillId="4" borderId="0" xfId="1" applyNumberFormat="1" applyFont="1" applyFill="1" applyBorder="1" applyAlignment="1">
      <alignment horizontal="justify" vertical="center" wrapText="1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14" fontId="14" fillId="4" borderId="1" xfId="1" applyNumberFormat="1" applyFont="1" applyFill="1" applyBorder="1" applyAlignment="1">
      <alignment horizontal="justify" vertical="center" wrapText="1"/>
    </xf>
    <xf numFmtId="0" fontId="16" fillId="2" borderId="2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left" wrapText="1"/>
    </xf>
    <xf numFmtId="0" fontId="12" fillId="3" borderId="1" xfId="1" applyFont="1" applyFill="1" applyBorder="1" applyAlignment="1">
      <alignment horizontal="right" vertical="center"/>
    </xf>
    <xf numFmtId="0" fontId="14" fillId="3" borderId="0" xfId="1" applyFont="1" applyFill="1" applyAlignment="1">
      <alignment horizontal="left"/>
    </xf>
    <xf numFmtId="0" fontId="16" fillId="2" borderId="0" xfId="1" applyFont="1" applyFill="1" applyAlignment="1">
      <alignment horizontal="center" vertical="top"/>
    </xf>
    <xf numFmtId="0" fontId="12" fillId="3" borderId="1" xfId="1" applyFont="1" applyFill="1" applyBorder="1" applyAlignment="1">
      <alignment horizontal="center"/>
    </xf>
    <xf numFmtId="0" fontId="16" fillId="2" borderId="0" xfId="1" applyFont="1" applyFill="1" applyAlignment="1">
      <alignment horizontal="center" vertical="center"/>
    </xf>
    <xf numFmtId="14" fontId="14" fillId="4" borderId="3" xfId="1" applyNumberFormat="1" applyFont="1" applyFill="1" applyBorder="1" applyAlignment="1">
      <alignment horizontal="left" vertical="center" wrapText="1"/>
    </xf>
    <xf numFmtId="14" fontId="14" fillId="3" borderId="1" xfId="1" applyNumberFormat="1" applyFont="1" applyFill="1" applyBorder="1" applyAlignment="1">
      <alignment horizontal="left" vertical="center" wrapText="1"/>
    </xf>
    <xf numFmtId="0" fontId="12" fillId="2" borderId="0" xfId="1" applyFont="1" applyFill="1" applyAlignment="1">
      <alignment horizontal="center"/>
    </xf>
    <xf numFmtId="49" fontId="13" fillId="2" borderId="0" xfId="1" applyNumberFormat="1" applyFont="1" applyFill="1" applyAlignment="1">
      <alignment horizontal="center" vertical="center"/>
    </xf>
    <xf numFmtId="0" fontId="13" fillId="2" borderId="0" xfId="1" applyFont="1" applyFill="1" applyAlignment="1">
      <alignment horizontal="left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0" fillId="0" borderId="0" xfId="0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center"/>
    </xf>
    <xf numFmtId="14" fontId="14" fillId="4" borderId="1" xfId="1" applyNumberFormat="1" applyFont="1" applyFill="1" applyBorder="1" applyAlignment="1">
      <alignment horizontal="left" vertical="top" wrapText="1"/>
    </xf>
    <xf numFmtId="0" fontId="12" fillId="2" borderId="0" xfId="1" applyFont="1" applyFill="1" applyAlignment="1">
      <alignment horizontal="left" vertical="center"/>
    </xf>
    <xf numFmtId="0" fontId="11" fillId="4" borderId="0" xfId="1" applyFont="1" applyFill="1" applyAlignment="1">
      <alignment horizontal="left" vertical="top" wrapText="1"/>
    </xf>
    <xf numFmtId="0" fontId="16" fillId="2" borderId="0" xfId="1" applyFont="1" applyFill="1" applyAlignment="1">
      <alignment horizontal="left" vertical="top"/>
    </xf>
    <xf numFmtId="0" fontId="14" fillId="4" borderId="1" xfId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horizontal="center"/>
    </xf>
    <xf numFmtId="0" fontId="12" fillId="2" borderId="0" xfId="1" applyFont="1" applyFill="1" applyAlignment="1">
      <alignment horizontal="center" vertical="top"/>
    </xf>
    <xf numFmtId="0" fontId="17" fillId="0" borderId="0" xfId="1" applyFont="1" applyAlignment="1">
      <alignment horizontal="center" vertical="top"/>
    </xf>
    <xf numFmtId="165" fontId="14" fillId="3" borderId="1" xfId="1" applyNumberFormat="1" applyFont="1" applyFill="1" applyBorder="1" applyAlignment="1">
      <alignment horizontal="left" vertical="top" wrapText="1"/>
    </xf>
    <xf numFmtId="0" fontId="16" fillId="2" borderId="0" xfId="1" applyFont="1" applyFill="1" applyAlignment="1">
      <alignment vertical="top"/>
    </xf>
    <xf numFmtId="0" fontId="11" fillId="3" borderId="0" xfId="1" applyFont="1" applyFill="1" applyAlignment="1">
      <alignment horizontal="left"/>
    </xf>
    <xf numFmtId="0" fontId="14" fillId="4" borderId="1" xfId="1" applyFont="1" applyFill="1" applyBorder="1" applyAlignment="1">
      <alignment horizontal="left" wrapText="1"/>
    </xf>
    <xf numFmtId="0" fontId="16" fillId="2" borderId="0" xfId="1" applyFont="1" applyFill="1" applyAlignment="1">
      <alignment horizontal="right" vertical="top" wrapText="1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1" fillId="3" borderId="0" xfId="1" applyFont="1" applyFill="1" applyAlignment="1">
      <alignment horizontal="left" vertical="top" wrapText="1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14" fontId="14" fillId="3" borderId="1" xfId="1" applyNumberFormat="1" applyFont="1" applyFill="1" applyBorder="1" applyAlignment="1">
      <alignment horizontal="left" vertical="top" wrapText="1"/>
    </xf>
    <xf numFmtId="14" fontId="12" fillId="2" borderId="0" xfId="1" applyNumberFormat="1" applyFont="1" applyFill="1" applyAlignment="1">
      <alignment horizontal="center"/>
    </xf>
    <xf numFmtId="165" fontId="12" fillId="3" borderId="1" xfId="1" applyNumberFormat="1" applyFont="1" applyFill="1" applyBorder="1" applyAlignment="1">
      <alignment horizontal="center"/>
    </xf>
    <xf numFmtId="164" fontId="14" fillId="4" borderId="1" xfId="1" applyNumberFormat="1" applyFont="1" applyFill="1" applyBorder="1" applyAlignment="1">
      <alignment horizontal="center"/>
    </xf>
    <xf numFmtId="14" fontId="14" fillId="2" borderId="0" xfId="1" applyNumberFormat="1" applyFont="1" applyFill="1" applyAlignment="1">
      <alignment horizontal="center" wrapText="1"/>
    </xf>
    <xf numFmtId="0" fontId="12" fillId="3" borderId="1" xfId="1" applyFont="1" applyFill="1" applyBorder="1" applyAlignment="1">
      <alignment horizontal="right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266700</xdr:colOff>
      <xdr:row>10</xdr:row>
      <xdr:rowOff>45720</xdr:rowOff>
    </xdr:from>
    <xdr:to>
      <xdr:col>76</xdr:col>
      <xdr:colOff>125730</xdr:colOff>
      <xdr:row>37</xdr:row>
      <xdr:rowOff>74295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763000" y="1798320"/>
          <a:ext cx="1466850" cy="35718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47</xdr:row>
      <xdr:rowOff>0</xdr:rowOff>
    </xdr:from>
    <xdr:to>
      <xdr:col>75</xdr:col>
      <xdr:colOff>521970</xdr:colOff>
      <xdr:row>48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365760</xdr:colOff>
      <xdr:row>74</xdr:row>
      <xdr:rowOff>160020</xdr:rowOff>
    </xdr:from>
    <xdr:to>
      <xdr:col>75</xdr:col>
      <xdr:colOff>499110</xdr:colOff>
      <xdr:row>75</xdr:row>
      <xdr:rowOff>30480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473440" y="7543800"/>
          <a:ext cx="1520190" cy="381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78</xdr:row>
      <xdr:rowOff>0</xdr:rowOff>
    </xdr:from>
    <xdr:to>
      <xdr:col>75</xdr:col>
      <xdr:colOff>521970</xdr:colOff>
      <xdr:row>83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22860</xdr:colOff>
      <xdr:row>119</xdr:row>
      <xdr:rowOff>60960</xdr:rowOff>
    </xdr:from>
    <xdr:to>
      <xdr:col>75</xdr:col>
      <xdr:colOff>544830</xdr:colOff>
      <xdr:row>119</xdr:row>
      <xdr:rowOff>133350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8519160" y="10416540"/>
          <a:ext cx="1520190" cy="7239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128</xdr:row>
      <xdr:rowOff>0</xdr:rowOff>
    </xdr:from>
    <xdr:to>
      <xdr:col>75</xdr:col>
      <xdr:colOff>521970</xdr:colOff>
      <xdr:row>130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E143"/>
  <sheetViews>
    <sheetView tabSelected="1" view="pageBreakPreview" topLeftCell="A108" zoomScaleNormal="100" zoomScaleSheetLayoutView="100" workbookViewId="0">
      <selection activeCell="AF9" sqref="AF9:AW9"/>
    </sheetView>
  </sheetViews>
  <sheetFormatPr defaultRowHeight="13.8" x14ac:dyDescent="0.25"/>
  <cols>
    <col min="1" max="12" width="1.44140625" customWidth="1"/>
    <col min="13" max="15" width="2.33203125" customWidth="1"/>
    <col min="16" max="21" width="1.44140625" customWidth="1"/>
    <col min="22" max="22" width="2.21875" customWidth="1"/>
    <col min="23" max="33" width="1.44140625" customWidth="1"/>
    <col min="34" max="34" width="2.44140625" customWidth="1"/>
    <col min="35" max="38" width="1.44140625" customWidth="1"/>
    <col min="39" max="40" width="2.44140625" customWidth="1"/>
    <col min="41" max="41" width="1.44140625" customWidth="1"/>
    <col min="42" max="42" width="2.33203125" customWidth="1"/>
    <col min="43" max="43" width="1.44140625" customWidth="1"/>
    <col min="44" max="44" width="1.88671875" customWidth="1"/>
    <col min="45" max="45" width="1.44140625" customWidth="1"/>
    <col min="46" max="46" width="2.33203125" customWidth="1"/>
    <col min="47" max="47" width="1.44140625" customWidth="1"/>
    <col min="48" max="48" width="2.6640625" customWidth="1"/>
    <col min="49" max="49" width="1.44140625" customWidth="1"/>
    <col min="50" max="50" width="2.21875" customWidth="1"/>
    <col min="51" max="51" width="2.33203125" customWidth="1"/>
    <col min="52" max="52" width="1.44140625" customWidth="1"/>
    <col min="53" max="53" width="2.33203125" customWidth="1"/>
    <col min="54" max="54" width="2.21875" customWidth="1"/>
    <col min="55" max="55" width="2" customWidth="1"/>
    <col min="56" max="56" width="1.88671875" customWidth="1"/>
    <col min="57" max="58" width="2.21875" customWidth="1"/>
    <col min="59" max="59" width="1.44140625" customWidth="1"/>
    <col min="60" max="60" width="2.21875" customWidth="1"/>
    <col min="61" max="61" width="1.44140625" customWidth="1"/>
    <col min="62" max="62" width="2.33203125" customWidth="1"/>
    <col min="63" max="64" width="2" customWidth="1"/>
    <col min="65" max="65" width="2.33203125" customWidth="1"/>
    <col min="66" max="66" width="1.44140625" customWidth="1"/>
    <col min="67" max="67" width="2.21875" customWidth="1"/>
    <col min="68" max="68" width="1.44140625" customWidth="1"/>
    <col min="69" max="69" width="1.88671875" customWidth="1"/>
    <col min="70" max="70" width="1.44140625" customWidth="1"/>
    <col min="71" max="71" width="6.6640625" customWidth="1"/>
    <col min="72" max="72" width="3" hidden="1" customWidth="1"/>
    <col min="73" max="73" width="9.5546875" customWidth="1"/>
    <col min="74" max="74" width="5.6640625" customWidth="1"/>
    <col min="75" max="75" width="14.5546875" bestFit="1" customWidth="1"/>
  </cols>
  <sheetData>
    <row r="1" spans="1:7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2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67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2" x14ac:dyDescent="0.25">
      <c r="A3" s="78" t="s">
        <v>4</v>
      </c>
      <c r="B3" s="78"/>
      <c r="C3" s="78"/>
      <c r="D3" s="78"/>
      <c r="E3" s="78"/>
      <c r="F3" s="79" t="s">
        <v>5</v>
      </c>
      <c r="G3" s="79"/>
      <c r="H3" s="79"/>
      <c r="I3" s="80" t="s">
        <v>6</v>
      </c>
      <c r="J3" s="80"/>
      <c r="K3" s="80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68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69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2" x14ac:dyDescent="0.25">
      <c r="A6" s="78"/>
      <c r="B6" s="78"/>
      <c r="C6" s="78"/>
      <c r="D6" s="78"/>
      <c r="E6" s="78"/>
      <c r="F6" s="79"/>
      <c r="G6" s="79"/>
      <c r="H6" s="79"/>
      <c r="I6" s="80"/>
      <c r="J6" s="80"/>
      <c r="K6" s="80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81" t="s">
        <v>61</v>
      </c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</row>
    <row r="7" spans="1:72" x14ac:dyDescent="0.25">
      <c r="A7" s="8"/>
      <c r="B7" s="8"/>
      <c r="C7" s="8"/>
      <c r="D7" s="8"/>
      <c r="E7" s="8"/>
      <c r="F7" s="8"/>
      <c r="G7" s="82"/>
      <c r="H7" s="82"/>
      <c r="I7" s="80"/>
      <c r="J7" s="80"/>
      <c r="K7" s="80"/>
      <c r="L7" s="80"/>
      <c r="M7" s="80"/>
      <c r="N7" s="80"/>
      <c r="O7" s="80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81"/>
      <c r="BR7" s="81"/>
      <c r="BS7" s="81"/>
      <c r="BT7" s="81"/>
    </row>
    <row r="8" spans="1:7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66" t="s">
        <v>162</v>
      </c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2" x14ac:dyDescent="0.25">
      <c r="A10" s="67" t="s">
        <v>45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</row>
    <row r="11" spans="1:72" hidden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2" x14ac:dyDescent="0.25">
      <c r="A12" s="68" t="s">
        <v>134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</row>
    <row r="13" spans="1:72" x14ac:dyDescent="0.25">
      <c r="A13" s="76" t="s">
        <v>109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65"/>
    </row>
    <row r="14" spans="1:72" x14ac:dyDescent="0.25">
      <c r="A14" s="76" t="s">
        <v>110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65"/>
    </row>
    <row r="15" spans="1:72" x14ac:dyDescent="0.25">
      <c r="A15" s="76" t="s">
        <v>111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65"/>
    </row>
    <row r="16" spans="1:72" x14ac:dyDescent="0.25">
      <c r="A16" s="76" t="s">
        <v>112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65"/>
    </row>
    <row r="17" spans="1:72" x14ac:dyDescent="0.25">
      <c r="A17" s="76" t="s">
        <v>113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65"/>
    </row>
    <row r="18" spans="1:72" x14ac:dyDescent="0.25">
      <c r="A18" s="76" t="s">
        <v>114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65"/>
    </row>
    <row r="19" spans="1:72" x14ac:dyDescent="0.25">
      <c r="A19" s="76" t="s">
        <v>115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65"/>
    </row>
    <row r="20" spans="1:72" x14ac:dyDescent="0.25">
      <c r="A20" s="76" t="s">
        <v>116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65"/>
    </row>
    <row r="21" spans="1:72" x14ac:dyDescent="0.25">
      <c r="A21" s="76" t="s">
        <v>117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65"/>
    </row>
    <row r="22" spans="1:72" x14ac:dyDescent="0.25">
      <c r="A22" s="76" t="s">
        <v>118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65"/>
    </row>
    <row r="23" spans="1:72" x14ac:dyDescent="0.25">
      <c r="A23" s="76" t="s">
        <v>119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65"/>
    </row>
    <row r="24" spans="1:72" x14ac:dyDescent="0.25">
      <c r="A24" s="76" t="s">
        <v>120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65"/>
    </row>
    <row r="25" spans="1:72" x14ac:dyDescent="0.25">
      <c r="A25" s="76" t="s">
        <v>121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65"/>
    </row>
    <row r="26" spans="1:72" x14ac:dyDescent="0.25">
      <c r="A26" s="76" t="s">
        <v>122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65"/>
    </row>
    <row r="27" spans="1:72" x14ac:dyDescent="0.25">
      <c r="A27" s="76" t="s">
        <v>123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65"/>
    </row>
    <row r="28" spans="1:72" x14ac:dyDescent="0.25">
      <c r="A28" s="76" t="s">
        <v>124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65"/>
    </row>
    <row r="29" spans="1:72" x14ac:dyDescent="0.25">
      <c r="A29" s="76" t="s">
        <v>125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76"/>
      <c r="BP29" s="76"/>
      <c r="BQ29" s="76"/>
      <c r="BR29" s="76"/>
      <c r="BS29" s="76"/>
      <c r="BT29" s="65"/>
    </row>
    <row r="30" spans="1:72" x14ac:dyDescent="0.25">
      <c r="A30" s="76" t="s">
        <v>126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65"/>
    </row>
    <row r="31" spans="1:72" x14ac:dyDescent="0.25">
      <c r="A31" s="76" t="s">
        <v>127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  <c r="BM31" s="76"/>
      <c r="BN31" s="76"/>
      <c r="BO31" s="76"/>
      <c r="BP31" s="76"/>
      <c r="BQ31" s="76"/>
      <c r="BR31" s="76"/>
      <c r="BS31" s="76"/>
      <c r="BT31" s="65"/>
    </row>
    <row r="32" spans="1:72" x14ac:dyDescent="0.25">
      <c r="A32" s="76" t="s">
        <v>128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65"/>
    </row>
    <row r="33" spans="1:83" x14ac:dyDescent="0.25">
      <c r="A33" s="76" t="s">
        <v>129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65"/>
    </row>
    <row r="34" spans="1:83" x14ac:dyDescent="0.25">
      <c r="A34" s="76" t="s">
        <v>130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65"/>
    </row>
    <row r="35" spans="1:83" x14ac:dyDescent="0.25">
      <c r="A35" s="76" t="s">
        <v>131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65"/>
    </row>
    <row r="36" spans="1:83" x14ac:dyDescent="0.25">
      <c r="A36" s="76" t="s">
        <v>132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65"/>
    </row>
    <row r="37" spans="1:83" x14ac:dyDescent="0.25">
      <c r="A37" s="76" t="s">
        <v>133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65"/>
    </row>
    <row r="38" spans="1:83" ht="13.8" customHeight="1" x14ac:dyDescent="0.25">
      <c r="A38" s="107" t="s">
        <v>46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107"/>
      <c r="BK38" s="107"/>
      <c r="BL38" s="107"/>
      <c r="BM38" s="107"/>
      <c r="BN38" s="107"/>
      <c r="BO38" s="107"/>
      <c r="BP38" s="107"/>
      <c r="BQ38" s="107"/>
      <c r="BR38" s="107"/>
      <c r="BS38" s="107"/>
      <c r="BT38" s="107"/>
    </row>
    <row r="39" spans="1:83" ht="12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13" t="s">
        <v>9</v>
      </c>
      <c r="AB39" s="8"/>
      <c r="AC39" s="8"/>
      <c r="AD39" s="8"/>
      <c r="AE39" s="106">
        <v>45244</v>
      </c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5"/>
      <c r="AV39" s="15"/>
      <c r="AW39" s="15"/>
      <c r="AX39" s="15"/>
      <c r="AY39" s="15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12"/>
    </row>
    <row r="40" spans="1:83" x14ac:dyDescent="0.25">
      <c r="A40" s="8" t="s">
        <v>10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 t="s">
        <v>11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12"/>
      <c r="BW40" s="51">
        <f>AE39</f>
        <v>45244</v>
      </c>
    </row>
    <row r="41" spans="1:83" x14ac:dyDescent="0.25">
      <c r="A41" s="8" t="s">
        <v>12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70" t="str">
        <f>VLOOKUP(BJ41,подписанты!$B$3:$C$11,2,FALSE)</f>
        <v>Руководитель группы МТО АО «Газстройпроект»</v>
      </c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108" t="s">
        <v>106</v>
      </c>
      <c r="BK41" s="108"/>
      <c r="BL41" s="108"/>
      <c r="BM41" s="108"/>
      <c r="BN41" s="108"/>
      <c r="BO41" s="108"/>
      <c r="BP41" s="108"/>
      <c r="BQ41" s="108"/>
      <c r="BR41" s="108"/>
      <c r="BS41" s="108"/>
      <c r="BT41" s="108"/>
    </row>
    <row r="42" spans="1:83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69" t="s">
        <v>13</v>
      </c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25"/>
      <c r="BL42" s="25"/>
      <c r="BM42" s="25"/>
      <c r="BN42" s="25"/>
      <c r="BO42" s="25"/>
      <c r="BP42" s="16"/>
      <c r="BQ42" s="16"/>
      <c r="BR42" s="16"/>
      <c r="BS42" s="16"/>
      <c r="BT42" s="16"/>
    </row>
    <row r="43" spans="1:83" x14ac:dyDescent="0.25">
      <c r="A43" s="8" t="s">
        <v>14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70" t="str">
        <f>VLOOKUP(BJ43,подписанты!$B$3:$C$11,2,FALSE)</f>
        <v>Инженер отдела технического надзора АО «Газстройпроект»</v>
      </c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108" t="s">
        <v>66</v>
      </c>
      <c r="BK43" s="108"/>
      <c r="BL43" s="108"/>
      <c r="BM43" s="108"/>
      <c r="BN43" s="108"/>
      <c r="BO43" s="108"/>
      <c r="BP43" s="108"/>
      <c r="BQ43" s="108"/>
      <c r="BR43" s="108"/>
      <c r="BS43" s="108"/>
      <c r="BT43" s="108"/>
    </row>
    <row r="44" spans="1:83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69" t="s">
        <v>13</v>
      </c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83" ht="41.4" customHeight="1" x14ac:dyDescent="0.25">
      <c r="A45" s="8" t="s">
        <v>15</v>
      </c>
      <c r="B45" s="8"/>
      <c r="C45" s="8"/>
      <c r="D45" s="8"/>
      <c r="E45" s="8"/>
      <c r="F45" s="8"/>
      <c r="G45" s="8"/>
      <c r="H45" s="8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70" t="str">
        <f>VLOOKUP(BJ45,подписанты!$B$3:$C$11,2,FALSE)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1" t="s">
        <v>88</v>
      </c>
      <c r="BK45" s="71"/>
      <c r="BL45" s="71"/>
      <c r="BM45" s="71"/>
      <c r="BN45" s="71"/>
      <c r="BO45" s="71"/>
      <c r="BP45" s="71"/>
      <c r="BQ45" s="71"/>
      <c r="BR45" s="71"/>
      <c r="BS45" s="71"/>
      <c r="BT45" s="71"/>
    </row>
    <row r="46" spans="1:83" ht="13.2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73" t="s">
        <v>13</v>
      </c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69"/>
      <c r="BK46" s="10"/>
      <c r="BL46" s="10"/>
      <c r="BM46" s="10"/>
      <c r="BN46" s="10"/>
      <c r="BO46" s="10"/>
      <c r="BP46" s="10"/>
      <c r="BQ46" s="10"/>
      <c r="BR46" s="10"/>
      <c r="BS46" s="10"/>
      <c r="BT46" s="10"/>
    </row>
    <row r="47" spans="1:83" x14ac:dyDescent="0.25">
      <c r="A47" s="8" t="s">
        <v>16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17"/>
      <c r="O47" s="74" t="s">
        <v>86</v>
      </c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8" t="s">
        <v>17</v>
      </c>
      <c r="BR47" s="13"/>
      <c r="BS47" s="13"/>
      <c r="BT47" s="13"/>
    </row>
    <row r="48" spans="1:83" x14ac:dyDescent="0.25">
      <c r="A48" s="8"/>
      <c r="B48" s="8"/>
      <c r="C48" s="8"/>
      <c r="D48" s="8"/>
      <c r="E48" s="75" t="s">
        <v>47</v>
      </c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Y48" s="83" t="s">
        <v>79</v>
      </c>
      <c r="BZ48" s="83"/>
      <c r="CA48" s="83"/>
      <c r="CB48" s="83"/>
      <c r="CC48" s="83"/>
      <c r="CD48" s="83"/>
      <c r="CE48" s="83"/>
    </row>
    <row r="49" spans="1:83" x14ac:dyDescent="0.25">
      <c r="A49" s="68" t="s">
        <v>135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Y49" s="83"/>
      <c r="BZ49" s="83"/>
      <c r="CA49" s="83"/>
      <c r="CB49" s="83"/>
      <c r="CC49" s="83"/>
      <c r="CD49" s="83"/>
      <c r="CE49" s="83"/>
    </row>
    <row r="50" spans="1:83" ht="13.8" customHeight="1" x14ac:dyDescent="0.25">
      <c r="A50" s="76" t="s">
        <v>136</v>
      </c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65"/>
      <c r="BY50" s="60"/>
      <c r="BZ50" s="60"/>
      <c r="CA50" s="60"/>
      <c r="CB50" s="60"/>
      <c r="CC50" s="60"/>
      <c r="CD50" s="60"/>
      <c r="CE50" s="60"/>
    </row>
    <row r="51" spans="1:83" x14ac:dyDescent="0.25">
      <c r="A51" s="76" t="s">
        <v>137</v>
      </c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65"/>
      <c r="BY51" s="64"/>
      <c r="BZ51" s="64"/>
      <c r="CA51" s="64"/>
      <c r="CB51" s="64"/>
      <c r="CC51" s="64"/>
      <c r="CD51" s="64"/>
      <c r="CE51" s="64"/>
    </row>
    <row r="52" spans="1:83" x14ac:dyDescent="0.25">
      <c r="A52" s="76" t="s">
        <v>138</v>
      </c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65"/>
      <c r="BY52" s="64"/>
      <c r="BZ52" s="64"/>
      <c r="CA52" s="64"/>
      <c r="CB52" s="64"/>
      <c r="CC52" s="64"/>
      <c r="CD52" s="64"/>
      <c r="CE52" s="64"/>
    </row>
    <row r="53" spans="1:83" x14ac:dyDescent="0.25">
      <c r="A53" s="76" t="s">
        <v>139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65"/>
      <c r="BY53" s="64"/>
      <c r="BZ53" s="64"/>
      <c r="CA53" s="64"/>
      <c r="CB53" s="64"/>
      <c r="CC53" s="64"/>
      <c r="CD53" s="64"/>
      <c r="CE53" s="64"/>
    </row>
    <row r="54" spans="1:83" x14ac:dyDescent="0.25">
      <c r="A54" s="76" t="s">
        <v>140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65"/>
      <c r="BY54" s="64"/>
      <c r="BZ54" s="64"/>
      <c r="CA54" s="64"/>
      <c r="CB54" s="64"/>
      <c r="CC54" s="64"/>
      <c r="CD54" s="64"/>
      <c r="CE54" s="64"/>
    </row>
    <row r="55" spans="1:83" x14ac:dyDescent="0.25">
      <c r="A55" s="76" t="s">
        <v>141</v>
      </c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65"/>
      <c r="BY55" s="64"/>
      <c r="BZ55" s="64"/>
      <c r="CA55" s="64"/>
      <c r="CB55" s="64"/>
      <c r="CC55" s="64"/>
      <c r="CD55" s="64"/>
      <c r="CE55" s="64"/>
    </row>
    <row r="56" spans="1:83" x14ac:dyDescent="0.25">
      <c r="A56" s="76" t="s">
        <v>142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65"/>
      <c r="BY56" s="64"/>
      <c r="BZ56" s="64"/>
      <c r="CA56" s="64"/>
      <c r="CB56" s="64"/>
      <c r="CC56" s="64"/>
      <c r="CD56" s="64"/>
      <c r="CE56" s="64"/>
    </row>
    <row r="57" spans="1:83" x14ac:dyDescent="0.25">
      <c r="A57" s="76" t="s">
        <v>143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65"/>
      <c r="BY57" s="64"/>
      <c r="BZ57" s="64"/>
      <c r="CA57" s="64"/>
      <c r="CB57" s="64"/>
      <c r="CC57" s="64"/>
      <c r="CD57" s="64"/>
      <c r="CE57" s="64"/>
    </row>
    <row r="58" spans="1:83" x14ac:dyDescent="0.25">
      <c r="A58" s="76" t="s">
        <v>144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65"/>
      <c r="BY58" s="64"/>
      <c r="BZ58" s="64"/>
      <c r="CA58" s="64"/>
      <c r="CB58" s="64"/>
      <c r="CC58" s="64"/>
      <c r="CD58" s="64"/>
      <c r="CE58" s="64"/>
    </row>
    <row r="59" spans="1:83" x14ac:dyDescent="0.25">
      <c r="A59" s="76" t="s">
        <v>145</v>
      </c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65"/>
      <c r="BY59" s="64"/>
      <c r="BZ59" s="64"/>
      <c r="CA59" s="64"/>
      <c r="CB59" s="64"/>
      <c r="CC59" s="64"/>
      <c r="CD59" s="64"/>
      <c r="CE59" s="64"/>
    </row>
    <row r="60" spans="1:83" x14ac:dyDescent="0.25">
      <c r="A60" s="76" t="s">
        <v>146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65"/>
      <c r="BY60" s="64"/>
      <c r="BZ60" s="64"/>
      <c r="CA60" s="64"/>
      <c r="CB60" s="64"/>
      <c r="CC60" s="64"/>
      <c r="CD60" s="64"/>
      <c r="CE60" s="64"/>
    </row>
    <row r="61" spans="1:83" x14ac:dyDescent="0.25">
      <c r="A61" s="76" t="s">
        <v>147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65"/>
      <c r="BY61" s="64"/>
      <c r="BZ61" s="64"/>
      <c r="CA61" s="64"/>
      <c r="CB61" s="64"/>
      <c r="CC61" s="64"/>
      <c r="CD61" s="64"/>
      <c r="CE61" s="64"/>
    </row>
    <row r="62" spans="1:83" x14ac:dyDescent="0.25">
      <c r="A62" s="76" t="s">
        <v>148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65"/>
      <c r="BY62" s="64"/>
      <c r="BZ62" s="64"/>
      <c r="CA62" s="64"/>
      <c r="CB62" s="64"/>
      <c r="CC62" s="64"/>
      <c r="CD62" s="64"/>
      <c r="CE62" s="64"/>
    </row>
    <row r="63" spans="1:83" x14ac:dyDescent="0.25">
      <c r="A63" s="76" t="s">
        <v>149</v>
      </c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65"/>
      <c r="BY63" s="64"/>
      <c r="BZ63" s="64"/>
      <c r="CA63" s="64"/>
      <c r="CB63" s="64"/>
      <c r="CC63" s="64"/>
      <c r="CD63" s="64"/>
      <c r="CE63" s="64"/>
    </row>
    <row r="64" spans="1:83" x14ac:dyDescent="0.25">
      <c r="A64" s="76" t="s">
        <v>150</v>
      </c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65"/>
      <c r="BY64" s="64"/>
      <c r="BZ64" s="64"/>
      <c r="CA64" s="64"/>
      <c r="CB64" s="64"/>
      <c r="CC64" s="64"/>
      <c r="CD64" s="64"/>
      <c r="CE64" s="64"/>
    </row>
    <row r="65" spans="1:83" x14ac:dyDescent="0.25">
      <c r="A65" s="76" t="s">
        <v>151</v>
      </c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65"/>
      <c r="BY65" s="64"/>
      <c r="BZ65" s="64"/>
      <c r="CA65" s="64"/>
      <c r="CB65" s="64"/>
      <c r="CC65" s="64"/>
      <c r="CD65" s="64"/>
      <c r="CE65" s="64"/>
    </row>
    <row r="66" spans="1:83" x14ac:dyDescent="0.25">
      <c r="A66" s="76" t="s">
        <v>152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65"/>
      <c r="BY66" s="64"/>
      <c r="BZ66" s="64"/>
      <c r="CA66" s="64"/>
      <c r="CB66" s="64"/>
      <c r="CC66" s="64"/>
      <c r="CD66" s="64"/>
      <c r="CE66" s="64"/>
    </row>
    <row r="67" spans="1:83" x14ac:dyDescent="0.25">
      <c r="A67" s="76" t="s">
        <v>153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65"/>
      <c r="BY67" s="64"/>
      <c r="BZ67" s="64"/>
      <c r="CA67" s="64"/>
      <c r="CB67" s="64"/>
      <c r="CC67" s="64"/>
      <c r="CD67" s="64"/>
      <c r="CE67" s="64"/>
    </row>
    <row r="68" spans="1:83" x14ac:dyDescent="0.25">
      <c r="A68" s="76" t="s">
        <v>154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65"/>
      <c r="BY68" s="64"/>
      <c r="BZ68" s="64"/>
      <c r="CA68" s="64"/>
      <c r="CB68" s="64"/>
      <c r="CC68" s="64"/>
      <c r="CD68" s="64"/>
      <c r="CE68" s="64"/>
    </row>
    <row r="69" spans="1:83" x14ac:dyDescent="0.25">
      <c r="A69" s="76" t="s">
        <v>155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65"/>
      <c r="BY69" s="64"/>
      <c r="BZ69" s="64"/>
      <c r="CA69" s="64"/>
      <c r="CB69" s="64"/>
      <c r="CC69" s="64"/>
      <c r="CD69" s="64"/>
      <c r="CE69" s="64"/>
    </row>
    <row r="70" spans="1:83" x14ac:dyDescent="0.25">
      <c r="A70" s="76" t="s">
        <v>156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65"/>
      <c r="BY70" s="64"/>
      <c r="BZ70" s="64"/>
      <c r="CA70" s="64"/>
      <c r="CB70" s="64"/>
      <c r="CC70" s="64"/>
      <c r="CD70" s="64"/>
      <c r="CE70" s="64"/>
    </row>
    <row r="71" spans="1:83" x14ac:dyDescent="0.25">
      <c r="A71" s="76" t="s">
        <v>157</v>
      </c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65"/>
      <c r="BY71" s="64"/>
      <c r="BZ71" s="64"/>
      <c r="CA71" s="64"/>
      <c r="CB71" s="64"/>
      <c r="CC71" s="64"/>
      <c r="CD71" s="64"/>
      <c r="CE71" s="64"/>
    </row>
    <row r="72" spans="1:83" x14ac:dyDescent="0.25">
      <c r="A72" s="76" t="s">
        <v>158</v>
      </c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65"/>
      <c r="BY72" s="64"/>
      <c r="BZ72" s="64"/>
      <c r="CA72" s="64"/>
      <c r="CB72" s="64"/>
      <c r="CC72" s="64"/>
      <c r="CD72" s="64"/>
      <c r="CE72" s="64"/>
    </row>
    <row r="73" spans="1:83" x14ac:dyDescent="0.25">
      <c r="A73" s="76" t="s">
        <v>159</v>
      </c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65"/>
      <c r="BY73" s="64"/>
      <c r="BZ73" s="64"/>
      <c r="CA73" s="64"/>
      <c r="CB73" s="64"/>
      <c r="CC73" s="64"/>
      <c r="CD73" s="64"/>
      <c r="CE73" s="64"/>
    </row>
    <row r="74" spans="1:83" x14ac:dyDescent="0.25">
      <c r="A74" s="76" t="s">
        <v>160</v>
      </c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65"/>
      <c r="BY74" s="64"/>
      <c r="BZ74" s="64"/>
      <c r="CA74" s="64"/>
      <c r="CB74" s="64"/>
      <c r="CC74" s="64"/>
      <c r="CD74" s="64"/>
      <c r="CE74" s="64"/>
    </row>
    <row r="75" spans="1:83" s="58" customFormat="1" ht="13.2" customHeight="1" x14ac:dyDescent="0.2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 t="s">
        <v>11</v>
      </c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Y75" s="59"/>
      <c r="BZ75" s="59"/>
      <c r="CA75" s="59"/>
      <c r="CB75" s="59"/>
      <c r="CC75" s="59"/>
      <c r="CD75" s="59"/>
      <c r="CE75" s="59"/>
    </row>
    <row r="76" spans="1:83" ht="13.8" customHeight="1" x14ac:dyDescent="0.25">
      <c r="A76" s="10" t="s">
        <v>18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53"/>
      <c r="S76" s="8"/>
      <c r="T76" s="52"/>
      <c r="U76" s="87" t="s">
        <v>108</v>
      </c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87"/>
      <c r="AS76" s="87"/>
      <c r="AT76" s="87"/>
      <c r="AU76" s="87"/>
      <c r="AV76" s="87"/>
      <c r="AW76" s="87"/>
      <c r="AX76" s="87"/>
      <c r="AY76" s="87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87"/>
      <c r="BK76" s="87"/>
      <c r="BL76" s="87"/>
      <c r="BM76" s="87"/>
      <c r="BN76" s="87"/>
      <c r="BO76" s="87"/>
      <c r="BP76" s="87"/>
      <c r="BQ76" s="87"/>
      <c r="BR76" s="87"/>
      <c r="BS76" s="87"/>
      <c r="BT76" s="87"/>
      <c r="BY76" s="83"/>
      <c r="BZ76" s="83"/>
      <c r="CA76" s="83"/>
      <c r="CB76" s="83"/>
      <c r="CC76" s="83"/>
      <c r="CD76" s="83"/>
    </row>
    <row r="77" spans="1:83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88" t="s">
        <v>19</v>
      </c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8"/>
      <c r="BQ77" s="88"/>
      <c r="BR77" s="88"/>
      <c r="BS77" s="88"/>
      <c r="BT77" s="88"/>
    </row>
    <row r="78" spans="1:83" x14ac:dyDescent="0.25">
      <c r="A78" s="10" t="s">
        <v>20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20"/>
      <c r="T78" s="20"/>
      <c r="U78" s="87" t="s">
        <v>51</v>
      </c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87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87"/>
      <c r="BK78" s="87"/>
      <c r="BL78" s="87"/>
      <c r="BM78" s="87"/>
      <c r="BN78" s="87"/>
      <c r="BO78" s="87"/>
      <c r="BP78" s="87"/>
      <c r="BQ78" s="87"/>
      <c r="BR78" s="87"/>
      <c r="BS78" s="87"/>
      <c r="BT78" s="87"/>
    </row>
    <row r="79" spans="1:83" ht="13.2" customHeight="1" x14ac:dyDescent="0.25">
      <c r="A79" s="73" t="s">
        <v>21</v>
      </c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Y79" s="41" t="s">
        <v>80</v>
      </c>
    </row>
    <row r="80" spans="1:83" ht="13.95" customHeight="1" x14ac:dyDescent="0.25">
      <c r="A80" s="8"/>
      <c r="B80" s="8"/>
      <c r="C80" s="8"/>
      <c r="D80" s="8" t="s">
        <v>22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9"/>
      <c r="AG80" s="7"/>
      <c r="AH80" s="7"/>
      <c r="AI80" s="7"/>
      <c r="AJ80" s="7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H80" s="90"/>
      <c r="BI80" s="90"/>
      <c r="BJ80" s="90"/>
      <c r="BK80" s="90"/>
      <c r="BL80" s="90"/>
      <c r="BM80" s="90"/>
      <c r="BN80" s="90"/>
      <c r="BO80" s="90"/>
      <c r="BP80" s="90"/>
      <c r="BQ80" s="90"/>
      <c r="BR80" s="90"/>
      <c r="BS80" s="90"/>
      <c r="BT80" s="90"/>
      <c r="BY80" s="83" t="s">
        <v>81</v>
      </c>
      <c r="BZ80" s="83"/>
      <c r="CA80" s="83"/>
      <c r="CB80" s="83"/>
      <c r="CC80" s="83"/>
      <c r="CD80" s="83"/>
      <c r="CE80" s="83"/>
    </row>
    <row r="81" spans="1:83" ht="13.95" customHeight="1" x14ac:dyDescent="0.25">
      <c r="A81" s="8" t="s">
        <v>23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29"/>
      <c r="AJ81" s="8"/>
      <c r="AK81" s="85" t="s">
        <v>161</v>
      </c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Y81" s="83"/>
      <c r="BZ81" s="83"/>
      <c r="CA81" s="83"/>
      <c r="CB81" s="83"/>
      <c r="CC81" s="83"/>
      <c r="CD81" s="83"/>
      <c r="CE81" s="83"/>
    </row>
    <row r="82" spans="1:83" hidden="1" x14ac:dyDescent="0.25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/>
      <c r="BJ82" s="66"/>
      <c r="BK82" s="66"/>
      <c r="BL82" s="66"/>
      <c r="BM82" s="66"/>
      <c r="BN82" s="66"/>
      <c r="BO82" s="66"/>
      <c r="BP82" s="66"/>
      <c r="BQ82" s="66"/>
      <c r="BR82" s="66"/>
      <c r="BS82" s="66"/>
      <c r="BT82" s="66"/>
      <c r="BY82" s="83"/>
      <c r="BZ82" s="83"/>
      <c r="CA82" s="83"/>
      <c r="CB82" s="83"/>
      <c r="CC82" s="83"/>
      <c r="CD82" s="83"/>
      <c r="CE82" s="83"/>
    </row>
    <row r="83" spans="1:83" ht="14.4" hidden="1" customHeight="1" x14ac:dyDescent="0.2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61"/>
      <c r="BY83" s="83"/>
      <c r="BZ83" s="83"/>
      <c r="CA83" s="83"/>
      <c r="CB83" s="83"/>
      <c r="CC83" s="83"/>
      <c r="CD83" s="83"/>
      <c r="CE83" s="83"/>
    </row>
    <row r="84" spans="1:83" x14ac:dyDescent="0.25">
      <c r="A84" s="73" t="s">
        <v>24</v>
      </c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Y84" s="83"/>
      <c r="BZ84" s="83"/>
      <c r="CA84" s="83"/>
      <c r="CB84" s="83"/>
      <c r="CC84" s="83"/>
      <c r="CD84" s="83"/>
      <c r="CE84" s="83"/>
    </row>
    <row r="85" spans="1:83" x14ac:dyDescent="0.25">
      <c r="A85" s="86" t="s">
        <v>57</v>
      </c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/>
      <c r="BK85" s="86"/>
      <c r="BL85" s="86"/>
      <c r="BM85" s="86"/>
      <c r="BN85" s="86"/>
      <c r="BO85" s="86"/>
      <c r="BP85" s="86"/>
      <c r="BQ85" s="86"/>
      <c r="BR85" s="86"/>
      <c r="BS85" s="86"/>
      <c r="BT85" s="86"/>
      <c r="BY85" s="83"/>
      <c r="BZ85" s="83"/>
      <c r="CA85" s="83"/>
      <c r="CB85" s="83"/>
      <c r="CC85" s="83"/>
      <c r="CD85" s="83"/>
      <c r="CE85" s="83"/>
    </row>
    <row r="86" spans="1:83" x14ac:dyDescent="0.25">
      <c r="A86" s="17" t="s">
        <v>58</v>
      </c>
      <c r="B86" s="18"/>
      <c r="C86" s="18"/>
      <c r="D86" s="84" t="str">
        <f>A49</f>
        <v xml:space="preserve">БТП Ридан N0507232064-4 - 1 компл.: 1. Регулирующий клапан VFM-2VR/Dy20/Kvs6.3/Tmax150/Pmax25 чугун ф/ф - 1 шт; </v>
      </c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Y86" s="83"/>
      <c r="BZ86" s="83"/>
      <c r="CA86" s="83"/>
      <c r="CB86" s="83"/>
      <c r="CC86" s="83"/>
      <c r="CD86" s="83"/>
      <c r="CE86" s="83"/>
    </row>
    <row r="87" spans="1:83" x14ac:dyDescent="0.25">
      <c r="A87" s="17"/>
      <c r="B87" s="18"/>
      <c r="C87" s="18"/>
      <c r="D87" s="77" t="str">
        <f>A50</f>
        <v xml:space="preserve">2. Электропривод ARV-1000R 082G6011R, 230V, импульсное управление - 1 шт; </v>
      </c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  <c r="BQ87" s="77"/>
      <c r="BR87" s="77"/>
      <c r="BS87" s="77"/>
      <c r="BT87" s="63"/>
      <c r="BY87" s="83"/>
      <c r="BZ87" s="83"/>
      <c r="CA87" s="83"/>
      <c r="CB87" s="83"/>
      <c r="CC87" s="83"/>
      <c r="CD87" s="83"/>
      <c r="CE87" s="83"/>
    </row>
    <row r="88" spans="1:83" x14ac:dyDescent="0.25">
      <c r="A88" s="17"/>
      <c r="B88" s="18"/>
      <c r="C88" s="18"/>
      <c r="D88" s="77" t="str">
        <f t="shared" ref="D88:D104" si="0">A51</f>
        <v xml:space="preserve">3. Манометр показывающий ТМ510 0..16бар. 100мм. G1/2. кл. точн. 1.5. IP43 - 5 шт; </v>
      </c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  <c r="BQ88" s="77"/>
      <c r="BR88" s="77"/>
      <c r="BS88" s="77"/>
      <c r="BT88" s="63"/>
      <c r="BY88" s="83"/>
      <c r="BZ88" s="83"/>
      <c r="CA88" s="83"/>
      <c r="CB88" s="83"/>
      <c r="CC88" s="83"/>
      <c r="CD88" s="83"/>
      <c r="CE88" s="83"/>
    </row>
    <row r="89" spans="1:83" x14ac:dyDescent="0.25">
      <c r="A89" s="17"/>
      <c r="B89" s="18"/>
      <c r="C89" s="18"/>
      <c r="D89" s="77" t="str">
        <f t="shared" si="0"/>
        <v xml:space="preserve">4. Кран под манометр трехходовой резьбовой G1/2/Py25/Tmax150 - 19 шт; </v>
      </c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/>
      <c r="BP89" s="77"/>
      <c r="BQ89" s="77"/>
      <c r="BR89" s="77"/>
      <c r="BS89" s="77"/>
      <c r="BT89" s="63"/>
      <c r="BY89" s="83"/>
      <c r="BZ89" s="83"/>
      <c r="CA89" s="83"/>
      <c r="CB89" s="83"/>
      <c r="CC89" s="83"/>
      <c r="CD89" s="83"/>
      <c r="CE89" s="83"/>
    </row>
    <row r="90" spans="1:83" x14ac:dyDescent="0.25">
      <c r="A90" s="17"/>
      <c r="B90" s="18"/>
      <c r="C90" s="18"/>
      <c r="D90" s="77" t="str">
        <f t="shared" si="0"/>
        <v xml:space="preserve">5. Термометр биметаллический O80мм 0..160С, L=100 мм, кл. точн. 1.5, IP43 - 1 шт; </v>
      </c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  <c r="BQ90" s="77"/>
      <c r="BR90" s="77"/>
      <c r="BS90" s="77"/>
      <c r="BT90" s="63"/>
      <c r="BY90" s="83"/>
      <c r="BZ90" s="83"/>
      <c r="CA90" s="83"/>
      <c r="CB90" s="83"/>
      <c r="CC90" s="83"/>
      <c r="CD90" s="83"/>
      <c r="CE90" s="83"/>
    </row>
    <row r="91" spans="1:83" x14ac:dyDescent="0.25">
      <c r="A91" s="17"/>
      <c r="B91" s="18"/>
      <c r="C91" s="18"/>
      <c r="D91" s="77" t="str">
        <f t="shared" si="0"/>
        <v xml:space="preserve">6. Воздушник Ду15/Ру40/Тmax180 сталь с/с; термометр биметаллический O80мм 0..120С, L=100 мм, кл. точн. 1.5, IP43 - 1 шт; </v>
      </c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7"/>
      <c r="BN91" s="77"/>
      <c r="BO91" s="77"/>
      <c r="BP91" s="77"/>
      <c r="BQ91" s="77"/>
      <c r="BR91" s="77"/>
      <c r="BS91" s="77"/>
      <c r="BT91" s="63"/>
      <c r="BY91" s="83"/>
      <c r="BZ91" s="83"/>
      <c r="CA91" s="83"/>
      <c r="CB91" s="83"/>
      <c r="CC91" s="83"/>
      <c r="CD91" s="83"/>
      <c r="CE91" s="83"/>
    </row>
    <row r="92" spans="1:83" x14ac:dyDescent="0.25">
      <c r="A92" s="17"/>
      <c r="B92" s="18"/>
      <c r="C92" s="18"/>
      <c r="D92" s="77" t="str">
        <f t="shared" si="0"/>
        <v xml:space="preserve">7. Термометр биметаллический O80мм 0..120С, L=100 мм, кл. точн. 1.5, IP43 - 1 шт; </v>
      </c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77"/>
      <c r="BQ92" s="77"/>
      <c r="BR92" s="77"/>
      <c r="BS92" s="77"/>
      <c r="BT92" s="63"/>
      <c r="BY92" s="83"/>
      <c r="BZ92" s="83"/>
      <c r="CA92" s="83"/>
      <c r="CB92" s="83"/>
      <c r="CC92" s="83"/>
      <c r="CD92" s="83"/>
      <c r="CE92" s="83"/>
    </row>
    <row r="93" spans="1:83" x14ac:dyDescent="0.25">
      <c r="A93" s="17"/>
      <c r="B93" s="18"/>
      <c r="C93" s="18"/>
      <c r="D93" s="77" t="str">
        <f t="shared" si="0"/>
        <v>8. Спускник Ду25/Ру40/Tmax180 сталь с/с - 1 шт; 9. Термометр биметаллический О80мм 0..120С, L=100 мм, кл. точн. 1.5, IP43 - 5 шт;</v>
      </c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  <c r="BQ93" s="77"/>
      <c r="BR93" s="77"/>
      <c r="BS93" s="77"/>
      <c r="BT93" s="63"/>
      <c r="BY93" s="83"/>
      <c r="BZ93" s="83"/>
      <c r="CA93" s="83"/>
      <c r="CB93" s="83"/>
      <c r="CC93" s="83"/>
      <c r="CD93" s="83"/>
      <c r="CE93" s="83"/>
    </row>
    <row r="94" spans="1:83" x14ac:dyDescent="0.25">
      <c r="A94" s="17"/>
      <c r="B94" s="18"/>
      <c r="C94" s="18"/>
      <c r="D94" s="77" t="str">
        <f t="shared" si="0"/>
        <v>10. Манометр показывающий ТМ510 0..10бар. 100мм. G1/2 кл. точн 1.5. IP43 - 14 шт;</v>
      </c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  <c r="BQ94" s="77"/>
      <c r="BR94" s="77"/>
      <c r="BS94" s="77"/>
      <c r="BT94" s="63"/>
      <c r="BY94" s="83"/>
      <c r="BZ94" s="83"/>
      <c r="CA94" s="83"/>
      <c r="CB94" s="83"/>
      <c r="CC94" s="83"/>
      <c r="CD94" s="83"/>
      <c r="CE94" s="83"/>
    </row>
    <row r="95" spans="1:83" x14ac:dyDescent="0.25">
      <c r="A95" s="17"/>
      <c r="B95" s="18"/>
      <c r="C95" s="18"/>
      <c r="D95" s="77" t="str">
        <f t="shared" si="0"/>
        <v xml:space="preserve">11. Спускник Ду25/Ру16/Tmax130 латунь р/р - 3 шт; 12. Предохранительный клапан 1/2" OR 1832.015 - 1 шт; </v>
      </c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7"/>
      <c r="BT95" s="63"/>
      <c r="BY95" s="83"/>
      <c r="BZ95" s="83"/>
      <c r="CA95" s="83"/>
      <c r="CB95" s="83"/>
      <c r="CC95" s="83"/>
      <c r="CD95" s="83"/>
      <c r="CE95" s="83"/>
    </row>
    <row r="96" spans="1:83" x14ac:dyDescent="0.25">
      <c r="A96" s="17"/>
      <c r="B96" s="18"/>
      <c r="C96" s="18"/>
      <c r="D96" s="77" t="str">
        <f t="shared" si="0"/>
        <v xml:space="preserve">13. Шаровой кран Ду25/Ру16/Tmax130 латунь р/р - 7 шт; 14. Теплообменник НН-04A-22-TL - 1 шт; </v>
      </c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  <c r="BI96" s="77"/>
      <c r="BJ96" s="77"/>
      <c r="BK96" s="77"/>
      <c r="BL96" s="77"/>
      <c r="BM96" s="77"/>
      <c r="BN96" s="77"/>
      <c r="BO96" s="77"/>
      <c r="BP96" s="77"/>
      <c r="BQ96" s="77"/>
      <c r="BR96" s="77"/>
      <c r="BS96" s="77"/>
      <c r="BT96" s="63"/>
      <c r="BY96" s="83"/>
      <c r="BZ96" s="83"/>
      <c r="CA96" s="83"/>
      <c r="CB96" s="83"/>
      <c r="CC96" s="83"/>
      <c r="CD96" s="83"/>
      <c r="CE96" s="83"/>
    </row>
    <row r="97" spans="1:83" x14ac:dyDescent="0.25">
      <c r="A97" s="17"/>
      <c r="B97" s="18"/>
      <c r="C97" s="18"/>
      <c r="D97" s="77" t="str">
        <f t="shared" si="0"/>
        <v xml:space="preserve">15. Датчик температуры погружной с гильзой из нерж. стали, L=100 мм, Pt1000, T=-50...+200°С, G1/2", IP65 - 2 шт; </v>
      </c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77"/>
      <c r="BJ97" s="77"/>
      <c r="BK97" s="77"/>
      <c r="BL97" s="77"/>
      <c r="BM97" s="77"/>
      <c r="BN97" s="77"/>
      <c r="BO97" s="77"/>
      <c r="BP97" s="77"/>
      <c r="BQ97" s="77"/>
      <c r="BR97" s="77"/>
      <c r="BS97" s="77"/>
      <c r="BT97" s="63"/>
      <c r="BY97" s="83"/>
      <c r="BZ97" s="83"/>
      <c r="CA97" s="83"/>
      <c r="CB97" s="83"/>
      <c r="CC97" s="83"/>
      <c r="CD97" s="83"/>
      <c r="CE97" s="83"/>
    </row>
    <row r="98" spans="1:83" x14ac:dyDescent="0.25">
      <c r="A98" s="17"/>
      <c r="B98" s="18"/>
      <c r="C98" s="18"/>
      <c r="D98" s="77" t="str">
        <f t="shared" si="0"/>
        <v xml:space="preserve">16. Обратный клапан NRV-R EF/Dy25/Py25/Tmax110 латунь р/р - 3 шт; </v>
      </c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77"/>
      <c r="BM98" s="77"/>
      <c r="BN98" s="77"/>
      <c r="BO98" s="77"/>
      <c r="BP98" s="77"/>
      <c r="BQ98" s="77"/>
      <c r="BR98" s="77"/>
      <c r="BS98" s="77"/>
      <c r="BT98" s="63"/>
      <c r="BY98" s="83"/>
      <c r="BZ98" s="83"/>
      <c r="CA98" s="83"/>
      <c r="CB98" s="83"/>
      <c r="CC98" s="83"/>
      <c r="CD98" s="83"/>
      <c r="CE98" s="83"/>
    </row>
    <row r="99" spans="1:83" x14ac:dyDescent="0.25">
      <c r="A99" s="17"/>
      <c r="B99" s="18"/>
      <c r="C99" s="18"/>
      <c r="D99" s="77" t="str">
        <f t="shared" si="0"/>
        <v xml:space="preserve">17. Спускник Ду15/Ру16/Tmax130 латунь р/р - 3 шт; 18. Насос RWS 25-80SN - 2 шт; </v>
      </c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77"/>
      <c r="BQ99" s="77"/>
      <c r="BR99" s="77"/>
      <c r="BS99" s="77"/>
      <c r="BT99" s="63"/>
      <c r="BY99" s="83"/>
      <c r="BZ99" s="83"/>
      <c r="CA99" s="83"/>
      <c r="CB99" s="83"/>
      <c r="CC99" s="83"/>
      <c r="CD99" s="83"/>
      <c r="CE99" s="83"/>
    </row>
    <row r="100" spans="1:83" x14ac:dyDescent="0.25">
      <c r="A100" s="17"/>
      <c r="B100" s="18"/>
      <c r="C100" s="18"/>
      <c r="D100" s="77" t="str">
        <f t="shared" si="0"/>
        <v xml:space="preserve">19. Реле разности давлений RT262R, диап. настр. переп. давл. 0,5-3,5 бар, PN16,5, Tmax=120°C, G1/2", IP20 - 1 шт; </v>
      </c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  <c r="BI100" s="77"/>
      <c r="BJ100" s="77"/>
      <c r="BK100" s="77"/>
      <c r="BL100" s="77"/>
      <c r="BM100" s="77"/>
      <c r="BN100" s="77"/>
      <c r="BO100" s="77"/>
      <c r="BP100" s="77"/>
      <c r="BQ100" s="77"/>
      <c r="BR100" s="77"/>
      <c r="BS100" s="77"/>
      <c r="BT100" s="63"/>
      <c r="BY100" s="83"/>
      <c r="BZ100" s="83"/>
      <c r="CA100" s="83"/>
      <c r="CB100" s="83"/>
      <c r="CC100" s="83"/>
      <c r="CD100" s="83"/>
      <c r="CE100" s="83"/>
    </row>
    <row r="101" spans="1:83" x14ac:dyDescent="0.25">
      <c r="A101" s="17"/>
      <c r="B101" s="18"/>
      <c r="C101" s="18"/>
      <c r="D101" s="77" t="str">
        <f t="shared" si="0"/>
        <v>20. Шаровой кран трехходовой резьбовой G1/2/Py25/Tmax150 - 3 шт;</v>
      </c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  <c r="BQ101" s="77"/>
      <c r="BR101" s="77"/>
      <c r="BS101" s="77"/>
      <c r="BT101" s="63"/>
      <c r="BY101" s="83"/>
      <c r="BZ101" s="83"/>
      <c r="CA101" s="83"/>
      <c r="CB101" s="83"/>
      <c r="CC101" s="83"/>
      <c r="CD101" s="83"/>
      <c r="CE101" s="83"/>
    </row>
    <row r="102" spans="1:83" x14ac:dyDescent="0.25">
      <c r="A102" s="17"/>
      <c r="B102" s="18"/>
      <c r="C102" s="18"/>
      <c r="D102" s="77" t="str">
        <f t="shared" si="0"/>
        <v xml:space="preserve">21. Прессостат KPI 35R, диап. настр. давл. -0,2-7,5 бар, PN17, Tmax=120°C, G1/2", IP44 - 1 шт; </v>
      </c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/>
      <c r="BP102" s="77"/>
      <c r="BQ102" s="77"/>
      <c r="BR102" s="77"/>
      <c r="BS102" s="77"/>
      <c r="BT102" s="63"/>
      <c r="BY102" s="83"/>
      <c r="BZ102" s="83"/>
      <c r="CA102" s="83"/>
      <c r="CB102" s="83"/>
      <c r="CC102" s="83"/>
      <c r="CD102" s="83"/>
      <c r="CE102" s="83"/>
    </row>
    <row r="103" spans="1:83" x14ac:dyDescent="0.25">
      <c r="A103" s="17"/>
      <c r="B103" s="18"/>
      <c r="C103" s="18"/>
      <c r="D103" s="77" t="str">
        <f t="shared" si="0"/>
        <v xml:space="preserve">22. Расходомер Питерфлоу Dy20/Резьбовой/Qmax 6/Tmax150/PN16 - 1 шт; </v>
      </c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  <c r="BI103" s="77"/>
      <c r="BJ103" s="77"/>
      <c r="BK103" s="77"/>
      <c r="BL103" s="77"/>
      <c r="BM103" s="77"/>
      <c r="BN103" s="77"/>
      <c r="BO103" s="77"/>
      <c r="BP103" s="77"/>
      <c r="BQ103" s="77"/>
      <c r="BR103" s="77"/>
      <c r="BS103" s="77"/>
      <c r="BT103" s="63"/>
      <c r="BY103" s="83"/>
      <c r="BZ103" s="83"/>
      <c r="CA103" s="83"/>
      <c r="CB103" s="83"/>
      <c r="CC103" s="83"/>
      <c r="CD103" s="83"/>
      <c r="CE103" s="83"/>
    </row>
    <row r="104" spans="1:83" x14ac:dyDescent="0.25">
      <c r="A104" s="17"/>
      <c r="B104" s="18"/>
      <c r="C104" s="18"/>
      <c r="D104" s="77" t="str">
        <f t="shared" si="0"/>
        <v>23. Фильтр FVR-R/Dy25/Py25/Tmax130 латунь р/р - 2 шт; 24. Балансировочный клапан MVT-R/Dy32/Kvs14.11/PN16/Tmax120 р/р - 1 шт;</v>
      </c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77"/>
      <c r="BK104" s="77"/>
      <c r="BL104" s="77"/>
      <c r="BM104" s="77"/>
      <c r="BN104" s="77"/>
      <c r="BO104" s="77"/>
      <c r="BP104" s="77"/>
      <c r="BQ104" s="77"/>
      <c r="BR104" s="77"/>
      <c r="BS104" s="77"/>
      <c r="BT104" s="63"/>
      <c r="BY104" s="83"/>
      <c r="BZ104" s="83"/>
      <c r="CA104" s="83"/>
      <c r="CB104" s="83"/>
      <c r="CC104" s="83"/>
      <c r="CD104" s="83"/>
      <c r="CE104" s="83"/>
    </row>
    <row r="105" spans="1:83" x14ac:dyDescent="0.25">
      <c r="A105" s="17"/>
      <c r="B105" s="18"/>
      <c r="C105" s="18"/>
      <c r="D105" s="77" t="str">
        <f>A68</f>
        <v xml:space="preserve">25. Тепловая изоляция для теплообменника НН04А; 21 - 30 пл. - 1 шт; </v>
      </c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7"/>
      <c r="BJ105" s="77"/>
      <c r="BK105" s="77"/>
      <c r="BL105" s="77"/>
      <c r="BM105" s="77"/>
      <c r="BN105" s="77"/>
      <c r="BO105" s="77"/>
      <c r="BP105" s="77"/>
      <c r="BQ105" s="77"/>
      <c r="BR105" s="77"/>
      <c r="BS105" s="77"/>
      <c r="BT105" s="63"/>
      <c r="BY105" s="83"/>
      <c r="BZ105" s="83"/>
      <c r="CA105" s="83"/>
      <c r="CB105" s="83"/>
      <c r="CC105" s="83"/>
      <c r="CD105" s="83"/>
      <c r="CE105" s="83"/>
    </row>
    <row r="106" spans="1:83" x14ac:dyDescent="0.25">
      <c r="A106" s="17"/>
      <c r="B106" s="18"/>
      <c r="C106" s="18"/>
      <c r="D106" s="77" t="str">
        <f t="shared" ref="D106:D110" si="1">A69</f>
        <v>26. Шаровой кран RJIP Standard WW/Ду40/Ру16/Тmax150 сталь с/с - 1 шт;</v>
      </c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  <c r="BM106" s="77"/>
      <c r="BN106" s="77"/>
      <c r="BO106" s="77"/>
      <c r="BP106" s="77"/>
      <c r="BQ106" s="77"/>
      <c r="BR106" s="77"/>
      <c r="BS106" s="77"/>
      <c r="BT106" s="63"/>
      <c r="BY106" s="83"/>
      <c r="BZ106" s="83"/>
      <c r="CA106" s="83"/>
      <c r="CB106" s="83"/>
      <c r="CC106" s="83"/>
      <c r="CD106" s="83"/>
      <c r="CE106" s="83"/>
    </row>
    <row r="107" spans="1:83" x14ac:dyDescent="0.25">
      <c r="A107" s="17"/>
      <c r="B107" s="18"/>
      <c r="C107" s="18"/>
      <c r="D107" s="77" t="str">
        <f t="shared" si="1"/>
        <v>27. Балансировочный клапан MVT-R/Dy32/Kvs14.11/PN16/Tmax120 р/р - 1 шт;</v>
      </c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77"/>
      <c r="BN107" s="77"/>
      <c r="BO107" s="77"/>
      <c r="BP107" s="77"/>
      <c r="BQ107" s="77"/>
      <c r="BR107" s="77"/>
      <c r="BS107" s="77"/>
      <c r="BT107" s="63"/>
      <c r="BY107" s="83"/>
      <c r="BZ107" s="83"/>
      <c r="CA107" s="83"/>
      <c r="CB107" s="83"/>
      <c r="CC107" s="83"/>
      <c r="CD107" s="83"/>
      <c r="CE107" s="83"/>
    </row>
    <row r="108" spans="1:83" x14ac:dyDescent="0.25">
      <c r="A108" s="17"/>
      <c r="B108" s="18"/>
      <c r="C108" s="18"/>
      <c r="D108" s="77" t="str">
        <f t="shared" si="1"/>
        <v xml:space="preserve">28. Регулятор перепада давлений VFG-2R/Dy20/Kvs6.3/Tmax150/Pmax16 сталь ф/ф  - 1 шт; </v>
      </c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  <c r="BI108" s="77"/>
      <c r="BJ108" s="77"/>
      <c r="BK108" s="77"/>
      <c r="BL108" s="77"/>
      <c r="BM108" s="77"/>
      <c r="BN108" s="77"/>
      <c r="BO108" s="77"/>
      <c r="BP108" s="77"/>
      <c r="BQ108" s="77"/>
      <c r="BR108" s="77"/>
      <c r="BS108" s="77"/>
      <c r="BT108" s="63"/>
      <c r="BY108" s="83"/>
      <c r="BZ108" s="83"/>
      <c r="CA108" s="83"/>
      <c r="CB108" s="83"/>
      <c r="CC108" s="83"/>
      <c r="CD108" s="83"/>
      <c r="CE108" s="83"/>
    </row>
    <row r="109" spans="1:83" x14ac:dyDescent="0.25">
      <c r="A109" s="17"/>
      <c r="B109" s="18"/>
      <c r="C109" s="18"/>
      <c r="D109" s="77" t="str">
        <f t="shared" si="1"/>
        <v xml:space="preserve">29. Регулирующий блок AFP-R 0,15-1,50 - 1 шт; 30. Трубная обвязка элементов блока и демпферные медные трубки - 1 шт; </v>
      </c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77"/>
      <c r="BQ109" s="77"/>
      <c r="BR109" s="77"/>
      <c r="BS109" s="77"/>
      <c r="BT109" s="63"/>
      <c r="BY109" s="83"/>
      <c r="BZ109" s="83"/>
      <c r="CA109" s="83"/>
      <c r="CB109" s="83"/>
      <c r="CC109" s="83"/>
      <c r="CD109" s="83"/>
      <c r="CE109" s="83"/>
    </row>
    <row r="110" spans="1:83" x14ac:dyDescent="0.25">
      <c r="A110" s="17"/>
      <c r="B110" s="18"/>
      <c r="C110" s="18"/>
      <c r="D110" s="77" t="str">
        <f t="shared" si="1"/>
        <v xml:space="preserve">31. Наклейка для шильдика БТП - 1 шт; 32. Шаровой кран ДУ15/Ру40/Tmax180 сталь с/с - 2 шт; </v>
      </c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77"/>
      <c r="BI110" s="77"/>
      <c r="BJ110" s="77"/>
      <c r="BK110" s="77"/>
      <c r="BL110" s="77"/>
      <c r="BM110" s="77"/>
      <c r="BN110" s="77"/>
      <c r="BO110" s="77"/>
      <c r="BP110" s="77"/>
      <c r="BQ110" s="77"/>
      <c r="BR110" s="77"/>
      <c r="BS110" s="77"/>
      <c r="BT110" s="63"/>
      <c r="BY110" s="83"/>
      <c r="BZ110" s="83"/>
      <c r="CA110" s="83"/>
      <c r="CB110" s="83"/>
      <c r="CC110" s="83"/>
      <c r="CD110" s="83"/>
      <c r="CE110" s="83"/>
    </row>
    <row r="111" spans="1:83" x14ac:dyDescent="0.25">
      <c r="A111" s="17"/>
      <c r="B111" s="18"/>
      <c r="C111" s="18"/>
      <c r="D111" s="77" t="str">
        <f t="shared" ref="D111" si="2">A74</f>
        <v>33. Воздушник Ду15/Ру16/Tmax130 латунь р/р - 1 шт.</v>
      </c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77"/>
      <c r="BQ111" s="77"/>
      <c r="BR111" s="77"/>
      <c r="BS111" s="77"/>
      <c r="BT111" s="63"/>
      <c r="BY111" s="83"/>
      <c r="BZ111" s="83"/>
      <c r="CA111" s="83"/>
      <c r="CB111" s="83"/>
      <c r="CC111" s="83"/>
      <c r="CD111" s="83"/>
      <c r="CE111" s="83"/>
    </row>
    <row r="112" spans="1:83" ht="13.8" customHeight="1" x14ac:dyDescent="0.25">
      <c r="A112" s="92" t="s">
        <v>25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  <c r="BI112" s="92"/>
      <c r="BJ112" s="92"/>
      <c r="BK112" s="92"/>
      <c r="BL112" s="92"/>
      <c r="BM112" s="92"/>
      <c r="BN112" s="92"/>
      <c r="BO112" s="92"/>
      <c r="BP112" s="92"/>
      <c r="BQ112" s="92"/>
      <c r="BR112" s="92"/>
      <c r="BS112" s="92"/>
      <c r="BT112" s="92"/>
      <c r="BY112" s="83"/>
      <c r="BZ112" s="83"/>
      <c r="CA112" s="83"/>
      <c r="CB112" s="83"/>
      <c r="CC112" s="83"/>
      <c r="CD112" s="83"/>
      <c r="CE112" s="83"/>
    </row>
    <row r="113" spans="1:83" ht="13.8" customHeight="1" x14ac:dyDescent="0.25">
      <c r="A113" s="8" t="s">
        <v>26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55"/>
      <c r="Y113" s="89" t="s">
        <v>105</v>
      </c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  <c r="AS113" s="89"/>
      <c r="AT113" s="89"/>
      <c r="AU113" s="89"/>
      <c r="AV113" s="89"/>
      <c r="AW113" s="89"/>
      <c r="AX113" s="89"/>
      <c r="AY113" s="89"/>
      <c r="AZ113" s="89"/>
      <c r="BA113" s="89"/>
      <c r="BB113" s="89"/>
      <c r="BC113" s="89"/>
      <c r="BD113" s="89"/>
      <c r="BE113" s="89"/>
      <c r="BF113" s="89"/>
      <c r="BG113" s="89"/>
      <c r="BH113" s="89"/>
      <c r="BI113" s="89"/>
      <c r="BJ113" s="89"/>
      <c r="BK113" s="89"/>
      <c r="BL113" s="89"/>
      <c r="BM113" s="89"/>
      <c r="BN113" s="89"/>
      <c r="BO113" s="89"/>
      <c r="BP113" s="89"/>
      <c r="BQ113" s="89"/>
      <c r="BR113" s="89"/>
      <c r="BS113" s="89"/>
      <c r="BT113" s="89"/>
      <c r="BU113" s="54"/>
      <c r="BY113" s="83"/>
      <c r="BZ113" s="83"/>
      <c r="CA113" s="83"/>
      <c r="CB113" s="83"/>
      <c r="CC113" s="83"/>
      <c r="CD113" s="83"/>
      <c r="CE113" s="83"/>
    </row>
    <row r="114" spans="1:8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9"/>
      <c r="Y114" s="69" t="s">
        <v>27</v>
      </c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69"/>
      <c r="BN114" s="69"/>
      <c r="BO114" s="69"/>
      <c r="BP114" s="69"/>
      <c r="BQ114" s="69"/>
      <c r="BR114" s="69"/>
      <c r="BS114" s="69"/>
      <c r="BT114" s="69"/>
      <c r="BY114" s="83"/>
      <c r="BZ114" s="83"/>
      <c r="CA114" s="83"/>
      <c r="CB114" s="83"/>
      <c r="CC114" s="83"/>
      <c r="CD114" s="83"/>
      <c r="CE114" s="83"/>
    </row>
    <row r="115" spans="1:83" x14ac:dyDescent="0.25">
      <c r="A115" s="8" t="s">
        <v>28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7"/>
      <c r="AG115" s="7"/>
      <c r="AH115" s="7"/>
      <c r="AI115" s="7"/>
      <c r="AJ115" s="98" t="s">
        <v>29</v>
      </c>
      <c r="AK115" s="98"/>
      <c r="AL115" s="98"/>
      <c r="AM115" s="98"/>
      <c r="AN115" s="98"/>
      <c r="AO115" s="98"/>
      <c r="AP115" s="98"/>
      <c r="AQ115" s="98"/>
      <c r="AR115" s="98"/>
      <c r="AS115" s="98"/>
      <c r="AT115" s="99" t="s">
        <v>70</v>
      </c>
      <c r="AU115" s="99"/>
      <c r="AV115" s="99"/>
      <c r="AW115" s="99"/>
      <c r="AX115" s="99"/>
      <c r="AY115" s="99"/>
      <c r="AZ115" s="99"/>
      <c r="BA115" s="99"/>
      <c r="BB115" s="99"/>
      <c r="BC115" s="99"/>
      <c r="BD115" s="99"/>
      <c r="BE115" s="99"/>
      <c r="BF115" s="99"/>
      <c r="BG115" s="99"/>
      <c r="BH115" s="99"/>
      <c r="BI115" s="99"/>
      <c r="BJ115" s="99"/>
      <c r="BK115" s="99"/>
      <c r="BL115" s="99"/>
      <c r="BM115" s="99"/>
      <c r="BN115" s="99"/>
      <c r="BO115" s="99"/>
      <c r="BP115" s="99"/>
      <c r="BQ115" s="99"/>
      <c r="BR115" s="99"/>
      <c r="BS115" s="99"/>
      <c r="BT115" s="99"/>
    </row>
    <row r="116" spans="1:83" x14ac:dyDescent="0.25">
      <c r="A116" s="10" t="s">
        <v>30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52"/>
      <c r="O116" s="52"/>
      <c r="P116" s="52"/>
      <c r="Q116" s="100" t="str">
        <f>U76</f>
        <v>ПП2020РД-1.2-61.17-ИТП; ПП2020РД-1.2-61.17-ИТП.СО; изм. 4; л. 8-11</v>
      </c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00"/>
      <c r="AV116" s="100"/>
      <c r="AW116" s="100"/>
      <c r="AX116" s="100"/>
      <c r="AY116" s="100"/>
      <c r="AZ116" s="100"/>
      <c r="BA116" s="100"/>
      <c r="BB116" s="100"/>
      <c r="BC116" s="100"/>
      <c r="BD116" s="100"/>
      <c r="BE116" s="100"/>
      <c r="BF116" s="100"/>
      <c r="BG116" s="100"/>
      <c r="BH116" s="100"/>
      <c r="BI116" s="100"/>
      <c r="BJ116" s="100"/>
      <c r="BK116" s="100"/>
      <c r="BL116" s="100"/>
      <c r="BM116" s="100"/>
      <c r="BN116" s="100"/>
      <c r="BO116" s="100"/>
      <c r="BP116" s="100"/>
      <c r="BQ116" s="100"/>
      <c r="BR116" s="100"/>
      <c r="BS116" s="100"/>
      <c r="BT116" s="100"/>
    </row>
    <row r="117" spans="1:83" x14ac:dyDescent="0.25">
      <c r="A117" s="8"/>
      <c r="B117" s="8"/>
      <c r="C117" s="8"/>
      <c r="D117" s="10" t="s">
        <v>31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0"/>
      <c r="X117" s="8"/>
      <c r="Y117" s="30"/>
      <c r="Z117" s="30"/>
      <c r="AA117" s="103" t="str">
        <f>AK81</f>
        <v>Паспорт б/н (БТП/HS23L-1899) от октября 2023</v>
      </c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3"/>
      <c r="BN117" s="103"/>
      <c r="BO117" s="103"/>
      <c r="BP117" s="103"/>
      <c r="BQ117" s="103"/>
      <c r="BR117" s="103"/>
      <c r="BS117" s="103"/>
      <c r="BT117" s="103"/>
    </row>
    <row r="118" spans="1:83" hidden="1" x14ac:dyDescent="0.25">
      <c r="A118" s="72">
        <f>A82</f>
        <v>0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</row>
    <row r="119" spans="1:83" hidden="1" x14ac:dyDescent="0.25">
      <c r="A119" s="72">
        <f>A83</f>
        <v>0</v>
      </c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56"/>
    </row>
    <row r="120" spans="1:83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94" t="s">
        <v>32</v>
      </c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BH120" s="94"/>
      <c r="BI120" s="94"/>
      <c r="BJ120" s="94"/>
      <c r="BK120" s="94"/>
      <c r="BL120" s="94"/>
      <c r="BM120" s="94"/>
      <c r="BN120" s="94"/>
      <c r="BO120" s="94"/>
      <c r="BP120" s="94"/>
      <c r="BQ120" s="94"/>
      <c r="BR120" s="94"/>
      <c r="BS120" s="94"/>
      <c r="BT120" s="94"/>
      <c r="BY120" t="s">
        <v>82</v>
      </c>
    </row>
    <row r="121" spans="1:83" x14ac:dyDescent="0.25">
      <c r="A121" s="8" t="s">
        <v>33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22"/>
    </row>
    <row r="122" spans="1:83" x14ac:dyDescent="0.25">
      <c r="A122" s="31"/>
      <c r="B122" s="8"/>
      <c r="C122" s="8"/>
      <c r="D122" s="8" t="s">
        <v>34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7"/>
      <c r="X122" s="7"/>
      <c r="Y122" s="7"/>
      <c r="Z122" s="7"/>
      <c r="AA122" s="31"/>
      <c r="AB122" s="7"/>
      <c r="AC122" s="31"/>
      <c r="AD122" s="95" t="s">
        <v>35</v>
      </c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  <c r="AV122" s="95"/>
      <c r="AW122" s="95"/>
      <c r="AX122" s="95"/>
      <c r="AY122" s="95"/>
      <c r="AZ122" s="95"/>
      <c r="BA122" s="95"/>
      <c r="BB122" s="95"/>
      <c r="BC122" s="95"/>
      <c r="BD122" s="95"/>
      <c r="BE122" s="95"/>
      <c r="BF122" s="95"/>
      <c r="BG122" s="95"/>
      <c r="BH122" s="95"/>
      <c r="BI122" s="95"/>
      <c r="BJ122" s="95"/>
      <c r="BK122" s="95"/>
      <c r="BL122" s="95"/>
      <c r="BM122" s="95"/>
      <c r="BN122" s="95"/>
      <c r="BO122" s="95"/>
      <c r="BP122" s="95"/>
      <c r="BQ122" s="95"/>
      <c r="BR122" s="95"/>
      <c r="BS122" s="95"/>
      <c r="BT122" s="95"/>
    </row>
    <row r="123" spans="1:83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97" t="s">
        <v>36</v>
      </c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7"/>
      <c r="AV123" s="97"/>
      <c r="AW123" s="97"/>
      <c r="AX123" s="97"/>
      <c r="AY123" s="97"/>
      <c r="AZ123" s="97"/>
      <c r="BA123" s="97"/>
      <c r="BB123" s="97"/>
      <c r="BC123" s="97"/>
      <c r="BD123" s="97"/>
      <c r="BE123" s="97"/>
      <c r="BF123" s="97"/>
      <c r="BG123" s="97"/>
      <c r="BH123" s="97"/>
      <c r="BI123" s="97"/>
      <c r="BJ123" s="97"/>
      <c r="BK123" s="97"/>
      <c r="BL123" s="97"/>
      <c r="BM123" s="97"/>
      <c r="BN123" s="97"/>
      <c r="BO123" s="97"/>
      <c r="BP123" s="97"/>
      <c r="BQ123" s="97"/>
      <c r="BR123" s="97"/>
      <c r="BS123" s="97"/>
      <c r="BT123" s="97"/>
    </row>
    <row r="124" spans="1:83" x14ac:dyDescent="0.25">
      <c r="A124" s="10" t="s">
        <v>37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9"/>
      <c r="V124" s="26"/>
      <c r="W124" s="32"/>
      <c r="X124" s="27"/>
      <c r="Y124" s="93" t="str">
        <f>U76</f>
        <v>ПП2020РД-1.2-61.17-ИТП; ПП2020РД-1.2-61.17-ИТП.СО; изм. 4; л. 8-11</v>
      </c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/>
      <c r="AQ124" s="93"/>
      <c r="AR124" s="93"/>
      <c r="AS124" s="93"/>
      <c r="AT124" s="93"/>
      <c r="AU124" s="93"/>
      <c r="AV124" s="93"/>
      <c r="AW124" s="93"/>
      <c r="AX124" s="93"/>
      <c r="AY124" s="93"/>
      <c r="AZ124" s="93"/>
      <c r="BA124" s="93"/>
      <c r="BB124" s="93"/>
      <c r="BC124" s="93"/>
      <c r="BD124" s="93"/>
      <c r="BE124" s="93"/>
      <c r="BF124" s="93"/>
      <c r="BG124" s="93"/>
      <c r="BH124" s="93"/>
      <c r="BI124" s="93"/>
      <c r="BJ124" s="93"/>
      <c r="BK124" s="93"/>
      <c r="BL124" s="93"/>
      <c r="BM124" s="93"/>
      <c r="BN124" s="93"/>
      <c r="BO124" s="93"/>
      <c r="BP124" s="93"/>
      <c r="BQ124" s="93"/>
      <c r="BR124" s="93"/>
      <c r="BS124" s="93"/>
      <c r="BT124" s="93"/>
    </row>
    <row r="125" spans="1:83" x14ac:dyDescent="0.25">
      <c r="A125" s="8" t="s">
        <v>38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31"/>
      <c r="M125" s="23"/>
      <c r="N125" s="96" t="s">
        <v>105</v>
      </c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  <c r="AH125" s="96"/>
      <c r="AI125" s="96"/>
      <c r="AJ125" s="96"/>
      <c r="AK125" s="96"/>
      <c r="AL125" s="96"/>
      <c r="AM125" s="96"/>
      <c r="AN125" s="96"/>
      <c r="AO125" s="96"/>
      <c r="AP125" s="96"/>
      <c r="AQ125" s="96"/>
      <c r="AR125" s="96"/>
      <c r="AS125" s="96"/>
      <c r="AT125" s="96"/>
      <c r="AU125" s="96"/>
      <c r="AV125" s="96"/>
      <c r="AW125" s="96"/>
      <c r="AX125" s="96"/>
      <c r="AY125" s="96"/>
      <c r="AZ125" s="96"/>
      <c r="BA125" s="96"/>
      <c r="BB125" s="96"/>
      <c r="BC125" s="96"/>
      <c r="BD125" s="96"/>
      <c r="BE125" s="96"/>
      <c r="BF125" s="96"/>
      <c r="BG125" s="96"/>
      <c r="BH125" s="96"/>
      <c r="BI125" s="96"/>
      <c r="BJ125" s="96"/>
      <c r="BK125" s="96"/>
      <c r="BL125" s="96"/>
      <c r="BM125" s="96"/>
      <c r="BN125" s="96"/>
      <c r="BO125" s="96"/>
      <c r="BP125" s="96"/>
      <c r="BQ125" s="96"/>
      <c r="BR125" s="96"/>
      <c r="BS125" s="96"/>
      <c r="BT125" s="96"/>
    </row>
    <row r="126" spans="1:83" ht="28.2" customHeight="1" x14ac:dyDescent="0.25">
      <c r="A126" s="8" t="s">
        <v>39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12"/>
    </row>
    <row r="127" spans="1:83" x14ac:dyDescent="0.25">
      <c r="A127" s="8" t="s">
        <v>12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105" t="str">
        <f>BJ41</f>
        <v>Кострова Н.Л.</v>
      </c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8"/>
      <c r="AP127" s="8"/>
      <c r="AQ127" s="101"/>
      <c r="AR127" s="101"/>
      <c r="AS127" s="101"/>
      <c r="AT127" s="101"/>
      <c r="AU127" s="101"/>
      <c r="AV127" s="101"/>
      <c r="AW127" s="101"/>
      <c r="AX127" s="101"/>
      <c r="AY127" s="101"/>
      <c r="AZ127" s="101"/>
      <c r="BA127" s="101"/>
      <c r="BB127" s="101"/>
      <c r="BC127" s="101"/>
      <c r="BD127" s="101"/>
      <c r="BE127" s="101"/>
      <c r="BF127" s="8"/>
      <c r="BG127" s="8"/>
      <c r="BH127" s="102">
        <f>AE39</f>
        <v>45244</v>
      </c>
      <c r="BI127" s="102"/>
      <c r="BJ127" s="102"/>
      <c r="BK127" s="102"/>
      <c r="BL127" s="102"/>
      <c r="BM127" s="102"/>
      <c r="BN127" s="102"/>
      <c r="BO127" s="102"/>
      <c r="BP127" s="102"/>
      <c r="BQ127" s="102"/>
      <c r="BR127" s="102"/>
      <c r="BS127" s="102"/>
      <c r="BT127" s="12"/>
    </row>
    <row r="128" spans="1:83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69" t="s">
        <v>59</v>
      </c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28"/>
      <c r="AP128" s="28"/>
      <c r="AQ128" s="69" t="s">
        <v>40</v>
      </c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28"/>
      <c r="BG128" s="28"/>
      <c r="BH128" s="69" t="s">
        <v>41</v>
      </c>
      <c r="BI128" s="69"/>
      <c r="BJ128" s="69"/>
      <c r="BK128" s="69"/>
      <c r="BL128" s="69"/>
      <c r="BM128" s="69"/>
      <c r="BN128" s="69"/>
      <c r="BO128" s="69"/>
      <c r="BP128" s="69"/>
      <c r="BQ128" s="69"/>
      <c r="BR128" s="69"/>
      <c r="BS128" s="69"/>
      <c r="BT128" s="24"/>
    </row>
    <row r="129" spans="1:77" ht="26.4" customHeight="1" x14ac:dyDescent="0.25">
      <c r="A129" s="8" t="s">
        <v>42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12"/>
      <c r="BY129" t="s">
        <v>83</v>
      </c>
    </row>
    <row r="130" spans="1:77" x14ac:dyDescent="0.25">
      <c r="A130" s="8" t="s">
        <v>43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105" t="str">
        <f>BJ43</f>
        <v>Халыгов Э. А.</v>
      </c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5"/>
      <c r="AN130" s="105"/>
      <c r="AO130" s="8"/>
      <c r="AP130" s="8"/>
      <c r="AQ130" s="101"/>
      <c r="AR130" s="101"/>
      <c r="AS130" s="101"/>
      <c r="AT130" s="101"/>
      <c r="AU130" s="101"/>
      <c r="AV130" s="101"/>
      <c r="AW130" s="101"/>
      <c r="AX130" s="101"/>
      <c r="AY130" s="101"/>
      <c r="AZ130" s="101"/>
      <c r="BA130" s="101"/>
      <c r="BB130" s="101"/>
      <c r="BC130" s="101"/>
      <c r="BD130" s="101"/>
      <c r="BE130" s="101"/>
      <c r="BF130" s="8"/>
      <c r="BG130" s="8"/>
      <c r="BH130" s="102">
        <f>BH127</f>
        <v>45244</v>
      </c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12"/>
    </row>
    <row r="131" spans="1:77" ht="16.2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69" t="s">
        <v>59</v>
      </c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28"/>
      <c r="AP131" s="28"/>
      <c r="AQ131" s="69" t="s">
        <v>40</v>
      </c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  <c r="BE131" s="69"/>
      <c r="BF131" s="28"/>
      <c r="BG131" s="28"/>
      <c r="BH131" s="69" t="s">
        <v>41</v>
      </c>
      <c r="BI131" s="69"/>
      <c r="BJ131" s="69"/>
      <c r="BK131" s="69"/>
      <c r="BL131" s="69"/>
      <c r="BM131" s="69"/>
      <c r="BN131" s="69"/>
      <c r="BO131" s="69"/>
      <c r="BP131" s="69"/>
      <c r="BQ131" s="69"/>
      <c r="BR131" s="69"/>
      <c r="BS131" s="69"/>
      <c r="BT131" s="12"/>
      <c r="BY131" t="s">
        <v>84</v>
      </c>
    </row>
    <row r="132" spans="1:77" ht="27" customHeight="1" x14ac:dyDescent="0.25">
      <c r="A132" s="8" t="s">
        <v>39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12"/>
      <c r="BY132" t="s">
        <v>85</v>
      </c>
    </row>
    <row r="133" spans="1:77" x14ac:dyDescent="0.25">
      <c r="A133" s="8" t="s">
        <v>44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74" t="str">
        <f>BJ45</f>
        <v>Тюкин Е.В.</v>
      </c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8"/>
      <c r="AP133" s="8"/>
      <c r="AQ133" s="101"/>
      <c r="AR133" s="101"/>
      <c r="AS133" s="101"/>
      <c r="AT133" s="101"/>
      <c r="AU133" s="101"/>
      <c r="AV133" s="101"/>
      <c r="AW133" s="101"/>
      <c r="AX133" s="101"/>
      <c r="AY133" s="101"/>
      <c r="AZ133" s="101"/>
      <c r="BA133" s="101"/>
      <c r="BB133" s="101"/>
      <c r="BC133" s="101"/>
      <c r="BD133" s="101"/>
      <c r="BE133" s="101"/>
      <c r="BF133" s="8"/>
      <c r="BG133" s="8"/>
      <c r="BH133" s="102">
        <f>BH127</f>
        <v>45244</v>
      </c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12"/>
    </row>
    <row r="134" spans="1:77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69" t="s">
        <v>59</v>
      </c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28"/>
      <c r="AP134" s="28"/>
      <c r="AQ134" s="69" t="s">
        <v>40</v>
      </c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28"/>
      <c r="BG134" s="28"/>
      <c r="BH134" s="69" t="s">
        <v>41</v>
      </c>
      <c r="BI134" s="69"/>
      <c r="BJ134" s="69"/>
      <c r="BK134" s="69"/>
      <c r="BL134" s="69"/>
      <c r="BM134" s="69"/>
      <c r="BN134" s="69"/>
      <c r="BO134" s="69"/>
      <c r="BP134" s="69"/>
      <c r="BQ134" s="69"/>
      <c r="BR134" s="69"/>
      <c r="BS134" s="69"/>
      <c r="BT134" s="12"/>
    </row>
    <row r="135" spans="1:77" hidden="1" x14ac:dyDescent="0.25">
      <c r="A135" s="13"/>
      <c r="B135" s="13"/>
      <c r="C135" s="13"/>
      <c r="D135" s="7"/>
      <c r="E135" s="7"/>
      <c r="F135" s="7"/>
      <c r="G135" s="7"/>
      <c r="H135" s="7"/>
      <c r="I135" s="7"/>
      <c r="J135" s="7"/>
      <c r="K135" s="7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12"/>
    </row>
    <row r="136" spans="1:77" ht="13.8" customHeight="1" x14ac:dyDescent="0.25">
      <c r="A136" s="21" t="s">
        <v>104</v>
      </c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13"/>
      <c r="AN136" s="13"/>
      <c r="AO136" s="8"/>
      <c r="AP136" s="8"/>
      <c r="AQ136" s="78"/>
      <c r="AR136" s="78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8"/>
      <c r="BG136" s="8"/>
      <c r="BH136" s="104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  <c r="BS136" s="78"/>
      <c r="BT136" s="12"/>
    </row>
    <row r="137" spans="1:77" ht="16.8" customHeight="1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10"/>
      <c r="AN137" s="10"/>
      <c r="AO137" s="8"/>
      <c r="AP137" s="8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8"/>
      <c r="BG137" s="8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12"/>
    </row>
    <row r="138" spans="1:77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12"/>
    </row>
    <row r="140" spans="1:77" ht="13.8" customHeight="1" x14ac:dyDescent="0.25"/>
    <row r="143" spans="1:77" ht="13.8" customHeight="1" x14ac:dyDescent="0.25"/>
  </sheetData>
  <mergeCells count="151">
    <mergeCell ref="D111:BS111"/>
    <mergeCell ref="D106:BS106"/>
    <mergeCell ref="D107:BS107"/>
    <mergeCell ref="D108:BS108"/>
    <mergeCell ref="D109:BS109"/>
    <mergeCell ref="D110:BS110"/>
    <mergeCell ref="D101:BS101"/>
    <mergeCell ref="D102:BS102"/>
    <mergeCell ref="D103:BS103"/>
    <mergeCell ref="D104:BS104"/>
    <mergeCell ref="D105:BS105"/>
    <mergeCell ref="D96:BS96"/>
    <mergeCell ref="D97:BS97"/>
    <mergeCell ref="D98:BS98"/>
    <mergeCell ref="D99:BS99"/>
    <mergeCell ref="D100:BS100"/>
    <mergeCell ref="D91:BS91"/>
    <mergeCell ref="D92:BS92"/>
    <mergeCell ref="D93:BS93"/>
    <mergeCell ref="D94:BS94"/>
    <mergeCell ref="D95:BS95"/>
    <mergeCell ref="A62:BS62"/>
    <mergeCell ref="A73:BS73"/>
    <mergeCell ref="A74:BS74"/>
    <mergeCell ref="D88:BS88"/>
    <mergeCell ref="D89:BS89"/>
    <mergeCell ref="D90:BS90"/>
    <mergeCell ref="A68:BS68"/>
    <mergeCell ref="A69:BS69"/>
    <mergeCell ref="A70:BS70"/>
    <mergeCell ref="A71:BS71"/>
    <mergeCell ref="A72:BS72"/>
    <mergeCell ref="A19:BS19"/>
    <mergeCell ref="A20:BS20"/>
    <mergeCell ref="A21:BS21"/>
    <mergeCell ref="A22:BS22"/>
    <mergeCell ref="A23:BS23"/>
    <mergeCell ref="A24:BS24"/>
    <mergeCell ref="A25:BS25"/>
    <mergeCell ref="A26:BS26"/>
    <mergeCell ref="A37:BS37"/>
    <mergeCell ref="A32:BS32"/>
    <mergeCell ref="A33:BS33"/>
    <mergeCell ref="A34:BS34"/>
    <mergeCell ref="A35:BS35"/>
    <mergeCell ref="A36:BS36"/>
    <mergeCell ref="X134:AN134"/>
    <mergeCell ref="AQ134:BE134"/>
    <mergeCell ref="X128:AN128"/>
    <mergeCell ref="AQ128:BE128"/>
    <mergeCell ref="BH128:BS128"/>
    <mergeCell ref="BH134:BS134"/>
    <mergeCell ref="A27:BS27"/>
    <mergeCell ref="A28:BS28"/>
    <mergeCell ref="A29:BS29"/>
    <mergeCell ref="A30:BS30"/>
    <mergeCell ref="A31:BS31"/>
    <mergeCell ref="AE39:AT39"/>
    <mergeCell ref="A38:BT38"/>
    <mergeCell ref="A51:BS51"/>
    <mergeCell ref="A52:BS52"/>
    <mergeCell ref="A53:BS53"/>
    <mergeCell ref="A54:BS54"/>
    <mergeCell ref="T44:BJ44"/>
    <mergeCell ref="BJ43:BT43"/>
    <mergeCell ref="S43:BI43"/>
    <mergeCell ref="T42:BJ42"/>
    <mergeCell ref="BJ41:BT41"/>
    <mergeCell ref="S41:BI41"/>
    <mergeCell ref="A63:BS63"/>
    <mergeCell ref="AQ137:BE137"/>
    <mergeCell ref="BH137:BS137"/>
    <mergeCell ref="A112:BT112"/>
    <mergeCell ref="Y124:BT124"/>
    <mergeCell ref="V120:BT120"/>
    <mergeCell ref="AD122:BT122"/>
    <mergeCell ref="N125:BT125"/>
    <mergeCell ref="J123:BT123"/>
    <mergeCell ref="AJ115:AS115"/>
    <mergeCell ref="AT115:BT115"/>
    <mergeCell ref="Q116:BT116"/>
    <mergeCell ref="X133:AN133"/>
    <mergeCell ref="AQ133:BE133"/>
    <mergeCell ref="BH133:BS133"/>
    <mergeCell ref="AA117:BT117"/>
    <mergeCell ref="A118:BT118"/>
    <mergeCell ref="AQ136:BE136"/>
    <mergeCell ref="BH136:BS136"/>
    <mergeCell ref="X127:AN127"/>
    <mergeCell ref="AQ127:BE127"/>
    <mergeCell ref="BH127:BS127"/>
    <mergeCell ref="AQ131:BE131"/>
    <mergeCell ref="BH131:BS131"/>
    <mergeCell ref="X130:AN130"/>
    <mergeCell ref="BY48:CE49"/>
    <mergeCell ref="BY76:CD76"/>
    <mergeCell ref="BY80:CE114"/>
    <mergeCell ref="D86:BT86"/>
    <mergeCell ref="A79:BT79"/>
    <mergeCell ref="AK81:BT81"/>
    <mergeCell ref="A82:BT82"/>
    <mergeCell ref="A84:BT84"/>
    <mergeCell ref="A85:BT85"/>
    <mergeCell ref="U76:BT76"/>
    <mergeCell ref="P77:BT77"/>
    <mergeCell ref="U78:BT78"/>
    <mergeCell ref="Y113:BT113"/>
    <mergeCell ref="Y114:BT114"/>
    <mergeCell ref="A83:BS83"/>
    <mergeCell ref="AK80:BT80"/>
    <mergeCell ref="A64:BS64"/>
    <mergeCell ref="A65:BS65"/>
    <mergeCell ref="A66:BS66"/>
    <mergeCell ref="A67:BS67"/>
    <mergeCell ref="A58:BS58"/>
    <mergeCell ref="A59:BS59"/>
    <mergeCell ref="A60:BS60"/>
    <mergeCell ref="A61:BS61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  <mergeCell ref="A12:BT12"/>
    <mergeCell ref="X131:AN131"/>
    <mergeCell ref="S45:BI45"/>
    <mergeCell ref="BJ45:BT45"/>
    <mergeCell ref="A119:BS119"/>
    <mergeCell ref="T46:BJ46"/>
    <mergeCell ref="O47:BP47"/>
    <mergeCell ref="A49:BT49"/>
    <mergeCell ref="E48:BT48"/>
    <mergeCell ref="A50:BS50"/>
    <mergeCell ref="D87:BS87"/>
    <mergeCell ref="A55:BS55"/>
    <mergeCell ref="A56:BS56"/>
    <mergeCell ref="A57:BS57"/>
    <mergeCell ref="AQ130:BE130"/>
    <mergeCell ref="BH130:BS130"/>
    <mergeCell ref="A13:BS13"/>
    <mergeCell ref="A14:BS14"/>
    <mergeCell ref="A15:BS15"/>
    <mergeCell ref="A16:BS16"/>
    <mergeCell ref="A17:BS17"/>
    <mergeCell ref="A18:BS18"/>
  </mergeCells>
  <phoneticPr fontId="21" type="noConversion"/>
  <dataValidations count="4">
    <dataValidation type="list" errorStyle="information" allowBlank="1" showInputMessage="1" sqref="O47:BP47" xr:uid="{00000000-0002-0000-0000-000000000000}">
      <formula1>"выборочный,сплошной"</formula1>
    </dataValidation>
    <dataValidation type="list" allowBlank="1" showInputMessage="1" showErrorMessage="1" sqref="N47" xr:uid="{00000000-0002-0000-0000-000001000000}">
      <formula1>"выборочный,сплошной"</formula1>
    </dataValidation>
    <dataValidation type="list" allowBlank="1" showInputMessage="1" showErrorMessage="1" sqref="F6:H6 F3:H3" xr:uid="{00000000-0002-0000-0000-000002000000}">
      <formula1>"I.I,I.II,II,III,IV,V,V.I,V.II"</formula1>
    </dataValidation>
    <dataValidation type="list" showInputMessage="1" showErrorMessage="1" sqref="G7:H7" xr:uid="{00000000-0002-0000-00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74" fitToHeight="2" orientation="portrait" blackAndWhite="1" r:id="rId1"/>
  <rowBreaks count="1" manualBreakCount="1">
    <brk id="73" max="71" man="1"/>
  </rowBreaks>
  <colBreaks count="1" manualBreakCount="1">
    <brk id="71" max="13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подписанты!$B$8:$B$9</xm:f>
          </x14:formula1>
          <xm:sqref>BJ45:BT45</xm:sqref>
        </x14:dataValidation>
        <x14:dataValidation type="list" allowBlank="1" showInputMessage="1" showErrorMessage="1" xr:uid="{00000000-0002-0000-0000-000005000000}">
          <x14:formula1>
            <xm:f>подписанты!$B$5:$B$7</xm:f>
          </x14:formula1>
          <xm:sqref>BJ43:BT43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BJ41:BT41</xm:sqref>
        </x14:dataValidation>
        <x14:dataValidation type="list" errorStyle="information" allowBlank="1" showInputMessage="1" xr:uid="{00000000-0002-0000-0000-000007000000}">
          <x14:formula1>
            <xm:f>'Лист общих данных'!$C$6:$C$12</xm:f>
          </x14:formula1>
          <xm:sqref>T76:U76</xm:sqref>
        </x14:dataValidation>
        <x14:dataValidation type="list" errorStyle="warning" allowBlank="1" showInputMessage="1" showErrorMessage="1" xr:uid="{00000000-0002-0000-0000-000008000000}">
          <x14:formula1>
            <xm:f>'Лист общих данных'!$B$6:$B$12</xm:f>
          </x14:formula1>
          <xm:sqref>S78:U78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"/>
  <sheetViews>
    <sheetView workbookViewId="0">
      <selection activeCell="B3" sqref="B3:C3"/>
    </sheetView>
  </sheetViews>
  <sheetFormatPr defaultColWidth="8.88671875" defaultRowHeight="13.8" x14ac:dyDescent="0.25"/>
  <cols>
    <col min="1" max="1" width="27.109375" style="33" customWidth="1"/>
    <col min="2" max="2" width="21.6640625" style="33" customWidth="1"/>
    <col min="3" max="3" width="49.77734375" style="33" customWidth="1"/>
    <col min="4" max="5" width="10.109375" style="33" customWidth="1"/>
    <col min="6" max="6" width="44.77734375" style="33" customWidth="1"/>
    <col min="7" max="16384" width="8.88671875" style="33"/>
  </cols>
  <sheetData>
    <row r="2" spans="1:6" ht="29.4" customHeight="1" x14ac:dyDescent="0.25">
      <c r="A2" s="39" t="s">
        <v>10</v>
      </c>
      <c r="B2" s="40" t="s">
        <v>74</v>
      </c>
      <c r="C2" s="40" t="s">
        <v>73</v>
      </c>
      <c r="D2" s="38" t="s">
        <v>71</v>
      </c>
      <c r="E2" s="38" t="s">
        <v>72</v>
      </c>
    </row>
    <row r="3" spans="1:6" x14ac:dyDescent="0.25">
      <c r="A3" s="34" t="s">
        <v>12</v>
      </c>
      <c r="B3" s="50" t="s">
        <v>106</v>
      </c>
      <c r="C3" s="62" t="s">
        <v>107</v>
      </c>
      <c r="D3" s="36">
        <v>44927</v>
      </c>
      <c r="E3" s="36">
        <v>45337</v>
      </c>
    </row>
    <row r="4" spans="1:6" x14ac:dyDescent="0.25">
      <c r="A4" s="34" t="s">
        <v>12</v>
      </c>
      <c r="B4" s="33" t="s">
        <v>75</v>
      </c>
      <c r="C4" s="42" t="s">
        <v>76</v>
      </c>
      <c r="D4" s="36">
        <v>45337</v>
      </c>
      <c r="E4" s="36">
        <v>45657</v>
      </c>
    </row>
    <row r="5" spans="1:6" x14ac:dyDescent="0.25">
      <c r="A5" s="34" t="s">
        <v>14</v>
      </c>
      <c r="B5" s="33" t="s">
        <v>66</v>
      </c>
      <c r="C5" s="35" t="s">
        <v>65</v>
      </c>
      <c r="D5" s="36">
        <v>45166</v>
      </c>
      <c r="E5" s="36">
        <v>45657</v>
      </c>
    </row>
    <row r="6" spans="1:6" x14ac:dyDescent="0.25">
      <c r="A6" s="34" t="s">
        <v>14</v>
      </c>
      <c r="B6" s="33" t="s">
        <v>78</v>
      </c>
      <c r="C6" s="35" t="s">
        <v>77</v>
      </c>
      <c r="D6" s="36">
        <v>44927</v>
      </c>
      <c r="E6" s="36">
        <v>45166</v>
      </c>
    </row>
    <row r="7" spans="1:6" ht="27.6" x14ac:dyDescent="0.25">
      <c r="A7" s="34" t="s">
        <v>14</v>
      </c>
      <c r="B7" s="45" t="s">
        <v>89</v>
      </c>
      <c r="C7" s="35" t="s">
        <v>65</v>
      </c>
      <c r="D7" s="36">
        <v>45278</v>
      </c>
      <c r="E7" s="36">
        <v>45342</v>
      </c>
      <c r="F7" s="44" t="s">
        <v>90</v>
      </c>
    </row>
    <row r="8" spans="1:6" ht="55.2" x14ac:dyDescent="0.25">
      <c r="A8" s="46" t="s">
        <v>15</v>
      </c>
      <c r="B8" s="47" t="s">
        <v>64</v>
      </c>
      <c r="C8" s="48" t="s">
        <v>63</v>
      </c>
      <c r="D8" s="49">
        <v>44927</v>
      </c>
      <c r="E8" s="49">
        <v>45657</v>
      </c>
    </row>
    <row r="9" spans="1:6" ht="55.2" x14ac:dyDescent="0.25">
      <c r="A9" s="37" t="s">
        <v>15</v>
      </c>
      <c r="B9" s="33" t="s">
        <v>88</v>
      </c>
      <c r="C9" s="43" t="s">
        <v>87</v>
      </c>
      <c r="F9" s="50" t="s">
        <v>91</v>
      </c>
    </row>
    <row r="11" spans="1:6" x14ac:dyDescent="0.25">
      <c r="A11" s="34"/>
    </row>
    <row r="12" spans="1:6" x14ac:dyDescent="0.25">
      <c r="A12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95</v>
      </c>
      <c r="B5" s="2" t="s">
        <v>48</v>
      </c>
      <c r="C5" s="2" t="s">
        <v>49</v>
      </c>
      <c r="D5" s="2" t="s">
        <v>103</v>
      </c>
    </row>
    <row r="6" spans="1:4" ht="27.6" x14ac:dyDescent="0.25">
      <c r="A6" s="6" t="s">
        <v>92</v>
      </c>
      <c r="B6" s="3" t="s">
        <v>50</v>
      </c>
      <c r="C6" s="5" t="s">
        <v>96</v>
      </c>
    </row>
    <row r="7" spans="1:4" x14ac:dyDescent="0.25">
      <c r="A7" s="6" t="s">
        <v>93</v>
      </c>
      <c r="B7" s="3" t="s">
        <v>51</v>
      </c>
      <c r="C7" s="1" t="s">
        <v>97</v>
      </c>
    </row>
    <row r="8" spans="1:4" x14ac:dyDescent="0.25">
      <c r="A8" s="6" t="s">
        <v>94</v>
      </c>
      <c r="B8" s="3" t="s">
        <v>52</v>
      </c>
      <c r="C8" s="1" t="s">
        <v>98</v>
      </c>
    </row>
    <row r="9" spans="1:4" x14ac:dyDescent="0.25">
      <c r="A9" s="6">
        <v>56</v>
      </c>
      <c r="B9" s="3" t="s">
        <v>53</v>
      </c>
      <c r="C9" s="1" t="s">
        <v>99</v>
      </c>
    </row>
    <row r="10" spans="1:4" ht="27.6" x14ac:dyDescent="0.25">
      <c r="A10" s="6">
        <v>57</v>
      </c>
      <c r="B10" s="3" t="s">
        <v>54</v>
      </c>
      <c r="C10" s="4" t="s">
        <v>100</v>
      </c>
    </row>
    <row r="11" spans="1:4" ht="27.6" x14ac:dyDescent="0.25">
      <c r="A11" s="6">
        <v>110</v>
      </c>
      <c r="B11" s="3" t="s">
        <v>55</v>
      </c>
      <c r="C11" s="6" t="s">
        <v>101</v>
      </c>
    </row>
    <row r="12" spans="1:4" ht="27.6" x14ac:dyDescent="0.25">
      <c r="A12" s="6">
        <v>111</v>
      </c>
      <c r="B12" s="3" t="s">
        <v>56</v>
      </c>
      <c r="C12" s="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акт</vt:lpstr>
      <vt:lpstr>подписанты</vt:lpstr>
      <vt:lpstr>Лист общих данных</vt:lpstr>
      <vt:lpstr>акт!Область_печати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Елизавета Докшина</cp:lastModifiedBy>
  <cp:lastPrinted>2025-11-26T07:54:11Z</cp:lastPrinted>
  <dcterms:created xsi:type="dcterms:W3CDTF">2023-09-19T09:44:50Z</dcterms:created>
  <dcterms:modified xsi:type="dcterms:W3CDTF">2025-11-26T07:54:14Z</dcterms:modified>
</cp:coreProperties>
</file>