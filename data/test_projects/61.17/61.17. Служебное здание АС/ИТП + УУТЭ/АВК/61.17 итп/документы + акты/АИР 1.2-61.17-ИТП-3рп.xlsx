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57B35A-E433-4D29-8D4E-5FDE11F13030}" xr6:coauthVersionLast="47" xr6:coauthVersionMax="47" xr10:uidLastSave="{00000000-0000-0000-0000-000000000000}"/>
  <bookViews>
    <workbookView xWindow="0" yWindow="0" windowWidth="23016" windowHeight="13920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8" l="1"/>
  <c r="A50" i="18"/>
  <c r="A49" i="18"/>
  <c r="A48" i="18"/>
  <c r="D39" i="18" l="1"/>
  <c r="A47" i="18"/>
  <c r="Q45" i="18" l="1"/>
  <c r="BW16" i="18" l="1"/>
  <c r="S21" i="18" l="1"/>
  <c r="S19" i="18"/>
  <c r="S17" i="18"/>
  <c r="X65" i="18" l="1"/>
  <c r="X62" i="18"/>
  <c r="BH59" i="18"/>
  <c r="BH65" i="18" s="1"/>
  <c r="X59" i="18"/>
  <c r="Y55" i="18"/>
  <c r="BH62" i="18" l="1"/>
</calcChain>
</file>

<file path=xl/sharedStrings.xml><?xml version="1.0" encoding="utf-8"?>
<sst xmlns="http://schemas.openxmlformats.org/spreadsheetml/2006/main" count="142" uniqueCount="119">
  <si>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</si>
  <si>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</si>
  <si>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</si>
  <si>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</si>
  <si>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</si>
  <si>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</si>
  <si>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</si>
  <si>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</si>
  <si>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</si>
  <si>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</si>
  <si>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</si>
  <si>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</si>
  <si>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</si>
  <si>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</si>
  <si>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</si>
  <si>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</si>
  <si>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</si>
  <si>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</si>
  <si>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</si>
  <si>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</si>
  <si>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</si>
  <si>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</si>
  <si>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</si>
  <si>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</si>
  <si>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</si>
  <si>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</si>
  <si>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</si>
  <si>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</si>
  <si>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</si>
  <si>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</si>
  <si>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</si>
  <si>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</si>
  <si>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</si>
  <si>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</si>
  <si>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</si>
  <si>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</si>
  <si>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</si>
  <si>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</si>
  <si>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</si>
  <si>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</si>
  <si>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</si>
  <si>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</si>
  <si>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</si>
  <si>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</si>
  <si>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</si>
  <si>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</si>
  <si>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</si>
  <si>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</si>
  <si>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</si>
  <si>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</si>
  <si>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</si>
  <si>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</si>
  <si>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</si>
  <si>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</si>
  <si>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</si>
  <si>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</si>
  <si>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</si>
  <si>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</si>
  <si>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</si>
  <si>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</si>
  <si>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</si>
  <si>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</si>
  <si>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</si>
  <si>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</si>
  <si>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</si>
  <si>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</si>
  <si>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</si>
  <si>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</si>
  <si>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</si>
  <si>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</si>
  <si>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</si>
  <si>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</si>
  <si>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</si>
  <si>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</si>
  <si>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</si>
  <si>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</si>
  <si>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</si>
  <si>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</si>
  <si>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</si>
  <si>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</si>
  <si>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</si>
  <si>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</si>
  <si>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</si>
  <si>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</si>
  <si>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</si>
  <si>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</si>
  <si>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</si>
  <si>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</si>
  <si>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</si>
  <si>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</si>
  <si>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</si>
  <si>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</si>
  <si>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</si>
  <si>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</si>
  <si>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</si>
  <si>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</si>
  <si>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</si>
  <si>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</si>
  <si>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</si>
  <si>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</si>
  <si>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</si>
  <si>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</si>
  <si>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</si>
  <si>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</si>
  <si>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</si>
  <si>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</si>
  <si>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ТР ТС 010/2011</t>
  </si>
  <si>
    <t>Кострова Н.Л.</t>
  </si>
  <si>
    <t>Руководитель группы МТО АО «Газстройпроект»</t>
  </si>
  <si>
    <t>АИР 1.2-61.17-ИТП/3рп</t>
  </si>
  <si>
    <t>ПП2020РД-1.2-61.17-ИТП.СО; ПП2020РД-1.2-61.17-ИТП; изм. 4, лист 12</t>
  </si>
  <si>
    <t>Кран шаровой латунь ДУ 15 BVR Ридан</t>
  </si>
  <si>
    <t>Паспорт, руководство по эксплуатации МОД.5001-5005 от 08.11.2023;</t>
  </si>
  <si>
    <t>Декларация о соответствии № ЕАЭС N RU Д-CN.PA06.B.25801/22 с 07.09.2022 по 06.09.2027;</t>
  </si>
  <si>
    <t>Экспертное заключение №77.42.06.П.003566.10.20 от 21.10.2020;</t>
  </si>
  <si>
    <t>Паспорт б/н от 22.11.2023; Декларация о соответствии № ЕАЭС N RU Д-RU.РА09.В.43820/22 с 27.12.2022 по 25.12.2027</t>
  </si>
  <si>
    <t>Воздухоотводчик автоматический латунь Ду15 НР,</t>
  </si>
  <si>
    <t>Кран шаровой типа BVR-R DN15 - 4 шт.</t>
  </si>
  <si>
    <t>Воздухоотводчик автоматический (Арт. 5001-01 DN15) - 4 шт,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</si>
</sst>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6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4" borderId="2" xfId="1" applyFont="1" applyFill="1" applyBorder="1" applyAlignment="1">
      <alignment horizontal="left"/>
    </xf>
    <xf numFmtId="0" fontId="14" fillId="3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4" fillId="2" borderId="0" xfId="1" applyFont="1" applyFill="1" applyAlignment="1">
      <alignment horizontal="left" vertical="top" wrapText="1"/>
    </xf>
    <xf numFmtId="14" fontId="14" fillId="4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4" fillId="4" borderId="3" xfId="1" applyFont="1" applyFill="1" applyBorder="1" applyAlignment="1">
      <alignment horizontal="left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13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23</xdr:row>
      <xdr:rowOff>0</xdr:rowOff>
    </xdr:from>
    <xdr:to>
      <xdr:col>75</xdr:col>
      <xdr:colOff>521970</xdr:colOff>
      <xdr:row>24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26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36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50</xdr:row>
      <xdr:rowOff>0</xdr:rowOff>
    </xdr:from>
    <xdr:to>
      <xdr:col>75</xdr:col>
      <xdr:colOff>521970</xdr:colOff>
      <xdr:row>50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60</xdr:row>
      <xdr:rowOff>0</xdr:rowOff>
    </xdr:from>
    <xdr:to>
      <xdr:col>75</xdr:col>
      <xdr:colOff>521970</xdr:colOff>
      <xdr:row>62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75"/>
  <sheetViews>
    <sheetView tabSelected="1" view="pageBreakPreview" zoomScaleNormal="100" zoomScaleSheetLayoutView="100" workbookViewId="0">
      <selection activeCell="G42" sqref="G42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9" t="s">
        <v>4</v>
      </c>
      <c r="B3" s="79"/>
      <c r="C3" s="79"/>
      <c r="D3" s="79"/>
      <c r="E3" s="79"/>
      <c r="F3" s="80" t="s">
        <v>5</v>
      </c>
      <c r="G3" s="80"/>
      <c r="H3" s="80"/>
      <c r="I3" s="76" t="s">
        <v>6</v>
      </c>
      <c r="J3" s="76"/>
      <c r="K3" s="7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9"/>
      <c r="B6" s="79"/>
      <c r="C6" s="79"/>
      <c r="D6" s="79"/>
      <c r="E6" s="79"/>
      <c r="F6" s="80"/>
      <c r="G6" s="80"/>
      <c r="H6" s="80"/>
      <c r="I6" s="76"/>
      <c r="J6" s="76"/>
      <c r="K6" s="7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4" t="s">
        <v>61</v>
      </c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</row>
    <row r="7" spans="1:75" x14ac:dyDescent="0.25">
      <c r="A7" s="8"/>
      <c r="B7" s="8"/>
      <c r="C7" s="8"/>
      <c r="D7" s="8"/>
      <c r="E7" s="8"/>
      <c r="F7" s="8"/>
      <c r="G7" s="75"/>
      <c r="H7" s="75"/>
      <c r="I7" s="76"/>
      <c r="J7" s="76"/>
      <c r="K7" s="76"/>
      <c r="L7" s="76"/>
      <c r="M7" s="76"/>
      <c r="N7" s="76"/>
      <c r="O7" s="76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7" t="s">
        <v>109</v>
      </c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8" t="s">
        <v>45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</row>
    <row r="13" spans="1:75" x14ac:dyDescent="0.25">
      <c r="A13" s="63" t="s">
        <v>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</row>
    <row r="14" spans="1:75" ht="16.8" customHeight="1" x14ac:dyDescent="0.25">
      <c r="A14" s="73" t="s">
        <v>46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</row>
    <row r="15" spans="1:75" ht="12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72">
        <v>45259</v>
      </c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15"/>
      <c r="AV15" s="15"/>
      <c r="AW15" s="15"/>
      <c r="AX15" s="15"/>
      <c r="AY15" s="15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  <c r="BW16" s="52">
        <f>AE15</f>
        <v>45259</v>
      </c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9" t="str">
        <f>VLOOKUP(BJ17,подписанты!$B$3:$C$11,2,FALSE)</f>
        <v>Руководитель группы МТО АО «Газстройпроект»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6" t="s">
        <v>107</v>
      </c>
      <c r="BK17" s="66"/>
      <c r="BL17" s="66"/>
      <c r="BM17" s="66"/>
      <c r="BN17" s="66"/>
      <c r="BO17" s="66"/>
      <c r="BP17" s="66"/>
      <c r="BQ17" s="66"/>
      <c r="BR17" s="66"/>
      <c r="BS17" s="66"/>
      <c r="BT17" s="66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8" t="s">
        <v>13</v>
      </c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26"/>
      <c r="BL18" s="26"/>
      <c r="BM18" s="26"/>
      <c r="BN18" s="26"/>
      <c r="BO18" s="26"/>
      <c r="BP18" s="16"/>
      <c r="BQ18" s="16"/>
      <c r="BR18" s="16"/>
      <c r="BS18" s="16"/>
      <c r="BT18" s="16"/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5" t="str">
        <f>VLOOKUP(BJ19,подписанты!$B$3:$C$11,2,FALSE)</f>
        <v>Инженер отдела технического надзора АО «Газстройпроект»</v>
      </c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6" t="s">
        <v>66</v>
      </c>
      <c r="BK19" s="66"/>
      <c r="BL19" s="66"/>
      <c r="BM19" s="66"/>
      <c r="BN19" s="66"/>
      <c r="BO19" s="66"/>
      <c r="BP19" s="66"/>
      <c r="BQ19" s="66"/>
      <c r="BR19" s="66"/>
      <c r="BS19" s="66"/>
      <c r="BT19" s="66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8"/>
      <c r="BK20" s="16"/>
      <c r="BL20" s="16"/>
      <c r="BM20" s="16"/>
      <c r="BN20" s="16"/>
      <c r="BO20" s="16"/>
      <c r="BP20" s="16"/>
      <c r="BQ20" s="16"/>
      <c r="BR20" s="16"/>
      <c r="BS20" s="16"/>
      <c r="BT20" s="16"/>
    </row>
    <row r="21" spans="1:83" ht="40.200000000000003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9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 t="s">
        <v>88</v>
      </c>
      <c r="BK21" s="70"/>
      <c r="BL21" s="70"/>
      <c r="BM21" s="70"/>
      <c r="BN21" s="70"/>
      <c r="BO21" s="70"/>
      <c r="BP21" s="70"/>
      <c r="BQ21" s="70"/>
      <c r="BR21" s="70"/>
      <c r="BS21" s="70"/>
      <c r="BT21" s="70"/>
    </row>
    <row r="22" spans="1:83" ht="13.2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8" t="s">
        <v>13</v>
      </c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7"/>
      <c r="O23" s="99" t="s">
        <v>86</v>
      </c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8" t="s">
        <v>17</v>
      </c>
      <c r="BR23" s="13"/>
      <c r="BS23" s="13"/>
      <c r="BT23" s="13"/>
    </row>
    <row r="24" spans="1:83" x14ac:dyDescent="0.25">
      <c r="A24" s="8"/>
      <c r="B24" s="8"/>
      <c r="C24" s="8"/>
      <c r="D24" s="8"/>
      <c r="E24" s="64" t="s">
        <v>47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Y24" s="81" t="s">
        <v>79</v>
      </c>
      <c r="BZ24" s="81"/>
      <c r="CA24" s="81"/>
      <c r="CB24" s="81"/>
      <c r="CC24" s="81"/>
      <c r="CD24" s="81"/>
      <c r="CE24" s="81"/>
    </row>
    <row r="25" spans="1:83" ht="13.8" customHeight="1" x14ac:dyDescent="0.25">
      <c r="A25" s="63" t="s">
        <v>118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Y25" s="81"/>
      <c r="BZ25" s="81"/>
      <c r="CA25" s="81"/>
      <c r="CB25" s="81"/>
      <c r="CC25" s="81"/>
      <c r="CD25" s="81"/>
      <c r="CE25" s="81"/>
    </row>
    <row r="26" spans="1:83" ht="13.8" customHeight="1" x14ac:dyDescent="0.25">
      <c r="A26" s="63" t="s">
        <v>117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Y26" s="60"/>
      <c r="BZ26" s="60"/>
      <c r="CA26" s="60"/>
      <c r="CB26" s="60"/>
      <c r="CC26" s="60"/>
      <c r="CD26" s="60"/>
      <c r="CE26" s="60"/>
    </row>
    <row r="27" spans="1:83" ht="13.8" customHeight="1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4"/>
      <c r="S27" s="8"/>
      <c r="T27" s="53"/>
      <c r="U27" s="85" t="s">
        <v>110</v>
      </c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Y27" s="81"/>
      <c r="BZ27" s="81"/>
      <c r="CA27" s="81"/>
      <c r="CB27" s="81"/>
      <c r="CC27" s="81"/>
      <c r="CD27" s="81"/>
    </row>
    <row r="28" spans="1:8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6" t="s">
        <v>19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</row>
    <row r="29" spans="1:83" x14ac:dyDescent="0.25">
      <c r="A29" s="10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0"/>
      <c r="T29" s="20"/>
      <c r="U29" s="87" t="s">
        <v>51</v>
      </c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</row>
    <row r="30" spans="1:83" x14ac:dyDescent="0.25">
      <c r="A30" s="67" t="s">
        <v>21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Y30" s="42" t="s">
        <v>80</v>
      </c>
    </row>
    <row r="31" spans="1:83" ht="13.95" customHeight="1" x14ac:dyDescent="0.25">
      <c r="A31" s="8"/>
      <c r="B31" s="8"/>
      <c r="C31" s="8"/>
      <c r="D31" s="8" t="s">
        <v>22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7"/>
      <c r="AH31" s="7"/>
      <c r="AI31" s="7"/>
      <c r="AJ31" s="7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Y31" s="81" t="s">
        <v>81</v>
      </c>
      <c r="BZ31" s="81"/>
      <c r="CA31" s="81"/>
      <c r="CB31" s="81"/>
      <c r="CC31" s="81"/>
      <c r="CD31" s="81"/>
      <c r="CE31" s="81"/>
    </row>
    <row r="32" spans="1:83" ht="13.95" customHeight="1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0"/>
      <c r="AJ32" s="8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Y32" s="81"/>
      <c r="BZ32" s="81"/>
      <c r="CA32" s="81"/>
      <c r="CB32" s="81"/>
      <c r="CC32" s="81"/>
      <c r="CD32" s="81"/>
      <c r="CE32" s="81"/>
    </row>
    <row r="33" spans="1:83" x14ac:dyDescent="0.25">
      <c r="A33" s="71" t="s">
        <v>112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Y33" s="81"/>
      <c r="BZ33" s="81"/>
      <c r="CA33" s="81"/>
      <c r="CB33" s="81"/>
      <c r="CC33" s="81"/>
      <c r="CD33" s="81"/>
      <c r="CE33" s="81"/>
    </row>
    <row r="34" spans="1:83" x14ac:dyDescent="0.25">
      <c r="A34" s="71" t="s">
        <v>113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57"/>
      <c r="BY34" s="81"/>
      <c r="BZ34" s="81"/>
      <c r="CA34" s="81"/>
      <c r="CB34" s="81"/>
      <c r="CC34" s="81"/>
      <c r="CD34" s="81"/>
      <c r="CE34" s="81"/>
    </row>
    <row r="35" spans="1:83" x14ac:dyDescent="0.25">
      <c r="A35" s="71" t="s">
        <v>114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57"/>
      <c r="BY35" s="81"/>
      <c r="BZ35" s="81"/>
      <c r="CA35" s="81"/>
      <c r="CB35" s="81"/>
      <c r="CC35" s="81"/>
      <c r="CD35" s="81"/>
      <c r="CE35" s="81"/>
    </row>
    <row r="36" spans="1:83" x14ac:dyDescent="0.25">
      <c r="A36" s="71" t="s">
        <v>115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57"/>
      <c r="BY36" s="81"/>
      <c r="BZ36" s="81"/>
      <c r="CA36" s="81"/>
      <c r="CB36" s="81"/>
      <c r="CC36" s="81"/>
      <c r="CD36" s="81"/>
      <c r="CE36" s="81"/>
    </row>
    <row r="37" spans="1:83" x14ac:dyDescent="0.25">
      <c r="A37" s="68" t="s">
        <v>24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Y37" s="81"/>
      <c r="BZ37" s="81"/>
      <c r="CA37" s="81"/>
      <c r="CB37" s="81"/>
      <c r="CC37" s="81"/>
      <c r="CD37" s="81"/>
      <c r="CE37" s="81"/>
    </row>
    <row r="38" spans="1:83" x14ac:dyDescent="0.25">
      <c r="A38" s="84" t="s">
        <v>57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Y38" s="81"/>
      <c r="BZ38" s="81"/>
      <c r="CA38" s="81"/>
      <c r="CB38" s="81"/>
      <c r="CC38" s="81"/>
      <c r="CD38" s="81"/>
      <c r="CE38" s="81"/>
    </row>
    <row r="39" spans="1:83" x14ac:dyDescent="0.25">
      <c r="A39" s="17" t="s">
        <v>58</v>
      </c>
      <c r="B39" s="18"/>
      <c r="C39" s="18"/>
      <c r="D39" s="82" t="str">
        <f>A25</f>
        <v>Воздухоотводчик автоматический (Арт. 5001-01 DN15) - 4 шт,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Y39" s="81"/>
      <c r="BZ39" s="81"/>
      <c r="CA39" s="81"/>
      <c r="CB39" s="81"/>
      <c r="CC39" s="81"/>
      <c r="CD39" s="81"/>
      <c r="CE39" s="81"/>
    </row>
    <row r="40" spans="1:83" x14ac:dyDescent="0.25">
      <c r="A40" s="17"/>
      <c r="B40" s="18"/>
      <c r="C40" s="18"/>
      <c r="D40" s="82" t="str">
        <f>A26</f>
        <v>Кран шаровой типа BVR-R DN15 - 4 шт.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Y40" s="81"/>
      <c r="BZ40" s="81"/>
      <c r="CA40" s="81"/>
      <c r="CB40" s="81"/>
      <c r="CC40" s="81"/>
      <c r="CD40" s="81"/>
      <c r="CE40" s="81"/>
    </row>
    <row r="41" spans="1:83" ht="13.8" customHeight="1" x14ac:dyDescent="0.25">
      <c r="A41" s="90" t="s">
        <v>25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Y41" s="81"/>
      <c r="BZ41" s="81"/>
      <c r="CA41" s="81"/>
      <c r="CB41" s="81"/>
      <c r="CC41" s="81"/>
      <c r="CD41" s="81"/>
      <c r="CE41" s="81"/>
    </row>
    <row r="42" spans="1:83" x14ac:dyDescent="0.25">
      <c r="A42" s="8" t="s">
        <v>26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56"/>
      <c r="Y42" s="88" t="s">
        <v>105</v>
      </c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55"/>
      <c r="BY42" s="81"/>
      <c r="BZ42" s="81"/>
      <c r="CA42" s="81"/>
      <c r="CB42" s="81"/>
      <c r="CC42" s="81"/>
      <c r="CD42" s="81"/>
      <c r="CE42" s="81"/>
    </row>
    <row r="43" spans="1:83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9"/>
      <c r="Y43" s="68" t="s">
        <v>27</v>
      </c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Y43" s="81"/>
      <c r="BZ43" s="81"/>
      <c r="CA43" s="81"/>
      <c r="CB43" s="81"/>
      <c r="CC43" s="81"/>
      <c r="CD43" s="81"/>
      <c r="CE43" s="81"/>
    </row>
    <row r="44" spans="1:83" x14ac:dyDescent="0.25">
      <c r="A44" s="8" t="s">
        <v>28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7"/>
      <c r="AG44" s="7"/>
      <c r="AH44" s="7"/>
      <c r="AI44" s="7"/>
      <c r="AJ44" s="96" t="s">
        <v>29</v>
      </c>
      <c r="AK44" s="96"/>
      <c r="AL44" s="96"/>
      <c r="AM44" s="96"/>
      <c r="AN44" s="96"/>
      <c r="AO44" s="96"/>
      <c r="AP44" s="96"/>
      <c r="AQ44" s="96"/>
      <c r="AR44" s="96"/>
      <c r="AS44" s="96"/>
      <c r="AT44" s="97" t="s">
        <v>70</v>
      </c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</row>
    <row r="45" spans="1:83" x14ac:dyDescent="0.25">
      <c r="A45" s="10" t="s">
        <v>30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53"/>
      <c r="O45" s="53"/>
      <c r="P45" s="53"/>
      <c r="Q45" s="98" t="str">
        <f>U27</f>
        <v>ПП2020РД-1.2-61.17-ИТП.СО; ПП2020РД-1.2-61.17-ИТП; изм. 4, лист 12</v>
      </c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</row>
    <row r="46" spans="1:83" x14ac:dyDescent="0.25">
      <c r="A46" s="8"/>
      <c r="B46" s="8"/>
      <c r="C46" s="8"/>
      <c r="D46" s="10" t="s">
        <v>31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0"/>
      <c r="X46" s="8"/>
      <c r="Y46" s="31"/>
      <c r="Z46" s="31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</row>
    <row r="47" spans="1:83" x14ac:dyDescent="0.25">
      <c r="A47" s="61" t="str">
        <f>A33</f>
        <v>Паспорт, руководство по эксплуатации МОД.5001-5005 от 08.11.2023;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</row>
    <row r="48" spans="1:83" x14ac:dyDescent="0.25">
      <c r="A48" s="61" t="str">
        <f>A34</f>
        <v>Декларация о соответствии № ЕАЭС N RU Д-CN.PA06.B.25801/22 с 07.09.2022 по 06.09.2027;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58"/>
    </row>
    <row r="49" spans="1:77" x14ac:dyDescent="0.25">
      <c r="A49" s="61" t="str">
        <f>A35</f>
        <v>Экспертное заключение №77.42.06.П.003566.10.20 от 21.10.2020;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58"/>
    </row>
    <row r="50" spans="1:77" x14ac:dyDescent="0.25">
      <c r="A50" s="61" t="str">
        <f>A36</f>
        <v>Паспорт б/н от 22.11.2023; Декларация о соответствии № ЕАЭС N RU Д-RU.РА09.В.43820/22 с 27.12.2022 по 25.12.2027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58"/>
    </row>
    <row r="51" spans="1:7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92" t="s">
        <v>32</v>
      </c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Y51" t="s">
        <v>82</v>
      </c>
    </row>
    <row r="52" spans="1:77" x14ac:dyDescent="0.25">
      <c r="A52" s="8" t="s">
        <v>33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22"/>
    </row>
    <row r="53" spans="1:77" x14ac:dyDescent="0.25">
      <c r="A53" s="32"/>
      <c r="B53" s="8"/>
      <c r="C53" s="8"/>
      <c r="D53" s="8" t="s">
        <v>34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7"/>
      <c r="X53" s="7"/>
      <c r="Y53" s="7"/>
      <c r="Z53" s="7"/>
      <c r="AA53" s="32"/>
      <c r="AB53" s="7"/>
      <c r="AC53" s="32"/>
      <c r="AD53" s="93" t="s">
        <v>35</v>
      </c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</row>
    <row r="54" spans="1:77" x14ac:dyDescent="0.25">
      <c r="A54" s="8"/>
      <c r="B54" s="8"/>
      <c r="C54" s="8"/>
      <c r="D54" s="8"/>
      <c r="E54" s="8"/>
      <c r="F54" s="8"/>
      <c r="G54" s="8"/>
      <c r="H54" s="8"/>
      <c r="I54" s="8"/>
      <c r="J54" s="95" t="s">
        <v>36</v>
      </c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</row>
    <row r="55" spans="1:77" x14ac:dyDescent="0.25">
      <c r="A55" s="10" t="s">
        <v>37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27"/>
      <c r="W55" s="33"/>
      <c r="X55" s="28"/>
      <c r="Y55" s="91" t="str">
        <f>U27</f>
        <v>ПП2020РД-1.2-61.17-ИТП.СО; ПП2020РД-1.2-61.17-ИТП; изм. 4, лист 12</v>
      </c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</row>
    <row r="56" spans="1:77" x14ac:dyDescent="0.25">
      <c r="A56" s="8" t="s">
        <v>38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32"/>
      <c r="M56" s="23"/>
      <c r="N56" s="94" t="s">
        <v>106</v>
      </c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4"/>
      <c r="BR56" s="94"/>
      <c r="BS56" s="94"/>
      <c r="BT56" s="94"/>
    </row>
    <row r="57" spans="1:7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</row>
    <row r="58" spans="1:77" x14ac:dyDescent="0.25">
      <c r="A58" s="8" t="s">
        <v>39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12"/>
    </row>
    <row r="59" spans="1:77" x14ac:dyDescent="0.25">
      <c r="A59" s="8" t="s">
        <v>12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05" t="str">
        <f>BJ17</f>
        <v>Кострова Н.Л.</v>
      </c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8"/>
      <c r="AP59" s="8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8"/>
      <c r="BG59" s="8"/>
      <c r="BH59" s="101">
        <f>AE15</f>
        <v>45259</v>
      </c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2"/>
    </row>
    <row r="60" spans="1:77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8" t="s">
        <v>59</v>
      </c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29"/>
      <c r="AP60" s="29"/>
      <c r="AQ60" s="68" t="s">
        <v>40</v>
      </c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29"/>
      <c r="BG60" s="29"/>
      <c r="BH60" s="68" t="s">
        <v>41</v>
      </c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25"/>
    </row>
    <row r="61" spans="1:77" x14ac:dyDescent="0.25">
      <c r="A61" s="8" t="s">
        <v>42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12"/>
      <c r="BY61" t="s">
        <v>83</v>
      </c>
    </row>
    <row r="62" spans="1:77" x14ac:dyDescent="0.25">
      <c r="A62" s="8" t="s">
        <v>43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105" t="str">
        <f>BJ19</f>
        <v>Халыгов Э. А.</v>
      </c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8"/>
      <c r="AP62" s="8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8"/>
      <c r="BG62" s="8"/>
      <c r="BH62" s="101">
        <f>BH59</f>
        <v>45259</v>
      </c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12"/>
    </row>
    <row r="63" spans="1:77" ht="16.2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8" t="s">
        <v>59</v>
      </c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29"/>
      <c r="AP63" s="29"/>
      <c r="AQ63" s="68" t="s">
        <v>40</v>
      </c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29"/>
      <c r="BG63" s="29"/>
      <c r="BH63" s="68" t="s">
        <v>41</v>
      </c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12"/>
      <c r="BY63" t="s">
        <v>84</v>
      </c>
    </row>
    <row r="64" spans="1:77" x14ac:dyDescent="0.25">
      <c r="A64" s="8" t="s">
        <v>39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12"/>
      <c r="BY64" t="s">
        <v>85</v>
      </c>
    </row>
    <row r="65" spans="1:72" x14ac:dyDescent="0.25">
      <c r="A65" s="8" t="s">
        <v>44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9" t="str">
        <f>BJ21</f>
        <v>Тюкин Е.В.</v>
      </c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8"/>
      <c r="AP65" s="8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8"/>
      <c r="BG65" s="8"/>
      <c r="BH65" s="101">
        <f>BH59</f>
        <v>45259</v>
      </c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12"/>
    </row>
    <row r="66" spans="1:7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68" t="s">
        <v>59</v>
      </c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29"/>
      <c r="AP66" s="29"/>
      <c r="AQ66" s="68" t="s">
        <v>40</v>
      </c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29"/>
      <c r="BG66" s="29"/>
      <c r="BH66" s="68" t="s">
        <v>41</v>
      </c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12"/>
    </row>
    <row r="67" spans="1:72" ht="13.8" customHeight="1" x14ac:dyDescent="0.25">
      <c r="A67" s="13"/>
      <c r="B67" s="13"/>
      <c r="C67" s="13"/>
      <c r="D67" s="7"/>
      <c r="E67" s="7"/>
      <c r="F67" s="7"/>
      <c r="G67" s="7"/>
      <c r="H67" s="7"/>
      <c r="I67" s="7"/>
      <c r="J67" s="7"/>
      <c r="K67" s="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8" spans="1:72" x14ac:dyDescent="0.25">
      <c r="A68" s="62" t="s">
        <v>104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13"/>
      <c r="AN68" s="13"/>
      <c r="AO68" s="8"/>
      <c r="AP68" s="8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8"/>
      <c r="BG68" s="8"/>
      <c r="BH68" s="104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12"/>
    </row>
    <row r="69" spans="1:72" ht="16.8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10"/>
      <c r="AN69" s="10"/>
      <c r="AO69" s="8"/>
      <c r="AP69" s="8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"/>
      <c r="BG69" s="8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12"/>
    </row>
    <row r="70" spans="1:72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2"/>
    </row>
    <row r="72" spans="1:72" ht="13.8" customHeight="1" x14ac:dyDescent="0.25"/>
    <row r="75" spans="1:72" ht="13.8" customHeight="1" x14ac:dyDescent="0.25"/>
  </sheetData>
  <mergeCells count="84">
    <mergeCell ref="A35:BS35"/>
    <mergeCell ref="AQ68:BE68"/>
    <mergeCell ref="BH68:BS68"/>
    <mergeCell ref="X59:AN59"/>
    <mergeCell ref="AQ59:BE59"/>
    <mergeCell ref="BH59:BS59"/>
    <mergeCell ref="A48:BS48"/>
    <mergeCell ref="A49:BS49"/>
    <mergeCell ref="AQ63:BE63"/>
    <mergeCell ref="BH63:BS63"/>
    <mergeCell ref="X62:AN62"/>
    <mergeCell ref="AQ62:BE62"/>
    <mergeCell ref="BH62:BS62"/>
    <mergeCell ref="A41:BT41"/>
    <mergeCell ref="D40:BT40"/>
    <mergeCell ref="AQ69:BE69"/>
    <mergeCell ref="BH69:BS69"/>
    <mergeCell ref="Y55:BT55"/>
    <mergeCell ref="V51:BT51"/>
    <mergeCell ref="AD53:BT53"/>
    <mergeCell ref="N56:BT56"/>
    <mergeCell ref="J54:BT54"/>
    <mergeCell ref="AJ44:AS44"/>
    <mergeCell ref="AT44:BT44"/>
    <mergeCell ref="Q45:BT45"/>
    <mergeCell ref="X65:AN65"/>
    <mergeCell ref="AQ65:BE65"/>
    <mergeCell ref="BH65:BS65"/>
    <mergeCell ref="AA46:BT46"/>
    <mergeCell ref="A47:BT47"/>
    <mergeCell ref="BY24:CE25"/>
    <mergeCell ref="BY27:CD27"/>
    <mergeCell ref="BY31:CE43"/>
    <mergeCell ref="D39:BT39"/>
    <mergeCell ref="A30:BT30"/>
    <mergeCell ref="AK32:BT32"/>
    <mergeCell ref="A33:BT33"/>
    <mergeCell ref="A37:BT37"/>
    <mergeCell ref="A38:BT38"/>
    <mergeCell ref="U27:BT27"/>
    <mergeCell ref="P28:BT28"/>
    <mergeCell ref="U29:BT29"/>
    <mergeCell ref="Y42:BT42"/>
    <mergeCell ref="Y43:BT43"/>
    <mergeCell ref="A26:BT26"/>
    <mergeCell ref="A36:BS36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34:BS34"/>
    <mergeCell ref="A12:BT12"/>
    <mergeCell ref="AE15:AT15"/>
    <mergeCell ref="T18:BJ18"/>
    <mergeCell ref="S17:BI17"/>
    <mergeCell ref="BJ17:BT17"/>
    <mergeCell ref="A14:BT14"/>
    <mergeCell ref="A13:BT13"/>
    <mergeCell ref="T22:BJ22"/>
    <mergeCell ref="O23:BP23"/>
    <mergeCell ref="AK31:BT31"/>
    <mergeCell ref="A50:BS50"/>
    <mergeCell ref="A68:AL70"/>
    <mergeCell ref="A25:BT25"/>
    <mergeCell ref="E24:BT24"/>
    <mergeCell ref="S19:BI19"/>
    <mergeCell ref="BJ19:BT19"/>
    <mergeCell ref="T20:BJ20"/>
    <mergeCell ref="S21:BI21"/>
    <mergeCell ref="BJ21:BT21"/>
    <mergeCell ref="X66:AN66"/>
    <mergeCell ref="AQ66:BE66"/>
    <mergeCell ref="X60:AN60"/>
    <mergeCell ref="AQ60:BE60"/>
    <mergeCell ref="BH60:BS60"/>
    <mergeCell ref="BH66:BS66"/>
    <mergeCell ref="X63:AN63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52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T27:U27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S29:U29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107</v>
      </c>
      <c r="C3" s="59" t="s">
        <v>108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2025-12-02T12:40:20Z</cp:lastPrinted>
  <dcterms:created xsi:type="dcterms:W3CDTF">2023-09-19T09:44:50Z</dcterms:created>
  <dcterms:modified xsi:type="dcterms:W3CDTF">2025-12-02T12:44:42Z</dcterms:modified>
</cp:coreProperties>
</file>