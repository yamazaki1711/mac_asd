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yakov\Downloads\"/>
    </mc:Choice>
  </mc:AlternateContent>
  <bookViews>
    <workbookView xWindow="120" yWindow="12" windowWidth="18960" windowHeight="11328"/>
  </bookViews>
  <sheets>
    <sheet name="Свод" sheetId="1" r:id="rId1"/>
  </sheets>
  <definedNames>
    <definedName name="_xlnm._FilterDatabase" localSheetId="0" hidden="1">Свод!$A$6:$I$387</definedName>
  </definedNames>
  <calcPr calcId="162913"/>
</workbook>
</file>

<file path=xl/calcChain.xml><?xml version="1.0" encoding="utf-8"?>
<calcChain xmlns="http://schemas.openxmlformats.org/spreadsheetml/2006/main">
  <c r="I2" i="1" l="1"/>
  <c r="I1" i="1"/>
  <c r="H2" i="1"/>
  <c r="H1" i="1"/>
  <c r="F2" i="1"/>
  <c r="F1" i="1"/>
  <c r="D2" i="1"/>
  <c r="D1" i="1"/>
</calcChain>
</file>

<file path=xl/sharedStrings.xml><?xml version="1.0" encoding="utf-8"?>
<sst xmlns="http://schemas.openxmlformats.org/spreadsheetml/2006/main" count="354" uniqueCount="150">
  <si>
    <r>
      <rPr>
        <sz val="9.5"/>
        <rFont val="Arial"/>
        <family val="2"/>
      </rPr>
      <t>Ведомость отделки помещений 1 этажа</t>
    </r>
  </si>
  <si>
    <r>
      <rPr>
        <sz val="9.5"/>
        <rFont val="Arial"/>
        <family val="2"/>
      </rPr>
      <t>помещение</t>
    </r>
  </si>
  <si>
    <r>
      <rPr>
        <sz val="9.5"/>
        <rFont val="Arial"/>
        <family val="2"/>
      </rPr>
      <t>Потолок</t>
    </r>
  </si>
  <si>
    <r>
      <rPr>
        <sz val="9.5"/>
        <rFont val="Arial"/>
        <family val="2"/>
      </rPr>
      <t>Стены, перегородки и колонны</t>
    </r>
  </si>
  <si>
    <r>
      <rPr>
        <sz val="9.5"/>
        <rFont val="Arial"/>
        <family val="2"/>
      </rPr>
      <t>Пол</t>
    </r>
  </si>
  <si>
    <r>
      <rPr>
        <sz val="9.5"/>
        <rFont val="Arial"/>
        <family val="2"/>
      </rPr>
      <t>№</t>
    </r>
  </si>
  <si>
    <r>
      <rPr>
        <sz val="9.5"/>
        <rFont val="Arial"/>
        <family val="2"/>
      </rPr>
      <t>наименование</t>
    </r>
  </si>
  <si>
    <r>
      <rPr>
        <sz val="9.5"/>
        <rFont val="Arial"/>
        <family val="2"/>
      </rPr>
      <t>Вид отделки</t>
    </r>
  </si>
  <si>
    <r>
      <rPr>
        <sz val="9.5"/>
        <rFont val="Arial"/>
        <family val="2"/>
      </rPr>
      <t>Площадь, м2</t>
    </r>
  </si>
  <si>
    <r>
      <rPr>
        <sz val="9.5"/>
        <rFont val="Arial"/>
        <family val="2"/>
      </rPr>
      <t>Площадь м2</t>
    </r>
  </si>
  <si>
    <r>
      <rPr>
        <sz val="9.5"/>
        <rFont val="Arial"/>
        <family val="2"/>
      </rPr>
      <t xml:space="preserve">Длина плинтуса,
</t>
    </r>
    <r>
      <rPr>
        <sz val="9.5"/>
        <rFont val="Arial"/>
        <family val="2"/>
      </rPr>
      <t>м</t>
    </r>
  </si>
  <si>
    <r>
      <rPr>
        <sz val="9.5"/>
        <rFont val="Arial"/>
        <family val="2"/>
      </rPr>
      <t>1.09</t>
    </r>
  </si>
  <si>
    <r>
      <rPr>
        <sz val="9.5"/>
        <rFont val="Arial"/>
        <family val="2"/>
      </rPr>
      <t>Помещение сушки спецодежды</t>
    </r>
  </si>
  <si>
    <r>
      <rPr>
        <sz val="9.5"/>
        <rFont val="Arial"/>
        <family val="2"/>
      </rPr>
      <t xml:space="preserve">Подвесной потолок 600x600 на металлокаркасе Т24/38.
</t>
    </r>
    <r>
      <rPr>
        <sz val="9.5"/>
        <rFont val="Arial"/>
        <family val="2"/>
      </rPr>
      <t xml:space="preserve">Заполнение -
</t>
    </r>
    <r>
      <rPr>
        <sz val="9.5"/>
        <rFont val="Arial"/>
        <family val="2"/>
      </rPr>
      <t>Кассета DECKON LAI IN TEGULAR</t>
    </r>
  </si>
  <si>
    <r>
      <rPr>
        <sz val="9.5"/>
        <rFont val="Arial"/>
        <family val="2"/>
      </rPr>
      <t xml:space="preserve">По газобетону:
</t>
    </r>
    <r>
      <rPr>
        <sz val="9.5"/>
        <rFont val="Arial"/>
        <family val="2"/>
      </rPr>
      <t>- обеспыливание (грунтовка)</t>
    </r>
  </si>
  <si>
    <r>
      <rPr>
        <sz val="9.5"/>
        <rFont val="Arial"/>
        <family val="2"/>
      </rPr>
      <t xml:space="preserve">По стяжке:
</t>
    </r>
    <r>
      <rPr>
        <sz val="9.5"/>
        <rFont val="Arial"/>
        <family val="2"/>
      </rPr>
      <t xml:space="preserve">- гидроизоляция с заведением на стены на 200мм;
</t>
    </r>
    <r>
      <rPr>
        <sz val="9.5"/>
        <rFont val="Arial"/>
        <family val="2"/>
      </rPr>
      <t xml:space="preserve">- керамогранит (300x300) на клею;
</t>
    </r>
    <r>
      <rPr>
        <sz val="9.5"/>
        <rFont val="Arial"/>
        <family val="2"/>
      </rPr>
      <t>- затирка швов</t>
    </r>
  </si>
  <si>
    <r>
      <rPr>
        <sz val="9.5"/>
        <rFont val="Arial"/>
        <family val="2"/>
      </rPr>
      <t>-</t>
    </r>
  </si>
  <si>
    <r>
      <rPr>
        <sz val="9.5"/>
        <rFont val="Arial"/>
        <family val="2"/>
      </rPr>
      <t xml:space="preserve">По газобетону/ бетону
</t>
    </r>
    <r>
      <rPr>
        <sz val="9.5"/>
        <rFont val="Arial"/>
        <family val="2"/>
      </rPr>
      <t xml:space="preserve">на высоту 3300мм от ч.п.: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штукатурка 10-30мм;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 по стеклохолсту;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акриловой  краской</t>
    </r>
  </si>
  <si>
    <r>
      <rPr>
        <sz val="9.5"/>
        <rFont val="Arial"/>
        <family val="2"/>
      </rPr>
      <t>1.01</t>
    </r>
  </si>
  <si>
    <r>
      <rPr>
        <sz val="9.5"/>
        <rFont val="Arial"/>
        <family val="2"/>
      </rPr>
      <t xml:space="preserve">Кладовая средств
</t>
    </r>
    <r>
      <rPr>
        <sz val="9.5"/>
        <rFont val="Arial"/>
        <family val="2"/>
      </rPr>
      <t>измерений</t>
    </r>
  </si>
  <si>
    <r>
      <rPr>
        <sz val="9.5"/>
        <rFont val="Arial"/>
        <family val="2"/>
      </rPr>
      <t>Без отделки</t>
    </r>
  </si>
  <si>
    <r>
      <rPr>
        <sz val="9.5"/>
        <rFont val="Arial"/>
        <family val="2"/>
      </rPr>
      <t xml:space="preserve">По газобетону
</t>
    </r>
    <r>
      <rPr>
        <sz val="9.5"/>
        <rFont val="Arial"/>
        <family val="2"/>
      </rPr>
      <t xml:space="preserve">на высоту 3300мм от ч.п.: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штукатурка 10-30мм;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 по стеклохолсту;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акриловой краской</t>
    </r>
  </si>
  <si>
    <r>
      <rPr>
        <sz val="9.5"/>
        <rFont val="Arial"/>
        <family val="2"/>
      </rPr>
      <t>1.10</t>
    </r>
  </si>
  <si>
    <r>
      <rPr>
        <sz val="9.5"/>
        <rFont val="Arial"/>
        <family val="2"/>
      </rPr>
      <t>Помещение уборочного инвентаря</t>
    </r>
  </si>
  <si>
    <r>
      <rPr>
        <sz val="9.5"/>
        <rFont val="Arial"/>
        <family val="2"/>
      </rPr>
      <t xml:space="preserve">По газобетону на высоту 2700мм от ч.п.: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штукатурка цементная 10-20мм;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керамическая плитка (200x300) на клею;
</t>
    </r>
    <r>
      <rPr>
        <sz val="9.5"/>
        <rFont val="Arial"/>
        <family val="2"/>
      </rPr>
      <t>- затирка швов</t>
    </r>
  </si>
  <si>
    <r>
      <rPr>
        <sz val="9.5"/>
        <rFont val="Arial"/>
        <family val="2"/>
      </rPr>
      <t>1.02</t>
    </r>
  </si>
  <si>
    <r>
      <rPr>
        <sz val="9.5"/>
        <rFont val="Arial"/>
        <family val="2"/>
      </rPr>
      <t>Венткамера</t>
    </r>
  </si>
  <si>
    <r>
      <rPr>
        <sz val="9.5"/>
        <rFont val="Arial"/>
        <family val="2"/>
      </rPr>
      <t xml:space="preserve">По стяжке: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ровнитель для пола</t>
    </r>
  </si>
  <si>
    <r>
      <rPr>
        <sz val="9.5"/>
        <rFont val="Arial"/>
        <family val="2"/>
      </rPr>
      <t xml:space="preserve">По гипсовым строительным плитам на высоту 2700мм от ч.п.:
</t>
    </r>
    <r>
      <rPr>
        <sz val="9.5"/>
        <rFont val="Arial"/>
        <family val="2"/>
      </rPr>
      <t xml:space="preserve">- грунтовка бетоноконтакт;
</t>
    </r>
    <r>
      <rPr>
        <sz val="9.5"/>
        <rFont val="Arial"/>
        <family val="2"/>
      </rPr>
      <t xml:space="preserve">- керамическая плитка (200x300) на клею;
</t>
    </r>
    <r>
      <rPr>
        <sz val="9.5"/>
        <rFont val="Arial"/>
        <family val="2"/>
      </rPr>
      <t>- затирка швов</t>
    </r>
  </si>
  <si>
    <r>
      <rPr>
        <sz val="9.5"/>
        <rFont val="Arial"/>
        <family val="2"/>
      </rPr>
      <t>1.03</t>
    </r>
  </si>
  <si>
    <r>
      <rPr>
        <sz val="9.5"/>
        <rFont val="Arial"/>
        <family val="2"/>
      </rPr>
      <t>Злектрощитовая</t>
    </r>
  </si>
  <si>
    <r>
      <rPr>
        <sz val="9.5"/>
        <rFont val="Arial"/>
        <family val="2"/>
      </rPr>
      <t xml:space="preserve">По газобетону до перекрытия: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штукатурка 10-30мм;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 по стеклохолсту;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 акриловой краской</t>
    </r>
  </si>
  <si>
    <r>
      <rPr>
        <sz val="9.5"/>
        <rFont val="Arial"/>
        <family val="2"/>
      </rPr>
      <t>1.11</t>
    </r>
  </si>
  <si>
    <r>
      <rPr>
        <sz val="9.5"/>
        <rFont val="Arial"/>
        <family val="2"/>
      </rPr>
      <t>Санузел мужской</t>
    </r>
  </si>
  <si>
    <r>
      <rPr>
        <sz val="9.5"/>
        <rFont val="Arial"/>
        <family val="2"/>
      </rPr>
      <t>1.04</t>
    </r>
  </si>
  <si>
    <r>
      <rPr>
        <sz val="9.5"/>
        <rFont val="Arial"/>
        <family val="2"/>
      </rPr>
      <t>Кладовая ЗИП</t>
    </r>
  </si>
  <si>
    <r>
      <rPr>
        <sz val="9.5"/>
        <rFont val="Arial"/>
        <family val="2"/>
      </rPr>
      <t xml:space="preserve">Подвесной потолок 600x600 на металлокаркасе Т24/38.
</t>
    </r>
    <r>
      <rPr>
        <sz val="9.5"/>
        <rFont val="Arial"/>
        <family val="2"/>
      </rPr>
      <t xml:space="preserve">Заполнение - Потолочная плита
</t>
    </r>
    <r>
      <rPr>
        <sz val="9.5"/>
        <rFont val="Arial"/>
        <family val="2"/>
      </rPr>
      <t>Tromer KYRA.</t>
    </r>
  </si>
  <si>
    <r>
      <rPr>
        <sz val="9.5"/>
        <rFont val="Arial"/>
        <family val="2"/>
      </rPr>
      <t xml:space="preserve">По стяжке: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наливной
</t>
    </r>
    <r>
      <rPr>
        <sz val="9.5"/>
        <rFont val="Arial"/>
        <family val="2"/>
      </rPr>
      <t>полиуретановый пол</t>
    </r>
  </si>
  <si>
    <r>
      <rPr>
        <sz val="9.5"/>
        <rFont val="Arial"/>
        <family val="2"/>
      </rPr>
      <t xml:space="preserve">По гипсовым строительным плитам: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 по стеклохолсту;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акриловой краской</t>
    </r>
  </si>
  <si>
    <r>
      <rPr>
        <sz val="9.5"/>
        <rFont val="Arial"/>
        <family val="2"/>
      </rPr>
      <t>1.12</t>
    </r>
  </si>
  <si>
    <r>
      <rPr>
        <sz val="9.5"/>
        <rFont val="Arial"/>
        <family val="2"/>
      </rPr>
      <t>Санузел женский</t>
    </r>
  </si>
  <si>
    <r>
      <rPr>
        <sz val="9.5"/>
        <rFont val="Arial"/>
        <family val="2"/>
      </rPr>
      <t>1.05</t>
    </r>
  </si>
  <si>
    <r>
      <rPr>
        <sz val="9.5"/>
        <rFont val="Arial"/>
        <family val="2"/>
      </rPr>
      <t>Гардероб для группы 2г</t>
    </r>
  </si>
  <si>
    <r>
      <rPr>
        <sz val="9.5"/>
        <rFont val="Arial"/>
        <family val="2"/>
      </rPr>
      <t xml:space="preserve">По стяжке: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керамогранит (400x400)
</t>
    </r>
    <r>
      <rPr>
        <sz val="9.5"/>
        <rFont val="Arial"/>
        <family val="2"/>
      </rPr>
      <t xml:space="preserve">на клею;
</t>
    </r>
    <r>
      <rPr>
        <sz val="9.5"/>
        <rFont val="Arial"/>
        <family val="2"/>
      </rPr>
      <t xml:space="preserve">- плинтус из
</t>
    </r>
    <r>
      <rPr>
        <sz val="9.5"/>
        <rFont val="Arial"/>
        <family val="2"/>
      </rPr>
      <t xml:space="preserve">керамогранита высотой 100мм;
</t>
    </r>
    <r>
      <rPr>
        <sz val="9.5"/>
        <rFont val="Arial"/>
        <family val="2"/>
      </rPr>
      <t>- затирка швов</t>
    </r>
  </si>
  <si>
    <r>
      <rPr>
        <sz val="9.5"/>
        <rFont val="Arial"/>
        <family val="2"/>
      </rPr>
      <t>1.13</t>
    </r>
  </si>
  <si>
    <r>
      <rPr>
        <sz val="9.5"/>
        <rFont val="Arial"/>
        <family val="2"/>
      </rPr>
      <t>Узел ввoдa Водопровода и тепловой пункт</t>
    </r>
  </si>
  <si>
    <r>
      <rPr>
        <sz val="9.5"/>
        <rFont val="Arial"/>
        <family val="2"/>
      </rPr>
      <t>1.06</t>
    </r>
  </si>
  <si>
    <r>
      <rPr>
        <sz val="9.5"/>
        <rFont val="Arial"/>
        <family val="2"/>
      </rPr>
      <t>Душевая</t>
    </r>
  </si>
  <si>
    <r>
      <rPr>
        <sz val="9.5"/>
        <rFont val="Arial"/>
        <family val="2"/>
      </rPr>
      <t>1.07</t>
    </r>
  </si>
  <si>
    <r>
      <rPr>
        <sz val="9.5"/>
        <rFont val="Arial"/>
        <family val="2"/>
      </rPr>
      <t>Санузел</t>
    </r>
  </si>
  <si>
    <r>
      <rPr>
        <sz val="9.5"/>
        <rFont val="Arial"/>
        <family val="2"/>
      </rPr>
      <t>1.08</t>
    </r>
  </si>
  <si>
    <r>
      <rPr>
        <sz val="9.5"/>
        <rFont val="Arial"/>
        <family val="2"/>
      </rPr>
      <t>Кладовая спецодежды</t>
    </r>
  </si>
  <si>
    <r>
      <rPr>
        <sz val="9.5"/>
        <rFont val="Arial"/>
        <family val="2"/>
      </rPr>
      <t>1.14</t>
    </r>
  </si>
  <si>
    <r>
      <rPr>
        <sz val="9.5"/>
        <rFont val="Arial"/>
        <family val="2"/>
      </rPr>
      <t>Электрощитовая</t>
    </r>
  </si>
  <si>
    <r>
      <rPr>
        <sz val="9.5"/>
        <rFont val="Arial"/>
        <family val="2"/>
      </rPr>
      <t>1.15</t>
    </r>
  </si>
  <si>
    <r>
      <rPr>
        <sz val="9.5"/>
        <rFont val="Arial"/>
        <family val="2"/>
      </rPr>
      <t>Кроссовая</t>
    </r>
  </si>
  <si>
    <r>
      <rPr>
        <sz val="9.5"/>
        <rFont val="Arial"/>
        <family val="2"/>
      </rPr>
      <t>1.16</t>
    </r>
  </si>
  <si>
    <r>
      <rPr>
        <sz val="9.5"/>
        <rFont val="Arial"/>
        <family val="2"/>
      </rPr>
      <t>Коридор</t>
    </r>
  </si>
  <si>
    <r>
      <rPr>
        <sz val="9.5"/>
        <rFont val="Arial"/>
        <family val="2"/>
      </rPr>
      <t>1.17</t>
    </r>
  </si>
  <si>
    <r>
      <rPr>
        <sz val="9.5"/>
        <rFont val="Arial"/>
        <family val="2"/>
      </rPr>
      <t>Лестничная клетка №1</t>
    </r>
  </si>
  <si>
    <r>
      <rPr>
        <sz val="9.5"/>
        <rFont val="Arial"/>
        <family val="2"/>
      </rPr>
      <t xml:space="preserve">По бетону:
</t>
    </r>
    <r>
      <rPr>
        <sz val="9.5"/>
        <rFont val="Arial"/>
        <family val="2"/>
      </rPr>
      <t xml:space="preserve">- грунтовка бетоноконтакт;
</t>
    </r>
    <r>
      <rPr>
        <sz val="9.5"/>
        <rFont val="Arial"/>
        <family val="2"/>
      </rPr>
      <t xml:space="preserve">- штукатурка 10-30мм;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 по стеклохолсту;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акриловой краской</t>
    </r>
  </si>
  <si>
    <r>
      <rPr>
        <sz val="9.5"/>
        <rFont val="Arial"/>
        <family val="2"/>
      </rPr>
      <t>1.18</t>
    </r>
  </si>
  <si>
    <r>
      <rPr>
        <sz val="9.5"/>
        <rFont val="Arial"/>
        <family val="2"/>
      </rPr>
      <t>Мастерская</t>
    </r>
  </si>
  <si>
    <r>
      <rPr>
        <sz val="9.5"/>
        <rFont val="Arial"/>
        <family val="2"/>
      </rPr>
      <t>1.19</t>
    </r>
  </si>
  <si>
    <r>
      <rPr>
        <sz val="9.5"/>
        <rFont val="Arial"/>
        <family val="2"/>
      </rPr>
      <t>Кладовая имущества</t>
    </r>
  </si>
  <si>
    <r>
      <rPr>
        <sz val="9.5"/>
        <rFont val="Arial"/>
        <family val="2"/>
      </rPr>
      <t xml:space="preserve">По оконным откосам из гипсовых строительных плит: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акриловой краской</t>
    </r>
  </si>
  <si>
    <r>
      <rPr>
        <sz val="9.5"/>
        <rFont val="Arial"/>
        <family val="2"/>
      </rPr>
      <t xml:space="preserve">По стяжке: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ровнитель для пола;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напольное покрытие
</t>
    </r>
    <r>
      <rPr>
        <sz val="9.5"/>
        <rFont val="Arial"/>
        <family val="2"/>
      </rPr>
      <t xml:space="preserve">ПВХ на клею;
</t>
    </r>
    <r>
      <rPr>
        <sz val="9.5"/>
        <rFont val="Arial"/>
        <family val="2"/>
      </rPr>
      <t>- плинтус гибкий</t>
    </r>
  </si>
  <si>
    <r>
      <rPr>
        <sz val="9.5"/>
        <rFont val="Arial"/>
        <family val="2"/>
      </rPr>
      <t xml:space="preserve">По стяжке: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ровнитель для пола;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напольное покрытие
</t>
    </r>
    <r>
      <rPr>
        <sz val="9.5"/>
        <rFont val="Arial"/>
        <family val="2"/>
      </rPr>
      <t xml:space="preserve">ПВХ покрытие с антистатическим эффектом на клею;
</t>
    </r>
    <r>
      <rPr>
        <sz val="9.5"/>
        <rFont val="Arial"/>
        <family val="2"/>
      </rPr>
      <t>- плинтус гибкий</t>
    </r>
  </si>
  <si>
    <r>
      <rPr>
        <sz val="9.5"/>
        <rFont val="Arial"/>
        <family val="2"/>
      </rPr>
      <t>1.20</t>
    </r>
  </si>
  <si>
    <r>
      <rPr>
        <sz val="9.5"/>
        <rFont val="Arial"/>
        <family val="2"/>
      </rPr>
      <t>Комната приема пищи</t>
    </r>
  </si>
  <si>
    <r>
      <rPr>
        <sz val="9.5"/>
        <rFont val="Arial"/>
        <family val="2"/>
      </rPr>
      <t>1.21</t>
    </r>
  </si>
  <si>
    <r>
      <rPr>
        <sz val="9.5"/>
        <rFont val="Arial"/>
        <family val="2"/>
      </rPr>
      <t xml:space="preserve">Комната
</t>
    </r>
    <r>
      <rPr>
        <sz val="9.5"/>
        <rFont val="Arial"/>
        <family val="2"/>
      </rPr>
      <t>персонала АС</t>
    </r>
  </si>
  <si>
    <r>
      <rPr>
        <sz val="9.5"/>
        <rFont val="Arial"/>
        <family val="2"/>
      </rPr>
      <t>1.22</t>
    </r>
  </si>
  <si>
    <r>
      <rPr>
        <sz val="9.5"/>
        <rFont val="Arial"/>
        <family val="2"/>
      </rPr>
      <t>Комната сменного ИТР АС</t>
    </r>
  </si>
  <si>
    <r>
      <rPr>
        <sz val="9.5"/>
        <rFont val="Arial"/>
        <family val="2"/>
      </rPr>
      <t>1.23</t>
    </r>
  </si>
  <si>
    <r>
      <rPr>
        <sz val="9.5"/>
        <rFont val="Arial"/>
        <family val="2"/>
      </rPr>
      <t>Диспетчерская AC</t>
    </r>
  </si>
  <si>
    <r>
      <rPr>
        <sz val="9.5"/>
        <rFont val="Arial"/>
        <family val="2"/>
      </rPr>
      <t>1.24</t>
    </r>
  </si>
  <si>
    <r>
      <rPr>
        <sz val="9.5"/>
        <rFont val="Arial"/>
        <family val="2"/>
      </rPr>
      <t>Тамбур</t>
    </r>
  </si>
  <si>
    <r>
      <rPr>
        <sz val="9.5"/>
        <rFont val="Arial"/>
        <family val="2"/>
      </rPr>
      <t>1.25</t>
    </r>
  </si>
  <si>
    <r>
      <rPr>
        <sz val="9.5"/>
        <rFont val="Arial"/>
        <family val="2"/>
      </rPr>
      <t>Вестибюль</t>
    </r>
  </si>
  <si>
    <r>
      <rPr>
        <sz val="9.5"/>
        <rFont val="Arial"/>
        <family val="2"/>
      </rPr>
      <t>1.26</t>
    </r>
  </si>
  <si>
    <r>
      <rPr>
        <sz val="9.5"/>
        <rFont val="Arial"/>
        <family val="2"/>
      </rPr>
      <t>Лестничная клетка №2</t>
    </r>
  </si>
  <si>
    <r>
      <rPr>
        <sz val="9.5"/>
        <rFont val="Arial"/>
        <family val="2"/>
      </rPr>
      <t>1.27</t>
    </r>
  </si>
  <si>
    <r>
      <rPr>
        <sz val="9.5"/>
        <rFont val="Arial"/>
        <family val="2"/>
      </rPr>
      <t xml:space="preserve">По гипсовым строительным плитам: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шпатлевка;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акриловой краской</t>
    </r>
  </si>
  <si>
    <r>
      <rPr>
        <sz val="9.5"/>
        <rFont val="Arial"/>
        <family val="2"/>
      </rPr>
      <t>1.28</t>
    </r>
  </si>
  <si>
    <r>
      <rPr>
        <sz val="9.5"/>
        <rFont val="Arial"/>
        <family val="2"/>
      </rPr>
      <t>Гараж</t>
    </r>
  </si>
  <si>
    <r>
      <rPr>
        <sz val="9.5"/>
        <rFont val="Arial"/>
        <family val="2"/>
      </rPr>
      <t xml:space="preserve">По газобетону до перекрытия: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 xml:space="preserve">- штукатурка 10-30мм;
</t>
    </r>
    <r>
      <rPr>
        <sz val="9.5"/>
        <rFont val="Arial"/>
        <family val="2"/>
      </rPr>
      <t xml:space="preserve">- грунтовка;
</t>
    </r>
    <r>
      <rPr>
        <vertAlign val="subscript"/>
        <sz val="9.5"/>
        <rFont val="Arial"/>
        <family val="2"/>
      </rPr>
      <t xml:space="preserve">- </t>
    </r>
    <r>
      <rPr>
        <sz val="9.5"/>
        <rFont val="Arial"/>
        <family val="2"/>
      </rPr>
      <t xml:space="preserve">шпатлевка по стеклохолсту;
</t>
    </r>
    <r>
      <rPr>
        <sz val="9.5"/>
        <rFont val="Arial"/>
        <family val="2"/>
      </rPr>
      <t xml:space="preserve">- грунтовка;
</t>
    </r>
    <r>
      <rPr>
        <sz val="9.5"/>
        <rFont val="Arial"/>
        <family val="2"/>
      </rPr>
      <t>- окраска в 2 слоя  акриловой краской</t>
    </r>
  </si>
  <si>
    <r>
      <rPr>
        <sz val="8"/>
        <rFont val="Arial"/>
        <family val="2"/>
      </rPr>
      <t>2.01</t>
    </r>
  </si>
  <si>
    <r>
      <rPr>
        <sz val="8"/>
        <rFont val="Arial"/>
        <family val="2"/>
      </rPr>
      <t>Учебный класс (комната разборов)</t>
    </r>
  </si>
  <si>
    <r>
      <rPr>
        <sz val="8"/>
        <rFont val="Arial"/>
        <family val="2"/>
      </rPr>
      <t xml:space="preserve">Подвесной потолок 600x600 на металлокаркасе Т24/38.
</t>
    </r>
    <r>
      <rPr>
        <sz val="8"/>
        <rFont val="Arial"/>
        <family val="2"/>
      </rPr>
      <t>Заполнение - Потолочная плита Tromer KYRA.</t>
    </r>
  </si>
  <si>
    <r>
      <rPr>
        <sz val="8"/>
        <rFont val="Arial"/>
        <family val="2"/>
      </rPr>
      <t>2.02</t>
    </r>
  </si>
  <si>
    <r>
      <rPr>
        <sz val="8"/>
        <rFont val="Arial"/>
        <family val="2"/>
      </rPr>
      <t>Помещение уборочного инвентаря</t>
    </r>
  </si>
  <si>
    <r>
      <rPr>
        <sz val="8"/>
        <rFont val="Arial"/>
        <family val="2"/>
      </rPr>
      <t xml:space="preserve">Подвесной потолок 600x600 на металлокаркасе Т24/38.
</t>
    </r>
    <r>
      <rPr>
        <sz val="8"/>
        <rFont val="Arial"/>
        <family val="2"/>
      </rPr>
      <t xml:space="preserve">Заполнение -
</t>
    </r>
    <r>
      <rPr>
        <sz val="8"/>
        <rFont val="Arial"/>
        <family val="2"/>
      </rPr>
      <t>Кассета DECKON LAI IN TEGULAR</t>
    </r>
  </si>
  <si>
    <r>
      <rPr>
        <sz val="8"/>
        <rFont val="Arial"/>
        <family val="2"/>
      </rPr>
      <t>2.03</t>
    </r>
  </si>
  <si>
    <r>
      <rPr>
        <sz val="8"/>
        <rFont val="Arial"/>
        <family val="2"/>
      </rPr>
      <t>Санузел мужской</t>
    </r>
  </si>
  <si>
    <r>
      <rPr>
        <sz val="8"/>
        <rFont val="Arial"/>
        <family val="2"/>
      </rPr>
      <t>2.04</t>
    </r>
  </si>
  <si>
    <r>
      <rPr>
        <sz val="8"/>
        <rFont val="Arial"/>
        <family val="2"/>
      </rPr>
      <t>Санузел женский</t>
    </r>
  </si>
  <si>
    <r>
      <rPr>
        <sz val="8"/>
        <rFont val="Arial"/>
        <family val="2"/>
      </rPr>
      <t>2.05</t>
    </r>
  </si>
  <si>
    <r>
      <rPr>
        <sz val="8"/>
        <rFont val="Arial"/>
        <family val="2"/>
      </rPr>
      <t>Венткамера</t>
    </r>
  </si>
  <si>
    <r>
      <rPr>
        <sz val="8"/>
        <rFont val="Arial"/>
        <family val="2"/>
      </rPr>
      <t>Без отделки</t>
    </r>
  </si>
  <si>
    <r>
      <rPr>
        <sz val="8"/>
        <rFont val="Arial"/>
        <family val="2"/>
      </rPr>
      <t>-</t>
    </r>
  </si>
  <si>
    <r>
      <rPr>
        <sz val="8"/>
        <rFont val="Arial"/>
        <family val="2"/>
      </rPr>
      <t>2.06</t>
    </r>
  </si>
  <si>
    <r>
      <rPr>
        <sz val="8"/>
        <rFont val="Arial"/>
        <family val="2"/>
      </rPr>
      <t>Электро-щитовая</t>
    </r>
  </si>
  <si>
    <r>
      <rPr>
        <sz val="8"/>
        <rFont val="Arial"/>
        <family val="2"/>
      </rPr>
      <t>2.07</t>
    </r>
  </si>
  <si>
    <r>
      <rPr>
        <sz val="8"/>
        <rFont val="Arial"/>
        <family val="2"/>
      </rPr>
      <t>Серверная</t>
    </r>
  </si>
  <si>
    <r>
      <rPr>
        <sz val="8"/>
        <rFont val="Arial"/>
        <family val="2"/>
      </rPr>
      <t xml:space="preserve">По газобетону:
</t>
    </r>
    <r>
      <rPr>
        <sz val="8"/>
        <rFont val="Arial"/>
        <family val="2"/>
      </rPr>
      <t>- обеспыливание (грунтовка)</t>
    </r>
  </si>
  <si>
    <r>
      <rPr>
        <sz val="8"/>
        <rFont val="Arial"/>
        <family val="2"/>
      </rPr>
      <t xml:space="preserve">По газобетону
</t>
    </r>
    <r>
      <rPr>
        <sz val="8"/>
        <rFont val="Arial"/>
        <family val="2"/>
      </rPr>
      <t xml:space="preserve">на высоту 3300мм от ч.п.: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штукатурка 10-30мм;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 по стеклохолсту;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акриловой краской</t>
    </r>
  </si>
  <si>
    <r>
      <rPr>
        <sz val="8"/>
        <rFont val="Arial"/>
        <family val="2"/>
      </rPr>
      <t xml:space="preserve">По гипсовым строительным плитам: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 по стеклохолсту;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акриловой  краской</t>
    </r>
  </si>
  <si>
    <r>
      <rPr>
        <sz val="8"/>
        <rFont val="Arial"/>
        <family val="2"/>
      </rPr>
      <t xml:space="preserve">По оконным откосам из гипсовых
</t>
    </r>
    <r>
      <rPr>
        <sz val="8"/>
        <rFont val="Arial"/>
        <family val="2"/>
      </rPr>
      <t xml:space="preserve">строительных плит: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акриловой краской</t>
    </r>
  </si>
  <si>
    <r>
      <rPr>
        <sz val="8"/>
        <rFont val="Arial"/>
        <family val="2"/>
      </rPr>
      <t xml:space="preserve">По газобетону на высоту 3000мм от ч.п.: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штукатурка цементная 10-20мм;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керамическая плитка (200x300) на клею;
</t>
    </r>
    <r>
      <rPr>
        <sz val="8"/>
        <rFont val="Arial"/>
        <family val="2"/>
      </rPr>
      <t>- затирка швов</t>
    </r>
  </si>
  <si>
    <r>
      <rPr>
        <sz val="8"/>
        <rFont val="Arial"/>
        <family val="2"/>
      </rPr>
      <t xml:space="preserve">По гипсовым строительным плитам на
</t>
    </r>
    <r>
      <rPr>
        <sz val="8"/>
        <rFont val="Arial"/>
        <family val="2"/>
      </rPr>
      <t xml:space="preserve">высоту 3000мм от ч.п.:
</t>
    </r>
    <r>
      <rPr>
        <sz val="8"/>
        <rFont val="Arial"/>
        <family val="2"/>
      </rPr>
      <t xml:space="preserve">- грунтовка бетоноконтакт;
</t>
    </r>
    <r>
      <rPr>
        <sz val="8"/>
        <rFont val="Arial"/>
        <family val="2"/>
      </rPr>
      <t xml:space="preserve">- керамическая плитка (200x300) на клею;
</t>
    </r>
    <r>
      <rPr>
        <sz val="8"/>
        <rFont val="Arial"/>
        <family val="2"/>
      </rPr>
      <t>- затирка швов</t>
    </r>
  </si>
  <si>
    <r>
      <rPr>
        <sz val="8"/>
        <rFont val="Arial"/>
        <family val="2"/>
      </rPr>
      <t xml:space="preserve">По стяжке: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ровнитель для пола;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напольное покрытие ПВХ на клею;
</t>
    </r>
    <r>
      <rPr>
        <sz val="8"/>
        <rFont val="Arial"/>
        <family val="2"/>
      </rPr>
      <t>- плинтус гибкий</t>
    </r>
  </si>
  <si>
    <r>
      <rPr>
        <sz val="8"/>
        <rFont val="Arial"/>
        <family val="2"/>
      </rPr>
      <t xml:space="preserve">По стяжке:
</t>
    </r>
    <r>
      <rPr>
        <sz val="8"/>
        <rFont val="Arial"/>
        <family val="2"/>
      </rPr>
      <t xml:space="preserve">- гидроизоляция с заведением на стены на 200мм;
</t>
    </r>
    <r>
      <rPr>
        <sz val="8"/>
        <rFont val="Arial"/>
        <family val="2"/>
      </rPr>
      <t xml:space="preserve">- керамогранит (300x300) на клею;
</t>
    </r>
    <r>
      <rPr>
        <sz val="8"/>
        <rFont val="Arial"/>
        <family val="2"/>
      </rPr>
      <t>- затирка швов</t>
    </r>
  </si>
  <si>
    <r>
      <rPr>
        <sz val="8"/>
        <rFont val="Arial"/>
        <family val="2"/>
      </rPr>
      <t xml:space="preserve">По стяжке:
</t>
    </r>
    <r>
      <rPr>
        <sz val="8"/>
        <rFont val="Arial"/>
        <family val="2"/>
      </rPr>
      <t xml:space="preserve">- гидроизоляция с заведением на стены на 200мм;
</t>
    </r>
    <r>
      <rPr>
        <sz val="8"/>
        <rFont val="Arial"/>
        <family val="2"/>
      </rPr>
      <t xml:space="preserve">- керамогранит (300x300) на клею;
</t>
    </r>
    <r>
      <rPr>
        <sz val="8"/>
        <rFont val="Arial"/>
        <family val="2"/>
      </rPr>
      <t xml:space="preserve">- плинтус из кемогранита высотой 100мм;
</t>
    </r>
    <r>
      <rPr>
        <sz val="8"/>
        <rFont val="Arial"/>
        <family val="2"/>
      </rPr>
      <t>- затирка швов</t>
    </r>
  </si>
  <si>
    <r>
      <rPr>
        <sz val="8"/>
        <rFont val="Arial"/>
        <family val="2"/>
      </rPr>
      <t xml:space="preserve">наименование
</t>
    </r>
    <r>
      <rPr>
        <sz val="8"/>
        <rFont val="Arial"/>
        <family val="2"/>
      </rPr>
      <t>Коридор</t>
    </r>
  </si>
  <si>
    <r>
      <rPr>
        <sz val="8"/>
        <rFont val="Arial"/>
        <family val="2"/>
      </rPr>
      <t>2.09</t>
    </r>
  </si>
  <si>
    <r>
      <rPr>
        <sz val="8"/>
        <rFont val="Arial"/>
        <family val="2"/>
      </rPr>
      <t>Комната чистки и заряжания оружия</t>
    </r>
  </si>
  <si>
    <r>
      <rPr>
        <sz val="8"/>
        <rFont val="Arial"/>
        <family val="2"/>
      </rPr>
      <t>2.10</t>
    </r>
  </si>
  <si>
    <r>
      <rPr>
        <sz val="8"/>
        <rFont val="Arial"/>
        <family val="2"/>
      </rPr>
      <t>Комната хранения оружия</t>
    </r>
  </si>
  <si>
    <r>
      <rPr>
        <sz val="8"/>
        <rFont val="Arial"/>
        <family val="2"/>
      </rPr>
      <t>2.11</t>
    </r>
  </si>
  <si>
    <r>
      <rPr>
        <sz val="8"/>
        <rFont val="Arial"/>
        <family val="2"/>
      </rPr>
      <t>Кабинет орнитологической службы</t>
    </r>
  </si>
  <si>
    <r>
      <rPr>
        <sz val="8"/>
        <rFont val="Arial"/>
        <family val="2"/>
      </rPr>
      <t>2.12</t>
    </r>
  </si>
  <si>
    <r>
      <rPr>
        <sz val="8"/>
        <rFont val="Arial"/>
        <family val="2"/>
      </rPr>
      <t>Комната приёма пищи</t>
    </r>
  </si>
  <si>
    <r>
      <rPr>
        <sz val="8"/>
        <rFont val="Arial"/>
        <family val="2"/>
      </rPr>
      <t>2.13</t>
    </r>
  </si>
  <si>
    <r>
      <rPr>
        <sz val="8"/>
        <rFont val="Arial"/>
        <family val="2"/>
      </rPr>
      <t>Кабинет старшего техника АС</t>
    </r>
  </si>
  <si>
    <r>
      <rPr>
        <sz val="8"/>
        <rFont val="Arial"/>
        <family val="2"/>
      </rPr>
      <t xml:space="preserve">
</t>
    </r>
    <r>
      <rPr>
        <sz val="8"/>
        <rFont val="Arial"/>
        <family val="2"/>
      </rPr>
      <t>2.08</t>
    </r>
  </si>
  <si>
    <r>
      <rPr>
        <sz val="8"/>
        <rFont val="Arial"/>
        <family val="2"/>
      </rPr>
      <t xml:space="preserve">
</t>
    </r>
    <r>
      <rPr>
        <sz val="8"/>
        <rFont val="Arial"/>
        <family val="2"/>
      </rPr>
      <t>54,41</t>
    </r>
  </si>
  <si>
    <r>
      <rPr>
        <sz val="8"/>
        <rFont val="Arial"/>
        <family val="2"/>
      </rPr>
      <t xml:space="preserve">По газобетону/ бетону
</t>
    </r>
    <r>
      <rPr>
        <sz val="8"/>
        <rFont val="Arial"/>
        <family val="2"/>
      </rPr>
      <t xml:space="preserve">на высоту 3300мм от ч.п.: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штукатурка 10-30мм;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 по стеклохолсту;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акриловой  краской</t>
    </r>
  </si>
  <si>
    <r>
      <rPr>
        <sz val="8"/>
        <rFont val="Arial"/>
        <family val="2"/>
      </rPr>
      <t xml:space="preserve">По бетону/ газобетону на высоту 3300мм от
</t>
    </r>
    <r>
      <rPr>
        <sz val="8"/>
        <rFont val="Arial"/>
        <family val="2"/>
      </rPr>
      <t xml:space="preserve">отм. ч.п.: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штукатурка 10-30мм;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 по стеклохолсту;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акриловой краской</t>
    </r>
  </si>
  <si>
    <r>
      <rPr>
        <sz val="8"/>
        <rFont val="Arial"/>
        <family val="2"/>
      </rPr>
      <t xml:space="preserve">По бетону:
</t>
    </r>
    <r>
      <rPr>
        <sz val="8"/>
        <rFont val="Arial"/>
        <family val="2"/>
      </rPr>
      <t xml:space="preserve">- грунтовка бетоноконтакт;
</t>
    </r>
    <r>
      <rPr>
        <sz val="8"/>
        <rFont val="Arial"/>
        <family val="2"/>
      </rPr>
      <t xml:space="preserve">- штукатурка 10-30мм;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 по стеклохолсту;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негорючей краской</t>
    </r>
  </si>
  <si>
    <r>
      <rPr>
        <sz val="8"/>
        <rFont val="Arial"/>
        <family val="2"/>
      </rPr>
      <t xml:space="preserve">Окраска видимых металлоконструкций
</t>
    </r>
    <r>
      <rPr>
        <sz val="8"/>
        <rFont val="Arial"/>
        <family val="2"/>
      </rPr>
      <t>негорючей краской (КМ-0)</t>
    </r>
  </si>
  <si>
    <r>
      <rPr>
        <sz val="8"/>
        <rFont val="Arial"/>
        <family val="2"/>
      </rPr>
      <t xml:space="preserve">№
</t>
    </r>
    <r>
      <rPr>
        <sz val="8"/>
        <rFont val="Arial"/>
        <family val="2"/>
      </rPr>
      <t>2.14</t>
    </r>
  </si>
  <si>
    <r>
      <rPr>
        <sz val="8"/>
        <rFont val="Arial"/>
        <family val="2"/>
      </rPr>
      <t xml:space="preserve">наименование
</t>
    </r>
    <r>
      <rPr>
        <sz val="8"/>
        <rFont val="Arial"/>
        <family val="2"/>
      </rPr>
      <t>Кабинет кладовщика</t>
    </r>
  </si>
  <si>
    <r>
      <rPr>
        <sz val="8"/>
        <rFont val="Arial"/>
        <family val="2"/>
      </rPr>
      <t>2.15</t>
    </r>
  </si>
  <si>
    <r>
      <rPr>
        <sz val="8"/>
        <rFont val="Arial"/>
        <family val="2"/>
      </rPr>
      <t>Кабинет начальника АС</t>
    </r>
  </si>
  <si>
    <r>
      <rPr>
        <sz val="8"/>
        <rFont val="Arial"/>
        <family val="2"/>
      </rPr>
      <t>2.16</t>
    </r>
  </si>
  <si>
    <r>
      <rPr>
        <sz val="8"/>
        <rFont val="Arial"/>
        <family val="2"/>
      </rPr>
      <t>Кабинет ИТР АС</t>
    </r>
  </si>
  <si>
    <r>
      <rPr>
        <sz val="8"/>
        <rFont val="Arial"/>
        <family val="2"/>
      </rPr>
      <t>2.17</t>
    </r>
  </si>
  <si>
    <r>
      <rPr>
        <sz val="8"/>
        <rFont val="Arial"/>
        <family val="2"/>
      </rPr>
      <t>Кабинет заместителя начальника АС</t>
    </r>
  </si>
  <si>
    <r>
      <rPr>
        <sz val="8"/>
        <rFont val="Arial"/>
        <family val="2"/>
      </rPr>
      <t>Л1</t>
    </r>
  </si>
  <si>
    <r>
      <rPr>
        <sz val="8"/>
        <rFont val="Arial"/>
        <family val="2"/>
      </rPr>
      <t>Лестница 1</t>
    </r>
  </si>
  <si>
    <r>
      <rPr>
        <sz val="8"/>
        <rFont val="Arial"/>
        <family val="2"/>
      </rPr>
      <t>Л2</t>
    </r>
  </si>
  <si>
    <r>
      <rPr>
        <sz val="8"/>
        <rFont val="Arial"/>
        <family val="2"/>
      </rPr>
      <t>Лестница 2</t>
    </r>
  </si>
  <si>
    <r>
      <rPr>
        <sz val="8"/>
        <rFont val="Arial"/>
        <family val="2"/>
      </rPr>
      <t xml:space="preserve">По бетону:
</t>
    </r>
    <r>
      <rPr>
        <sz val="8"/>
        <rFont val="Arial"/>
        <family val="2"/>
      </rPr>
      <t xml:space="preserve">- грунтовка бетоноконтакт;
</t>
    </r>
    <r>
      <rPr>
        <sz val="8"/>
        <rFont val="Arial"/>
        <family val="2"/>
      </rPr>
      <t xml:space="preserve">- штукатурка 10-30мм;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шпатлевка по стеклохолсту;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>- окраска в 2 слоя акриловой краской</t>
    </r>
  </si>
  <si>
    <r>
      <rPr>
        <sz val="8"/>
        <rFont val="Arial"/>
        <family val="2"/>
      </rPr>
      <t xml:space="preserve">По плите: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керамогранит (400x400) на клею;
</t>
    </r>
    <r>
      <rPr>
        <sz val="8"/>
        <rFont val="Arial"/>
        <family val="2"/>
      </rPr>
      <t xml:space="preserve">- плинтус из
</t>
    </r>
    <r>
      <rPr>
        <sz val="8"/>
        <rFont val="Arial"/>
        <family val="2"/>
      </rPr>
      <t xml:space="preserve">керамогранита высотой 100мм;
</t>
    </r>
    <r>
      <rPr>
        <sz val="8"/>
        <rFont val="Arial"/>
        <family val="2"/>
      </rPr>
      <t>- затирка швов</t>
    </r>
  </si>
  <si>
    <r>
      <rPr>
        <sz val="8"/>
        <rFont val="Arial"/>
        <family val="2"/>
      </rPr>
      <t xml:space="preserve">По стяжке:
</t>
    </r>
    <r>
      <rPr>
        <sz val="8"/>
        <rFont val="Arial"/>
        <family val="2"/>
      </rPr>
      <t xml:space="preserve">- грунтовка;
</t>
    </r>
    <r>
      <rPr>
        <sz val="8"/>
        <rFont val="Arial"/>
        <family val="2"/>
      </rPr>
      <t xml:space="preserve">- керамогранит (400x400) на клею;
</t>
    </r>
    <r>
      <rPr>
        <sz val="8"/>
        <rFont val="Arial"/>
        <family val="2"/>
      </rPr>
      <t xml:space="preserve">- плинтус из
</t>
    </r>
    <r>
      <rPr>
        <sz val="8"/>
        <rFont val="Arial"/>
        <family val="2"/>
      </rPr>
      <t xml:space="preserve">керамогранита высотой 100мм;
</t>
    </r>
    <r>
      <rPr>
        <sz val="8"/>
        <rFont val="Arial"/>
        <family val="2"/>
      </rPr>
      <t>- затирка швов</t>
    </r>
  </si>
  <si>
    <r>
      <rPr>
        <sz val="8"/>
        <rFont val="Arial"/>
        <family val="2"/>
      </rPr>
      <t xml:space="preserve">плинтуса, м
</t>
    </r>
    <r>
      <rPr>
        <sz val="8"/>
        <rFont val="Arial"/>
        <family val="2"/>
      </rPr>
      <t>44,63</t>
    </r>
  </si>
  <si>
    <r>
      <rPr>
        <sz val="8"/>
        <rFont val="Arial"/>
        <family val="2"/>
      </rPr>
      <t xml:space="preserve">плинтуса, м
</t>
    </r>
    <r>
      <rPr>
        <sz val="8"/>
        <rFont val="Arial"/>
        <family val="2"/>
      </rPr>
      <t>15,99</t>
    </r>
  </si>
  <si>
    <t>Итого</t>
  </si>
  <si>
    <t>Промежуточный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</si>
</sst>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9.5"/>
      <name val="Arial"/>
    </font>
    <font>
      <sz val="9.5"/>
      <color rgb="FF000000"/>
      <name val="Arial"/>
      <family val="2"/>
    </font>
    <font>
      <sz val="9.5"/>
      <name val="Arial"/>
      <family val="2"/>
    </font>
    <font>
      <vertAlign val="subscript"/>
      <sz val="9.5"/>
      <name val="Arial"/>
      <family val="2"/>
    </font>
    <font>
      <sz val="8"/>
      <name val="Arial"/>
    </font>
    <font>
      <sz val="8"/>
      <name val="Arial"/>
      <family val="2"/>
    </font>
    <font>
      <sz val="8"/>
      <color rgb="FF000000"/>
      <name val="Arial"/>
      <family val="2"/>
    </font>
    <font>
      <b/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11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top" wrapText="1"/>
    </xf>
    <xf numFmtId="2" fontId="2" fillId="0" borderId="11" xfId="0" applyNumberFormat="1" applyFont="1" applyFill="1" applyBorder="1" applyAlignment="1">
      <alignment horizontal="right" vertical="top" indent="2" shrinkToFit="1"/>
    </xf>
    <xf numFmtId="2" fontId="2" fillId="0" borderId="11" xfId="0" applyNumberFormat="1" applyFont="1" applyFill="1" applyBorder="1" applyAlignment="1">
      <alignment horizontal="left" vertical="top" indent="2" shrinkToFit="1"/>
    </xf>
    <xf numFmtId="0" fontId="0" fillId="0" borderId="8" xfId="0" applyFill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2" fontId="2" fillId="0" borderId="4" xfId="0" applyNumberFormat="1" applyFont="1" applyFill="1" applyBorder="1" applyAlignment="1">
      <alignment vertical="center" shrinkToFit="1"/>
    </xf>
    <xf numFmtId="2" fontId="2" fillId="0" borderId="12" xfId="0" applyNumberFormat="1" applyFont="1" applyFill="1" applyBorder="1" applyAlignment="1">
      <alignment vertical="center" shrinkToFit="1"/>
    </xf>
    <xf numFmtId="2" fontId="2" fillId="0" borderId="13" xfId="0" applyNumberFormat="1" applyFont="1" applyFill="1" applyBorder="1" applyAlignment="1">
      <alignment vertical="center" shrinkToFit="1"/>
    </xf>
    <xf numFmtId="2" fontId="2" fillId="0" borderId="8" xfId="0" applyNumberFormat="1" applyFont="1" applyFill="1" applyBorder="1" applyAlignment="1">
      <alignment vertical="center" shrinkToFit="1"/>
    </xf>
    <xf numFmtId="2" fontId="2" fillId="0" borderId="5" xfId="0" applyNumberFormat="1" applyFont="1" applyFill="1" applyBorder="1" applyAlignment="1">
      <alignment vertical="center" shrinkToFit="1"/>
    </xf>
    <xf numFmtId="2" fontId="2" fillId="0" borderId="14" xfId="0" applyNumberFormat="1" applyFont="1" applyFill="1" applyBorder="1" applyAlignment="1">
      <alignment vertical="center" shrinkToFit="1"/>
    </xf>
    <xf numFmtId="2" fontId="2" fillId="0" borderId="9" xfId="0" applyNumberFormat="1" applyFont="1" applyFill="1" applyBorder="1" applyAlignment="1">
      <alignment vertical="center" shrinkToFit="1"/>
    </xf>
    <xf numFmtId="2" fontId="2" fillId="0" borderId="8" xfId="0" applyNumberFormat="1" applyFont="1" applyFill="1" applyBorder="1" applyAlignment="1">
      <alignment vertical="top" shrinkToFit="1"/>
    </xf>
    <xf numFmtId="2" fontId="2" fillId="0" borderId="5" xfId="0" applyNumberFormat="1" applyFont="1" applyFill="1" applyBorder="1" applyAlignment="1">
      <alignment vertical="top" shrinkToFit="1"/>
    </xf>
    <xf numFmtId="2" fontId="2" fillId="0" borderId="9" xfId="0" applyNumberFormat="1" applyFont="1" applyFill="1" applyBorder="1" applyAlignment="1">
      <alignment vertical="top" shrinkToFit="1"/>
    </xf>
    <xf numFmtId="0" fontId="1" fillId="0" borderId="5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2" fontId="2" fillId="0" borderId="11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2" fontId="2" fillId="0" borderId="4" xfId="0" applyNumberFormat="1" applyFont="1" applyFill="1" applyBorder="1" applyAlignment="1">
      <alignment vertical="top" shrinkToFit="1"/>
    </xf>
    <xf numFmtId="2" fontId="2" fillId="0" borderId="13" xfId="0" applyNumberFormat="1" applyFont="1" applyFill="1" applyBorder="1" applyAlignment="1">
      <alignment vertical="top" shrinkToFit="1"/>
    </xf>
    <xf numFmtId="2" fontId="7" fillId="0" borderId="11" xfId="0" applyNumberFormat="1" applyFont="1" applyFill="1" applyBorder="1" applyAlignment="1">
      <alignment horizontal="center" vertical="top" shrinkToFit="1"/>
    </xf>
    <xf numFmtId="2" fontId="7" fillId="0" borderId="11" xfId="0" applyNumberFormat="1" applyFont="1" applyFill="1" applyBorder="1" applyAlignment="1">
      <alignment horizontal="center" vertical="center" shrinkToFit="1"/>
    </xf>
    <xf numFmtId="0" fontId="0" fillId="0" borderId="4" xfId="0" applyFill="1" applyBorder="1" applyAlignment="1">
      <alignment vertical="top" wrapText="1"/>
    </xf>
    <xf numFmtId="0" fontId="0" fillId="0" borderId="12" xfId="0" applyFill="1" applyBorder="1" applyAlignment="1">
      <alignment vertical="top" wrapText="1"/>
    </xf>
    <xf numFmtId="0" fontId="0" fillId="0" borderId="13" xfId="0" applyFill="1" applyBorder="1" applyAlignment="1">
      <alignment vertical="top" wrapText="1"/>
    </xf>
    <xf numFmtId="2" fontId="7" fillId="0" borderId="5" xfId="0" applyNumberFormat="1" applyFont="1" applyFill="1" applyBorder="1" applyAlignment="1">
      <alignment vertical="center" shrinkToFit="1"/>
    </xf>
    <xf numFmtId="2" fontId="7" fillId="0" borderId="14" xfId="0" applyNumberFormat="1" applyFont="1" applyFill="1" applyBorder="1" applyAlignment="1">
      <alignment vertical="center" shrinkToFit="1"/>
    </xf>
    <xf numFmtId="2" fontId="7" fillId="0" borderId="9" xfId="0" applyNumberFormat="1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top" wrapText="1"/>
    </xf>
    <xf numFmtId="2" fontId="7" fillId="0" borderId="4" xfId="0" applyNumberFormat="1" applyFont="1" applyFill="1" applyBorder="1" applyAlignment="1">
      <alignment vertical="center" shrinkToFit="1"/>
    </xf>
    <xf numFmtId="2" fontId="7" fillId="0" borderId="13" xfId="0" applyNumberFormat="1" applyFont="1" applyFill="1" applyBorder="1" applyAlignment="1">
      <alignment vertical="center" shrinkToFit="1"/>
    </xf>
    <xf numFmtId="2" fontId="7" fillId="0" borderId="4" xfId="0" applyNumberFormat="1" applyFont="1" applyFill="1" applyBorder="1" applyAlignment="1">
      <alignment vertical="top" shrinkToFit="1"/>
    </xf>
    <xf numFmtId="2" fontId="7" fillId="0" borderId="13" xfId="0" applyNumberFormat="1" applyFont="1" applyFill="1" applyBorder="1" applyAlignment="1">
      <alignment vertical="top" shrinkToFit="1"/>
    </xf>
    <xf numFmtId="2" fontId="7" fillId="0" borderId="12" xfId="0" applyNumberFormat="1" applyFont="1" applyFill="1" applyBorder="1" applyAlignment="1">
      <alignment vertical="center" shrinkToFit="1"/>
    </xf>
    <xf numFmtId="2" fontId="7" fillId="0" borderId="12" xfId="0" applyNumberFormat="1" applyFont="1" applyFill="1" applyBorder="1" applyAlignment="1">
      <alignment vertical="top" shrinkToFit="1"/>
    </xf>
    <xf numFmtId="164" fontId="7" fillId="0" borderId="4" xfId="0" applyNumberFormat="1" applyFont="1" applyFill="1" applyBorder="1" applyAlignment="1">
      <alignment vertical="center" shrinkToFit="1"/>
    </xf>
    <xf numFmtId="164" fontId="7" fillId="0" borderId="12" xfId="0" applyNumberFormat="1" applyFont="1" applyFill="1" applyBorder="1" applyAlignment="1">
      <alignment vertical="center" shrinkToFit="1"/>
    </xf>
    <xf numFmtId="164" fontId="7" fillId="0" borderId="13" xfId="0" applyNumberFormat="1" applyFont="1" applyFill="1" applyBorder="1" applyAlignment="1">
      <alignment vertical="center" shrinkToFit="1"/>
    </xf>
    <xf numFmtId="0" fontId="6" fillId="0" borderId="4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 indent="2"/>
    </xf>
    <xf numFmtId="0" fontId="5" fillId="0" borderId="12" xfId="0" applyFont="1" applyFill="1" applyBorder="1" applyAlignment="1">
      <alignment horizontal="left" vertical="center" wrapText="1" indent="2"/>
    </xf>
    <xf numFmtId="0" fontId="5" fillId="0" borderId="13" xfId="0" applyFont="1" applyFill="1" applyBorder="1" applyAlignment="1">
      <alignment horizontal="left" vertical="center" wrapText="1" indent="2"/>
    </xf>
    <xf numFmtId="0" fontId="0" fillId="0" borderId="7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 indent="1"/>
    </xf>
    <xf numFmtId="0" fontId="5" fillId="0" borderId="12" xfId="0" applyFont="1" applyFill="1" applyBorder="1" applyAlignment="1">
      <alignment horizontal="left" vertical="center" wrapText="1" indent="1"/>
    </xf>
    <xf numFmtId="0" fontId="5" fillId="0" borderId="13" xfId="0" applyFont="1" applyFill="1" applyBorder="1" applyAlignment="1">
      <alignment horizontal="left" vertical="center" wrapText="1" indent="1"/>
    </xf>
    <xf numFmtId="2" fontId="7" fillId="0" borderId="4" xfId="0" applyNumberFormat="1" applyFont="1" applyFill="1" applyBorder="1" applyAlignment="1">
      <alignment horizontal="left" vertical="center" indent="2" shrinkToFit="1"/>
    </xf>
    <xf numFmtId="2" fontId="7" fillId="0" borderId="12" xfId="0" applyNumberFormat="1" applyFont="1" applyFill="1" applyBorder="1" applyAlignment="1">
      <alignment horizontal="left" vertical="center" indent="2" shrinkToFit="1"/>
    </xf>
    <xf numFmtId="2" fontId="7" fillId="0" borderId="13" xfId="0" applyNumberFormat="1" applyFont="1" applyFill="1" applyBorder="1" applyAlignment="1">
      <alignment horizontal="left" vertical="center" indent="2" shrinkToFit="1"/>
    </xf>
    <xf numFmtId="0" fontId="0" fillId="0" borderId="4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2" fontId="7" fillId="0" borderId="4" xfId="0" applyNumberFormat="1" applyFont="1" applyFill="1" applyBorder="1" applyAlignment="1">
      <alignment horizontal="center" vertical="top" shrinkToFit="1"/>
    </xf>
    <xf numFmtId="2" fontId="7" fillId="0" borderId="12" xfId="0" applyNumberFormat="1" applyFont="1" applyFill="1" applyBorder="1" applyAlignment="1">
      <alignment horizontal="center" vertical="top" shrinkToFit="1"/>
    </xf>
    <xf numFmtId="2" fontId="7" fillId="0" borderId="13" xfId="0" applyNumberFormat="1" applyFont="1" applyFill="1" applyBorder="1" applyAlignment="1">
      <alignment horizontal="center" vertical="top" shrinkToFit="1"/>
    </xf>
    <xf numFmtId="2" fontId="7" fillId="0" borderId="4" xfId="0" applyNumberFormat="1" applyFont="1" applyFill="1" applyBorder="1" applyAlignment="1">
      <alignment horizontal="center" vertical="center" shrinkToFit="1"/>
    </xf>
    <xf numFmtId="2" fontId="7" fillId="0" borderId="12" xfId="0" applyNumberFormat="1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center" vertical="top" wrapText="1"/>
    </xf>
    <xf numFmtId="2" fontId="7" fillId="0" borderId="13" xfId="0" applyNumberFormat="1" applyFont="1" applyFill="1" applyBorder="1" applyAlignment="1">
      <alignment horizontal="center" vertical="center" shrinkToFit="1"/>
    </xf>
    <xf numFmtId="0" fontId="0" fillId="0" borderId="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 indent="1"/>
    </xf>
    <xf numFmtId="0" fontId="0" fillId="0" borderId="12" xfId="0" applyFill="1" applyBorder="1" applyAlignment="1">
      <alignment horizontal="left" vertical="center" wrapText="1" indent="1"/>
    </xf>
    <xf numFmtId="0" fontId="0" fillId="0" borderId="13" xfId="0" applyFill="1" applyBorder="1" applyAlignment="1">
      <alignment horizontal="left" vertical="center" wrapText="1" indent="1"/>
    </xf>
    <xf numFmtId="2" fontId="7" fillId="0" borderId="4" xfId="0" applyNumberFormat="1" applyFont="1" applyFill="1" applyBorder="1" applyAlignment="1">
      <alignment horizontal="left" vertical="top" indent="2" shrinkToFit="1"/>
    </xf>
    <xf numFmtId="2" fontId="7" fillId="0" borderId="13" xfId="0" applyNumberFormat="1" applyFont="1" applyFill="1" applyBorder="1" applyAlignment="1">
      <alignment horizontal="left" vertical="top" indent="2" shrinkToFit="1"/>
    </xf>
    <xf numFmtId="0" fontId="0" fillId="0" borderId="4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2" fontId="7" fillId="0" borderId="4" xfId="0" applyNumberFormat="1" applyFont="1" applyFill="1" applyBorder="1" applyAlignment="1">
      <alignment horizontal="left" vertical="center" indent="1" shrinkToFit="1"/>
    </xf>
    <xf numFmtId="2" fontId="7" fillId="0" borderId="12" xfId="0" applyNumberFormat="1" applyFont="1" applyFill="1" applyBorder="1" applyAlignment="1">
      <alignment horizontal="left" vertical="center" indent="1" shrinkToFit="1"/>
    </xf>
    <xf numFmtId="2" fontId="7" fillId="0" borderId="13" xfId="0" applyNumberFormat="1" applyFont="1" applyFill="1" applyBorder="1" applyAlignment="1">
      <alignment horizontal="left" vertical="center" indent="1" shrinkToFit="1"/>
    </xf>
    <xf numFmtId="0" fontId="5" fillId="0" borderId="4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center" vertical="top" wrapText="1"/>
    </xf>
    <xf numFmtId="164" fontId="7" fillId="0" borderId="4" xfId="0" applyNumberFormat="1" applyFont="1" applyFill="1" applyBorder="1" applyAlignment="1">
      <alignment horizontal="left" vertical="center" indent="2" shrinkToFit="1"/>
    </xf>
    <xf numFmtId="164" fontId="7" fillId="0" borderId="12" xfId="0" applyNumberFormat="1" applyFont="1" applyFill="1" applyBorder="1" applyAlignment="1">
      <alignment horizontal="left" vertical="center" indent="2" shrinkToFit="1"/>
    </xf>
    <xf numFmtId="164" fontId="7" fillId="0" borderId="13" xfId="0" applyNumberFormat="1" applyFont="1" applyFill="1" applyBorder="1" applyAlignment="1">
      <alignment horizontal="left" vertical="center" indent="2" shrinkToFit="1"/>
    </xf>
    <xf numFmtId="0" fontId="5" fillId="0" borderId="4" xfId="0" applyFont="1" applyFill="1" applyBorder="1" applyAlignment="1">
      <alignment horizontal="left" vertical="center" wrapText="1" indent="6"/>
    </xf>
    <xf numFmtId="0" fontId="5" fillId="0" borderId="12" xfId="0" applyFont="1" applyFill="1" applyBorder="1" applyAlignment="1">
      <alignment horizontal="left" vertical="center" wrapText="1" indent="6"/>
    </xf>
    <xf numFmtId="0" fontId="5" fillId="0" borderId="13" xfId="0" applyFont="1" applyFill="1" applyBorder="1" applyAlignment="1">
      <alignment horizontal="left" vertical="center" wrapText="1" indent="6"/>
    </xf>
    <xf numFmtId="0" fontId="1" fillId="0" borderId="4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 indent="3"/>
    </xf>
    <xf numFmtId="0" fontId="1" fillId="0" borderId="12" xfId="0" applyFont="1" applyFill="1" applyBorder="1" applyAlignment="1">
      <alignment horizontal="left" vertical="center" wrapText="1" indent="3"/>
    </xf>
    <xf numFmtId="0" fontId="1" fillId="0" borderId="13" xfId="0" applyFont="1" applyFill="1" applyBorder="1" applyAlignment="1">
      <alignment horizontal="left" vertical="center" wrapText="1" indent="3"/>
    </xf>
    <xf numFmtId="0" fontId="1" fillId="0" borderId="4" xfId="0" applyFont="1" applyFill="1" applyBorder="1" applyAlignment="1">
      <alignment horizontal="left" vertical="center" wrapText="1" indent="2"/>
    </xf>
    <xf numFmtId="0" fontId="1" fillId="0" borderId="12" xfId="0" applyFont="1" applyFill="1" applyBorder="1" applyAlignment="1">
      <alignment horizontal="left" vertical="center" wrapText="1" indent="2"/>
    </xf>
    <xf numFmtId="0" fontId="1" fillId="0" borderId="13" xfId="0" applyFont="1" applyFill="1" applyBorder="1" applyAlignment="1">
      <alignment horizontal="left" vertical="center" wrapText="1" indent="2"/>
    </xf>
    <xf numFmtId="2" fontId="2" fillId="0" borderId="4" xfId="0" applyNumberFormat="1" applyFont="1" applyFill="1" applyBorder="1" applyAlignment="1">
      <alignment horizontal="left" vertical="center" indent="2" shrinkToFit="1"/>
    </xf>
    <xf numFmtId="2" fontId="2" fillId="0" borderId="12" xfId="0" applyNumberFormat="1" applyFont="1" applyFill="1" applyBorder="1" applyAlignment="1">
      <alignment horizontal="left" vertical="center" indent="2" shrinkToFit="1"/>
    </xf>
    <xf numFmtId="2" fontId="2" fillId="0" borderId="13" xfId="0" applyNumberFormat="1" applyFont="1" applyFill="1" applyBorder="1" applyAlignment="1">
      <alignment horizontal="left" vertical="center" indent="2" shrinkToFit="1"/>
    </xf>
    <xf numFmtId="2" fontId="2" fillId="0" borderId="4" xfId="0" applyNumberFormat="1" applyFont="1" applyFill="1" applyBorder="1" applyAlignment="1">
      <alignment horizontal="left" vertical="top" indent="2" shrinkToFit="1"/>
    </xf>
    <xf numFmtId="2" fontId="2" fillId="0" borderId="12" xfId="0" applyNumberFormat="1" applyFont="1" applyFill="1" applyBorder="1" applyAlignment="1">
      <alignment horizontal="left" vertical="top" indent="2" shrinkToFit="1"/>
    </xf>
    <xf numFmtId="2" fontId="2" fillId="0" borderId="13" xfId="0" applyNumberFormat="1" applyFont="1" applyFill="1" applyBorder="1" applyAlignment="1">
      <alignment horizontal="left" vertical="top" indent="2" shrinkToFit="1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12" xfId="0" applyFont="1" applyFill="1" applyBorder="1" applyAlignment="1">
      <alignment horizontal="left" vertical="center" wrapText="1" indent="1"/>
    </xf>
    <xf numFmtId="0" fontId="1" fillId="0" borderId="13" xfId="0" applyFont="1" applyFill="1" applyBorder="1" applyAlignment="1">
      <alignment horizontal="left" vertical="center" wrapText="1" indent="1"/>
    </xf>
    <xf numFmtId="2" fontId="2" fillId="0" borderId="4" xfId="0" applyNumberFormat="1" applyFont="1" applyFill="1" applyBorder="1" applyAlignment="1">
      <alignment horizontal="left" vertical="center" indent="1" shrinkToFit="1"/>
    </xf>
    <xf numFmtId="2" fontId="2" fillId="0" borderId="12" xfId="0" applyNumberFormat="1" applyFont="1" applyFill="1" applyBorder="1" applyAlignment="1">
      <alignment horizontal="left" vertical="center" indent="1" shrinkToFit="1"/>
    </xf>
    <xf numFmtId="2" fontId="2" fillId="0" borderId="13" xfId="0" applyNumberFormat="1" applyFont="1" applyFill="1" applyBorder="1" applyAlignment="1">
      <alignment horizontal="left" vertical="center" indent="1" shrinkToFit="1"/>
    </xf>
    <xf numFmtId="164" fontId="2" fillId="0" borderId="4" xfId="0" applyNumberFormat="1" applyFont="1" applyFill="1" applyBorder="1" applyAlignment="1">
      <alignment horizontal="left" vertical="center" indent="2" shrinkToFit="1"/>
    </xf>
    <xf numFmtId="164" fontId="2" fillId="0" borderId="12" xfId="0" applyNumberFormat="1" applyFont="1" applyFill="1" applyBorder="1" applyAlignment="1">
      <alignment horizontal="left" vertical="center" indent="2" shrinkToFit="1"/>
    </xf>
    <xf numFmtId="164" fontId="2" fillId="0" borderId="13" xfId="0" applyNumberFormat="1" applyFont="1" applyFill="1" applyBorder="1" applyAlignment="1">
      <alignment horizontal="left" vertical="center" indent="2" shrinkToFit="1"/>
    </xf>
    <xf numFmtId="164" fontId="2" fillId="0" borderId="4" xfId="0" applyNumberFormat="1" applyFont="1" applyFill="1" applyBorder="1" applyAlignment="1">
      <alignment horizontal="left" vertical="center" indent="1" shrinkToFit="1"/>
    </xf>
    <xf numFmtId="164" fontId="2" fillId="0" borderId="12" xfId="0" applyNumberFormat="1" applyFont="1" applyFill="1" applyBorder="1" applyAlignment="1">
      <alignment horizontal="left" vertical="center" indent="1" shrinkToFit="1"/>
    </xf>
    <xf numFmtId="164" fontId="2" fillId="0" borderId="13" xfId="0" applyNumberFormat="1" applyFont="1" applyFill="1" applyBorder="1" applyAlignment="1">
      <alignment horizontal="left" vertical="center" indent="1" shrinkToFit="1"/>
    </xf>
    <xf numFmtId="0" fontId="1" fillId="0" borderId="4" xfId="0" applyFont="1" applyFill="1" applyBorder="1" applyAlignment="1">
      <alignment horizontal="left" vertical="center" wrapText="1" indent="5"/>
    </xf>
    <xf numFmtId="0" fontId="1" fillId="0" borderId="12" xfId="0" applyFont="1" applyFill="1" applyBorder="1" applyAlignment="1">
      <alignment horizontal="left" vertical="center" wrapText="1" indent="5"/>
    </xf>
    <xf numFmtId="0" fontId="1" fillId="0" borderId="13" xfId="0" applyFont="1" applyFill="1" applyBorder="1" applyAlignment="1">
      <alignment horizontal="left" vertical="center" wrapText="1" indent="5"/>
    </xf>
    <xf numFmtId="0" fontId="0" fillId="0" borderId="4" xfId="0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center" wrapText="1" indent="2"/>
    </xf>
    <xf numFmtId="0" fontId="0" fillId="0" borderId="12" xfId="0" applyFill="1" applyBorder="1" applyAlignment="1">
      <alignment horizontal="left" vertical="center" wrapText="1" indent="2"/>
    </xf>
    <xf numFmtId="0" fontId="0" fillId="0" borderId="13" xfId="0" applyFill="1" applyBorder="1" applyAlignment="1">
      <alignment horizontal="left" vertical="center" wrapText="1" indent="2"/>
    </xf>
    <xf numFmtId="0" fontId="1" fillId="0" borderId="4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left" vertical="top" wrapText="1" indent="4"/>
    </xf>
    <xf numFmtId="0" fontId="1" fillId="0" borderId="10" xfId="0" applyFont="1" applyFill="1" applyBorder="1" applyAlignment="1">
      <alignment horizontal="left" vertical="top" wrapText="1" indent="4"/>
    </xf>
    <xf numFmtId="0" fontId="1" fillId="0" borderId="8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left" vertical="top" wrapText="1" indent="6"/>
    </xf>
    <xf numFmtId="0" fontId="1" fillId="0" borderId="10" xfId="0" applyFont="1" applyFill="1" applyBorder="1" applyAlignment="1">
      <alignment horizontal="left" vertical="top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6"/>
  <sheetViews>
    <sheetView tabSelected="1" zoomScale="85" zoomScaleNormal="85" workbookViewId="0">
      <pane xSplit="4" ySplit="7" topLeftCell="E288" activePane="bottomRight" state="frozen"/>
      <selection pane="topRight" activeCell="E1" sqref="E1"/>
      <selection pane="bottomLeft" activeCell="A6" sqref="A6"/>
      <selection pane="bottomRight" activeCell="F290" sqref="F290:F294"/>
    </sheetView>
  </sheetViews>
  <sheetFormatPr defaultRowHeight="13.2" x14ac:dyDescent="0.25"/>
  <cols>
    <col min="1" max="1" width="6.88671875" customWidth="1"/>
    <col min="2" max="2" width="19.77734375" customWidth="1"/>
    <col min="3" max="3" width="31.33203125" customWidth="1"/>
    <col min="4" max="4" width="11.5546875" customWidth="1"/>
    <col min="5" max="5" width="42" customWidth="1"/>
    <col min="6" max="6" width="11.5546875" customWidth="1"/>
    <col min="7" max="7" width="23.33203125" customWidth="1"/>
    <col min="8" max="9" width="11.5546875" customWidth="1"/>
  </cols>
  <sheetData>
    <row r="1" spans="1:9" x14ac:dyDescent="0.25">
      <c r="C1" s="48" t="s">
        <v>148</v>
      </c>
      <c r="D1" s="48">
        <f>SUM(D$8:D$387)</f>
        <v>550.81999999999982</v>
      </c>
      <c r="E1" s="48"/>
      <c r="F1" s="48">
        <f>SUM(F$8:F$387)</f>
        <v>2851.9199999999992</v>
      </c>
      <c r="G1" s="48"/>
      <c r="H1" s="48">
        <f>SUM(H$8:H$387)</f>
        <v>813.92000000000007</v>
      </c>
      <c r="I1" s="48">
        <f>SUM(I$8:I$387)</f>
        <v>480.18999999999988</v>
      </c>
    </row>
    <row r="2" spans="1:9" x14ac:dyDescent="0.25">
      <c r="C2" s="48" t="s">
        <v>149</v>
      </c>
      <c r="D2" s="48">
        <f>SUBTOTAL(9,D$8:D$387)</f>
        <v>550.81999999999982</v>
      </c>
      <c r="E2" s="48"/>
      <c r="F2" s="48">
        <f>SUBTOTAL(9,F$8:F$387)</f>
        <v>2851.9199999999992</v>
      </c>
      <c r="G2" s="48"/>
      <c r="H2" s="48">
        <f>SUBTOTAL(9,H$8:H$387)</f>
        <v>813.92000000000007</v>
      </c>
      <c r="I2" s="48">
        <f>SUBTOTAL(9,I$8:I$387)</f>
        <v>480.18999999999988</v>
      </c>
    </row>
    <row r="3" spans="1:9" ht="10.95" customHeight="1" x14ac:dyDescent="0.25">
      <c r="A3" s="149" t="s">
        <v>0</v>
      </c>
      <c r="B3" s="150"/>
      <c r="C3" s="150"/>
      <c r="D3" s="150"/>
      <c r="E3" s="150"/>
      <c r="F3" s="150"/>
      <c r="G3" s="150"/>
      <c r="H3" s="150"/>
      <c r="I3" s="151"/>
    </row>
    <row r="4" spans="1:9" ht="13.95" customHeight="1" x14ac:dyDescent="0.25">
      <c r="A4" s="152"/>
      <c r="B4" s="153"/>
      <c r="C4" s="153"/>
      <c r="D4" s="153"/>
      <c r="E4" s="153"/>
      <c r="F4" s="153"/>
      <c r="G4" s="153"/>
      <c r="H4" s="153"/>
      <c r="I4" s="154"/>
    </row>
    <row r="5" spans="1:9" ht="21" customHeight="1" x14ac:dyDescent="0.25">
      <c r="A5" s="155" t="s">
        <v>1</v>
      </c>
      <c r="B5" s="156"/>
      <c r="C5" s="157" t="s">
        <v>2</v>
      </c>
      <c r="D5" s="158"/>
      <c r="E5" s="159" t="s">
        <v>3</v>
      </c>
      <c r="F5" s="160"/>
      <c r="G5" s="157" t="s">
        <v>4</v>
      </c>
      <c r="H5" s="158"/>
      <c r="I5" s="2"/>
    </row>
    <row r="6" spans="1:9" ht="30" customHeight="1" x14ac:dyDescent="0.25">
      <c r="A6" s="126" t="s">
        <v>5</v>
      </c>
      <c r="B6" s="126" t="s">
        <v>6</v>
      </c>
      <c r="C6" s="138" t="s">
        <v>7</v>
      </c>
      <c r="D6" s="147" t="s">
        <v>8</v>
      </c>
      <c r="E6" s="108" t="s">
        <v>7</v>
      </c>
      <c r="F6" s="147" t="s">
        <v>9</v>
      </c>
      <c r="G6" s="117" t="s">
        <v>7</v>
      </c>
      <c r="H6" s="147" t="s">
        <v>9</v>
      </c>
      <c r="I6" s="73" t="s">
        <v>10</v>
      </c>
    </row>
    <row r="7" spans="1:9" ht="16.05" customHeight="1" x14ac:dyDescent="0.25">
      <c r="A7" s="128"/>
      <c r="B7" s="128"/>
      <c r="C7" s="140"/>
      <c r="D7" s="148"/>
      <c r="E7" s="110"/>
      <c r="F7" s="148"/>
      <c r="G7" s="119"/>
      <c r="H7" s="148"/>
      <c r="I7" s="75"/>
    </row>
    <row r="8" spans="1:9" ht="27" customHeight="1" x14ac:dyDescent="0.25">
      <c r="A8" s="111" t="s">
        <v>18</v>
      </c>
      <c r="B8" s="144" t="s">
        <v>19</v>
      </c>
      <c r="C8" s="138" t="s">
        <v>20</v>
      </c>
      <c r="D8" s="108" t="s">
        <v>16</v>
      </c>
      <c r="E8" s="3" t="s">
        <v>14</v>
      </c>
      <c r="F8" s="4">
        <v>8.2899999999999991</v>
      </c>
      <c r="G8" s="114" t="s">
        <v>20</v>
      </c>
      <c r="H8" s="120">
        <v>15.25</v>
      </c>
      <c r="I8" s="108" t="s">
        <v>16</v>
      </c>
    </row>
    <row r="9" spans="1:9" ht="75" customHeight="1" x14ac:dyDescent="0.25">
      <c r="A9" s="112"/>
      <c r="B9" s="145"/>
      <c r="C9" s="139"/>
      <c r="D9" s="109"/>
      <c r="E9" s="73" t="s">
        <v>21</v>
      </c>
      <c r="F9" s="120">
        <v>26.3</v>
      </c>
      <c r="G9" s="115"/>
      <c r="H9" s="121"/>
      <c r="I9" s="109"/>
    </row>
    <row r="10" spans="1:9" ht="27" customHeight="1" x14ac:dyDescent="0.25">
      <c r="A10" s="112"/>
      <c r="B10" s="145"/>
      <c r="C10" s="139"/>
      <c r="D10" s="109"/>
      <c r="E10" s="74"/>
      <c r="F10" s="121"/>
      <c r="G10" s="115"/>
      <c r="H10" s="121"/>
      <c r="I10" s="109"/>
    </row>
    <row r="11" spans="1:9" ht="111.6" customHeight="1" x14ac:dyDescent="0.25">
      <c r="A11" s="113"/>
      <c r="B11" s="146"/>
      <c r="C11" s="140"/>
      <c r="D11" s="110"/>
      <c r="E11" s="75"/>
      <c r="F11" s="122"/>
      <c r="G11" s="116"/>
      <c r="H11" s="122"/>
      <c r="I11" s="110"/>
    </row>
    <row r="12" spans="1:9" ht="27" customHeight="1" x14ac:dyDescent="0.25">
      <c r="A12" s="111" t="s">
        <v>25</v>
      </c>
      <c r="B12" s="117" t="s">
        <v>26</v>
      </c>
      <c r="C12" s="138" t="s">
        <v>20</v>
      </c>
      <c r="D12" s="108" t="s">
        <v>16</v>
      </c>
      <c r="E12" s="3" t="s">
        <v>14</v>
      </c>
      <c r="F12" s="4">
        <v>11.54</v>
      </c>
      <c r="G12" s="144" t="s">
        <v>27</v>
      </c>
      <c r="H12" s="120">
        <v>15.16</v>
      </c>
      <c r="I12" s="108" t="s">
        <v>16</v>
      </c>
    </row>
    <row r="13" spans="1:9" ht="76.05" customHeight="1" x14ac:dyDescent="0.25">
      <c r="A13" s="112"/>
      <c r="B13" s="118"/>
      <c r="C13" s="139"/>
      <c r="D13" s="109"/>
      <c r="E13" s="73" t="s">
        <v>21</v>
      </c>
      <c r="F13" s="120">
        <v>36.630000000000003</v>
      </c>
      <c r="G13" s="145"/>
      <c r="H13" s="121"/>
      <c r="I13" s="109"/>
    </row>
    <row r="14" spans="1:9" ht="31.95" customHeight="1" x14ac:dyDescent="0.25">
      <c r="A14" s="113"/>
      <c r="B14" s="119"/>
      <c r="C14" s="140"/>
      <c r="D14" s="110"/>
      <c r="E14" s="75"/>
      <c r="F14" s="122"/>
      <c r="G14" s="146"/>
      <c r="H14" s="122"/>
      <c r="I14" s="110"/>
    </row>
    <row r="15" spans="1:9" ht="40.950000000000003" customHeight="1" x14ac:dyDescent="0.25">
      <c r="A15" s="111" t="s">
        <v>29</v>
      </c>
      <c r="B15" s="111" t="s">
        <v>30</v>
      </c>
      <c r="C15" s="138" t="s">
        <v>20</v>
      </c>
      <c r="D15" s="108" t="s">
        <v>16</v>
      </c>
      <c r="E15" s="73" t="s">
        <v>31</v>
      </c>
      <c r="F15" s="120">
        <v>38.24</v>
      </c>
      <c r="G15" s="141" t="s">
        <v>27</v>
      </c>
      <c r="H15" s="120">
        <v>7.95</v>
      </c>
      <c r="I15" s="108" t="s">
        <v>16</v>
      </c>
    </row>
    <row r="16" spans="1:9" ht="27" customHeight="1" x14ac:dyDescent="0.25">
      <c r="A16" s="112"/>
      <c r="B16" s="112"/>
      <c r="C16" s="139"/>
      <c r="D16" s="109"/>
      <c r="E16" s="74"/>
      <c r="F16" s="121"/>
      <c r="G16" s="142"/>
      <c r="H16" s="121"/>
      <c r="I16" s="109"/>
    </row>
    <row r="17" spans="1:9" ht="28.95" customHeight="1" x14ac:dyDescent="0.25">
      <c r="A17" s="113"/>
      <c r="B17" s="113"/>
      <c r="C17" s="140"/>
      <c r="D17" s="110"/>
      <c r="E17" s="75"/>
      <c r="F17" s="122"/>
      <c r="G17" s="143"/>
      <c r="H17" s="122"/>
      <c r="I17" s="110"/>
    </row>
    <row r="18" spans="1:9" ht="67.95" customHeight="1" x14ac:dyDescent="0.25">
      <c r="A18" s="111" t="s">
        <v>34</v>
      </c>
      <c r="B18" s="126" t="s">
        <v>35</v>
      </c>
      <c r="C18" s="92" t="s">
        <v>36</v>
      </c>
      <c r="D18" s="120">
        <v>6.25</v>
      </c>
      <c r="E18" s="73" t="s">
        <v>31</v>
      </c>
      <c r="F18" s="120">
        <v>30.04</v>
      </c>
      <c r="G18" s="84" t="s">
        <v>37</v>
      </c>
      <c r="H18" s="120">
        <v>6.25</v>
      </c>
      <c r="I18" s="108" t="s">
        <v>16</v>
      </c>
    </row>
    <row r="19" spans="1:9" ht="28.05" customHeight="1" x14ac:dyDescent="0.25">
      <c r="A19" s="112"/>
      <c r="B19" s="127"/>
      <c r="C19" s="93"/>
      <c r="D19" s="121"/>
      <c r="E19" s="75"/>
      <c r="F19" s="122"/>
      <c r="G19" s="85"/>
      <c r="H19" s="121"/>
      <c r="I19" s="109"/>
    </row>
    <row r="20" spans="1:9" ht="51.45" customHeight="1" x14ac:dyDescent="0.25">
      <c r="A20" s="112"/>
      <c r="B20" s="127"/>
      <c r="C20" s="93"/>
      <c r="D20" s="121"/>
      <c r="E20" s="73" t="s">
        <v>38</v>
      </c>
      <c r="F20" s="120">
        <v>3.09</v>
      </c>
      <c r="G20" s="85"/>
      <c r="H20" s="121"/>
      <c r="I20" s="109"/>
    </row>
    <row r="21" spans="1:9" ht="16.05" customHeight="1" x14ac:dyDescent="0.25">
      <c r="A21" s="113"/>
      <c r="B21" s="128"/>
      <c r="C21" s="94"/>
      <c r="D21" s="122"/>
      <c r="E21" s="75"/>
      <c r="F21" s="122"/>
      <c r="G21" s="86"/>
      <c r="H21" s="122"/>
      <c r="I21" s="110"/>
    </row>
    <row r="22" spans="1:9" ht="10.95" customHeight="1" x14ac:dyDescent="0.25">
      <c r="A22" s="111" t="s">
        <v>41</v>
      </c>
      <c r="B22" s="126" t="s">
        <v>42</v>
      </c>
      <c r="C22" s="92" t="s">
        <v>13</v>
      </c>
      <c r="D22" s="120">
        <v>27.47</v>
      </c>
      <c r="E22" s="73" t="s">
        <v>14</v>
      </c>
      <c r="F22" s="123">
        <v>11.24</v>
      </c>
      <c r="G22" s="73" t="s">
        <v>43</v>
      </c>
      <c r="H22" s="120">
        <v>27.45</v>
      </c>
      <c r="I22" s="132">
        <v>25.8</v>
      </c>
    </row>
    <row r="23" spans="1:9" ht="16.05" customHeight="1" x14ac:dyDescent="0.25">
      <c r="A23" s="112"/>
      <c r="B23" s="127"/>
      <c r="C23" s="93"/>
      <c r="D23" s="121"/>
      <c r="E23" s="75"/>
      <c r="F23" s="125"/>
      <c r="G23" s="74"/>
      <c r="H23" s="121"/>
      <c r="I23" s="133"/>
    </row>
    <row r="24" spans="1:9" ht="91.05" customHeight="1" x14ac:dyDescent="0.25">
      <c r="A24" s="112"/>
      <c r="B24" s="127"/>
      <c r="C24" s="93"/>
      <c r="D24" s="121"/>
      <c r="E24" s="73" t="s">
        <v>17</v>
      </c>
      <c r="F24" s="120">
        <v>27.3</v>
      </c>
      <c r="G24" s="74"/>
      <c r="H24" s="121"/>
      <c r="I24" s="133"/>
    </row>
    <row r="25" spans="1:9" ht="16.95" customHeight="1" x14ac:dyDescent="0.25">
      <c r="A25" s="112"/>
      <c r="B25" s="127"/>
      <c r="C25" s="93"/>
      <c r="D25" s="121"/>
      <c r="E25" s="75"/>
      <c r="F25" s="122"/>
      <c r="G25" s="74"/>
      <c r="H25" s="121"/>
      <c r="I25" s="133"/>
    </row>
    <row r="26" spans="1:9" ht="27.3" customHeight="1" x14ac:dyDescent="0.25">
      <c r="A26" s="112"/>
      <c r="B26" s="127"/>
      <c r="C26" s="93"/>
      <c r="D26" s="121"/>
      <c r="E26" s="73" t="s">
        <v>38</v>
      </c>
      <c r="F26" s="120">
        <v>43.19</v>
      </c>
      <c r="G26" s="74"/>
      <c r="H26" s="121"/>
      <c r="I26" s="133"/>
    </row>
    <row r="27" spans="1:9" ht="28.95" customHeight="1" x14ac:dyDescent="0.25">
      <c r="A27" s="112"/>
      <c r="B27" s="127"/>
      <c r="C27" s="93"/>
      <c r="D27" s="121"/>
      <c r="E27" s="74"/>
      <c r="F27" s="121"/>
      <c r="G27" s="74"/>
      <c r="H27" s="121"/>
      <c r="I27" s="133"/>
    </row>
    <row r="28" spans="1:9" ht="6" customHeight="1" x14ac:dyDescent="0.25">
      <c r="A28" s="112"/>
      <c r="B28" s="127"/>
      <c r="C28" s="93"/>
      <c r="D28" s="121"/>
      <c r="E28" s="74"/>
      <c r="F28" s="121"/>
      <c r="G28" s="74"/>
      <c r="H28" s="121"/>
      <c r="I28" s="133"/>
    </row>
    <row r="29" spans="1:9" ht="5.25" customHeight="1" x14ac:dyDescent="0.25">
      <c r="A29" s="113"/>
      <c r="B29" s="128"/>
      <c r="C29" s="94"/>
      <c r="D29" s="122"/>
      <c r="E29" s="75"/>
      <c r="F29" s="122"/>
      <c r="G29" s="75"/>
      <c r="H29" s="122"/>
      <c r="I29" s="134"/>
    </row>
    <row r="30" spans="1:9" ht="27" customHeight="1" x14ac:dyDescent="0.25">
      <c r="A30" s="111" t="s">
        <v>46</v>
      </c>
      <c r="B30" s="114" t="s">
        <v>47</v>
      </c>
      <c r="C30" s="61" t="s">
        <v>13</v>
      </c>
      <c r="D30" s="120">
        <v>1.97</v>
      </c>
      <c r="E30" s="3" t="s">
        <v>14</v>
      </c>
      <c r="F30" s="4">
        <v>5.66</v>
      </c>
      <c r="G30" s="73" t="s">
        <v>15</v>
      </c>
      <c r="H30" s="120">
        <v>1.97</v>
      </c>
      <c r="I30" s="108" t="s">
        <v>16</v>
      </c>
    </row>
    <row r="31" spans="1:9" ht="61.95" customHeight="1" x14ac:dyDescent="0.25">
      <c r="A31" s="112"/>
      <c r="B31" s="115"/>
      <c r="C31" s="62"/>
      <c r="D31" s="121"/>
      <c r="E31" s="73" t="s">
        <v>28</v>
      </c>
      <c r="F31" s="120">
        <v>16.11</v>
      </c>
      <c r="G31" s="74"/>
      <c r="H31" s="121"/>
      <c r="I31" s="109"/>
    </row>
    <row r="32" spans="1:9" ht="5.25" customHeight="1" x14ac:dyDescent="0.25">
      <c r="A32" s="112"/>
      <c r="B32" s="115"/>
      <c r="C32" s="62"/>
      <c r="D32" s="121"/>
      <c r="E32" s="74"/>
      <c r="F32" s="121"/>
      <c r="G32" s="74"/>
      <c r="H32" s="121"/>
      <c r="I32" s="109"/>
    </row>
    <row r="33" spans="1:9" ht="8.25" customHeight="1" x14ac:dyDescent="0.25">
      <c r="A33" s="113"/>
      <c r="B33" s="116"/>
      <c r="C33" s="63"/>
      <c r="D33" s="122"/>
      <c r="E33" s="75"/>
      <c r="F33" s="122"/>
      <c r="G33" s="75"/>
      <c r="H33" s="122"/>
      <c r="I33" s="110"/>
    </row>
    <row r="34" spans="1:9" ht="27" customHeight="1" x14ac:dyDescent="0.25">
      <c r="A34" s="111" t="s">
        <v>48</v>
      </c>
      <c r="B34" s="114" t="s">
        <v>49</v>
      </c>
      <c r="C34" s="61" t="s">
        <v>13</v>
      </c>
      <c r="D34" s="120">
        <v>2.13</v>
      </c>
      <c r="E34" s="3" t="s">
        <v>14</v>
      </c>
      <c r="F34" s="4">
        <v>5.29</v>
      </c>
      <c r="G34" s="73" t="s">
        <v>15</v>
      </c>
      <c r="H34" s="120">
        <v>2.13</v>
      </c>
      <c r="I34" s="108" t="s">
        <v>16</v>
      </c>
    </row>
    <row r="35" spans="1:9" ht="18" customHeight="1" x14ac:dyDescent="0.25">
      <c r="A35" s="112"/>
      <c r="B35" s="115"/>
      <c r="C35" s="62"/>
      <c r="D35" s="121"/>
      <c r="E35" s="73" t="s">
        <v>28</v>
      </c>
      <c r="F35" s="120">
        <v>14.93</v>
      </c>
      <c r="G35" s="74"/>
      <c r="H35" s="121"/>
      <c r="I35" s="109"/>
    </row>
    <row r="36" spans="1:9" ht="55.05" customHeight="1" x14ac:dyDescent="0.25">
      <c r="A36" s="113"/>
      <c r="B36" s="116"/>
      <c r="C36" s="63"/>
      <c r="D36" s="122"/>
      <c r="E36" s="75"/>
      <c r="F36" s="122"/>
      <c r="G36" s="75"/>
      <c r="H36" s="122"/>
      <c r="I36" s="110"/>
    </row>
    <row r="37" spans="1:9" ht="16.05" customHeight="1" x14ac:dyDescent="0.25">
      <c r="A37" s="111" t="s">
        <v>50</v>
      </c>
      <c r="B37" s="126" t="s">
        <v>51</v>
      </c>
      <c r="C37" s="92" t="s">
        <v>13</v>
      </c>
      <c r="D37" s="120">
        <v>4.71</v>
      </c>
      <c r="E37" s="73" t="s">
        <v>14</v>
      </c>
      <c r="F37" s="123">
        <v>5.46</v>
      </c>
      <c r="G37" s="73" t="s">
        <v>15</v>
      </c>
      <c r="H37" s="120">
        <v>4.71</v>
      </c>
      <c r="I37" s="108" t="s">
        <v>16</v>
      </c>
    </row>
    <row r="38" spans="1:9" ht="10.95" customHeight="1" x14ac:dyDescent="0.25">
      <c r="A38" s="112"/>
      <c r="B38" s="127"/>
      <c r="C38" s="93"/>
      <c r="D38" s="121"/>
      <c r="E38" s="75"/>
      <c r="F38" s="125"/>
      <c r="G38" s="74"/>
      <c r="H38" s="121"/>
      <c r="I38" s="109"/>
    </row>
    <row r="39" spans="1:9" ht="40.950000000000003" customHeight="1" x14ac:dyDescent="0.25">
      <c r="A39" s="112"/>
      <c r="B39" s="127"/>
      <c r="C39" s="93"/>
      <c r="D39" s="121"/>
      <c r="E39" s="73" t="s">
        <v>17</v>
      </c>
      <c r="F39" s="120">
        <v>15.28</v>
      </c>
      <c r="G39" s="74"/>
      <c r="H39" s="121"/>
      <c r="I39" s="109"/>
    </row>
    <row r="40" spans="1:9" ht="15" customHeight="1" x14ac:dyDescent="0.25">
      <c r="A40" s="112"/>
      <c r="B40" s="127"/>
      <c r="C40" s="93"/>
      <c r="D40" s="121"/>
      <c r="E40" s="74"/>
      <c r="F40" s="121"/>
      <c r="G40" s="74"/>
      <c r="H40" s="121"/>
      <c r="I40" s="109"/>
    </row>
    <row r="41" spans="1:9" ht="15" customHeight="1" x14ac:dyDescent="0.25">
      <c r="A41" s="112"/>
      <c r="B41" s="127"/>
      <c r="C41" s="93"/>
      <c r="D41" s="121"/>
      <c r="E41" s="74"/>
      <c r="F41" s="121"/>
      <c r="G41" s="74"/>
      <c r="H41" s="121"/>
      <c r="I41" s="109"/>
    </row>
    <row r="42" spans="1:9" ht="15" customHeight="1" x14ac:dyDescent="0.25">
      <c r="A42" s="112"/>
      <c r="B42" s="127"/>
      <c r="C42" s="93"/>
      <c r="D42" s="121"/>
      <c r="E42" s="74"/>
      <c r="F42" s="121"/>
      <c r="G42" s="74"/>
      <c r="H42" s="121"/>
      <c r="I42" s="109"/>
    </row>
    <row r="43" spans="1:9" ht="15" customHeight="1" x14ac:dyDescent="0.25">
      <c r="A43" s="112"/>
      <c r="B43" s="127"/>
      <c r="C43" s="93"/>
      <c r="D43" s="121"/>
      <c r="E43" s="74"/>
      <c r="F43" s="121"/>
      <c r="G43" s="74"/>
      <c r="H43" s="121"/>
      <c r="I43" s="109"/>
    </row>
    <row r="44" spans="1:9" ht="7.95" customHeight="1" x14ac:dyDescent="0.25">
      <c r="A44" s="112"/>
      <c r="B44" s="127"/>
      <c r="C44" s="93"/>
      <c r="D44" s="121"/>
      <c r="E44" s="75"/>
      <c r="F44" s="122"/>
      <c r="G44" s="74"/>
      <c r="H44" s="121"/>
      <c r="I44" s="109"/>
    </row>
    <row r="45" spans="1:9" ht="9" customHeight="1" x14ac:dyDescent="0.25">
      <c r="A45" s="112"/>
      <c r="B45" s="127"/>
      <c r="C45" s="93"/>
      <c r="D45" s="121"/>
      <c r="E45" s="73" t="s">
        <v>38</v>
      </c>
      <c r="F45" s="120">
        <v>8.57</v>
      </c>
      <c r="G45" s="74"/>
      <c r="H45" s="121"/>
      <c r="I45" s="109"/>
    </row>
    <row r="46" spans="1:9" ht="15" customHeight="1" x14ac:dyDescent="0.25">
      <c r="A46" s="112"/>
      <c r="B46" s="127"/>
      <c r="C46" s="93"/>
      <c r="D46" s="121"/>
      <c r="E46" s="74"/>
      <c r="F46" s="121"/>
      <c r="G46" s="74"/>
      <c r="H46" s="121"/>
      <c r="I46" s="109"/>
    </row>
    <row r="47" spans="1:9" ht="15" customHeight="1" x14ac:dyDescent="0.25">
      <c r="A47" s="112"/>
      <c r="B47" s="127"/>
      <c r="C47" s="93"/>
      <c r="D47" s="121"/>
      <c r="E47" s="74"/>
      <c r="F47" s="121"/>
      <c r="G47" s="74"/>
      <c r="H47" s="121"/>
      <c r="I47" s="109"/>
    </row>
    <row r="48" spans="1:9" ht="13.95" customHeight="1" x14ac:dyDescent="0.25">
      <c r="A48" s="112"/>
      <c r="B48" s="127"/>
      <c r="C48" s="93"/>
      <c r="D48" s="121"/>
      <c r="E48" s="74"/>
      <c r="F48" s="121"/>
      <c r="G48" s="74"/>
      <c r="H48" s="121"/>
      <c r="I48" s="109"/>
    </row>
    <row r="49" spans="1:9" ht="14.55" customHeight="1" x14ac:dyDescent="0.25">
      <c r="A49" s="113"/>
      <c r="B49" s="128"/>
      <c r="C49" s="94"/>
      <c r="D49" s="122"/>
      <c r="E49" s="75"/>
      <c r="F49" s="122"/>
      <c r="G49" s="75"/>
      <c r="H49" s="122"/>
      <c r="I49" s="110"/>
    </row>
    <row r="50" spans="1:9" ht="34.799999999999997" customHeight="1" x14ac:dyDescent="0.25">
      <c r="A50" s="111" t="s">
        <v>11</v>
      </c>
      <c r="B50" s="108" t="s">
        <v>12</v>
      </c>
      <c r="C50" s="92" t="s">
        <v>13</v>
      </c>
      <c r="D50" s="120">
        <v>5.12</v>
      </c>
      <c r="E50" s="6" t="s">
        <v>14</v>
      </c>
      <c r="F50" s="13">
        <v>8.24</v>
      </c>
      <c r="G50" s="73" t="s">
        <v>15</v>
      </c>
      <c r="H50" s="120">
        <v>5.12</v>
      </c>
      <c r="I50" s="20" t="s">
        <v>16</v>
      </c>
    </row>
    <row r="51" spans="1:9" ht="34.799999999999997" customHeight="1" x14ac:dyDescent="0.25">
      <c r="A51" s="112"/>
      <c r="B51" s="109"/>
      <c r="C51" s="93"/>
      <c r="D51" s="121"/>
      <c r="E51" s="7" t="s">
        <v>17</v>
      </c>
      <c r="F51" s="14">
        <v>24.02</v>
      </c>
      <c r="G51" s="74"/>
      <c r="H51" s="121"/>
      <c r="I51" s="21"/>
    </row>
    <row r="52" spans="1:9" ht="34.799999999999997" customHeight="1" x14ac:dyDescent="0.25">
      <c r="A52" s="112"/>
      <c r="B52" s="109"/>
      <c r="C52" s="93"/>
      <c r="D52" s="121"/>
      <c r="E52" s="8"/>
      <c r="F52" s="15"/>
      <c r="G52" s="74"/>
      <c r="H52" s="121"/>
      <c r="I52" s="21"/>
    </row>
    <row r="53" spans="1:9" ht="34.799999999999997" customHeight="1" x14ac:dyDescent="0.25">
      <c r="A53" s="113"/>
      <c r="B53" s="110"/>
      <c r="C53" s="94"/>
      <c r="D53" s="122"/>
      <c r="E53" s="9"/>
      <c r="F53" s="16"/>
      <c r="G53" s="75"/>
      <c r="H53" s="122"/>
      <c r="I53" s="22"/>
    </row>
    <row r="54" spans="1:9" ht="34.799999999999997" customHeight="1" x14ac:dyDescent="0.25">
      <c r="A54" s="111" t="s">
        <v>22</v>
      </c>
      <c r="B54" s="117" t="s">
        <v>23</v>
      </c>
      <c r="C54" s="92" t="s">
        <v>13</v>
      </c>
      <c r="D54" s="120">
        <v>7.68</v>
      </c>
      <c r="E54" s="6" t="s">
        <v>14</v>
      </c>
      <c r="F54" s="17">
        <v>6.7</v>
      </c>
      <c r="G54" s="84" t="s">
        <v>15</v>
      </c>
      <c r="H54" s="120">
        <v>7.68</v>
      </c>
      <c r="I54" s="20" t="s">
        <v>16</v>
      </c>
    </row>
    <row r="55" spans="1:9" ht="34.799999999999997" customHeight="1" x14ac:dyDescent="0.25">
      <c r="A55" s="112"/>
      <c r="B55" s="118"/>
      <c r="C55" s="93"/>
      <c r="D55" s="121"/>
      <c r="E55" s="7" t="s">
        <v>24</v>
      </c>
      <c r="F55" s="14">
        <v>19.170000000000002</v>
      </c>
      <c r="G55" s="85"/>
      <c r="H55" s="121"/>
      <c r="I55" s="21"/>
    </row>
    <row r="56" spans="1:9" ht="34.799999999999997" customHeight="1" x14ac:dyDescent="0.25">
      <c r="A56" s="112"/>
      <c r="B56" s="118"/>
      <c r="C56" s="93"/>
      <c r="D56" s="121"/>
      <c r="E56" s="8"/>
      <c r="F56" s="15"/>
      <c r="G56" s="85"/>
      <c r="H56" s="121"/>
      <c r="I56" s="21"/>
    </row>
    <row r="57" spans="1:9" ht="34.799999999999997" customHeight="1" x14ac:dyDescent="0.25">
      <c r="A57" s="112"/>
      <c r="B57" s="118"/>
      <c r="C57" s="93"/>
      <c r="D57" s="121"/>
      <c r="E57" s="9"/>
      <c r="F57" s="16"/>
      <c r="G57" s="85"/>
      <c r="H57" s="121"/>
      <c r="I57" s="21"/>
    </row>
    <row r="58" spans="1:9" ht="34.799999999999997" customHeight="1" x14ac:dyDescent="0.25">
      <c r="A58" s="112"/>
      <c r="B58" s="118"/>
      <c r="C58" s="93"/>
      <c r="D58" s="121"/>
      <c r="E58" s="7" t="s">
        <v>28</v>
      </c>
      <c r="F58" s="14">
        <v>13.13</v>
      </c>
      <c r="G58" s="85"/>
      <c r="H58" s="121"/>
      <c r="I58" s="21"/>
    </row>
    <row r="59" spans="1:9" ht="34.799999999999997" customHeight="1" x14ac:dyDescent="0.25">
      <c r="A59" s="113"/>
      <c r="B59" s="119"/>
      <c r="C59" s="94"/>
      <c r="D59" s="122"/>
      <c r="E59" s="9"/>
      <c r="F59" s="16"/>
      <c r="G59" s="86"/>
      <c r="H59" s="122"/>
      <c r="I59" s="22"/>
    </row>
    <row r="60" spans="1:9" ht="34.799999999999997" customHeight="1" x14ac:dyDescent="0.25">
      <c r="A60" s="111" t="s">
        <v>32</v>
      </c>
      <c r="B60" s="114" t="s">
        <v>33</v>
      </c>
      <c r="C60" s="92" t="s">
        <v>13</v>
      </c>
      <c r="D60" s="120">
        <v>4.97</v>
      </c>
      <c r="E60" s="6" t="s">
        <v>14</v>
      </c>
      <c r="F60" s="17">
        <v>7.55</v>
      </c>
      <c r="G60" s="73" t="s">
        <v>15</v>
      </c>
      <c r="H60" s="120">
        <v>4.97</v>
      </c>
      <c r="I60" s="20" t="s">
        <v>16</v>
      </c>
    </row>
    <row r="61" spans="1:9" ht="34.799999999999997" customHeight="1" x14ac:dyDescent="0.25">
      <c r="A61" s="112"/>
      <c r="B61" s="115"/>
      <c r="C61" s="93"/>
      <c r="D61" s="121"/>
      <c r="E61" s="7" t="s">
        <v>24</v>
      </c>
      <c r="F61" s="14">
        <v>21.83</v>
      </c>
      <c r="G61" s="74"/>
      <c r="H61" s="121"/>
      <c r="I61" s="21"/>
    </row>
    <row r="62" spans="1:9" ht="34.799999999999997" customHeight="1" x14ac:dyDescent="0.25">
      <c r="A62" s="112"/>
      <c r="B62" s="115"/>
      <c r="C62" s="93"/>
      <c r="D62" s="121"/>
      <c r="E62" s="9"/>
      <c r="F62" s="16"/>
      <c r="G62" s="74"/>
      <c r="H62" s="121"/>
      <c r="I62" s="21"/>
    </row>
    <row r="63" spans="1:9" ht="34.799999999999997" customHeight="1" x14ac:dyDescent="0.25">
      <c r="A63" s="112"/>
      <c r="B63" s="115"/>
      <c r="C63" s="93"/>
      <c r="D63" s="121"/>
      <c r="E63" s="7" t="s">
        <v>28</v>
      </c>
      <c r="F63" s="14">
        <v>4.09</v>
      </c>
      <c r="G63" s="74"/>
      <c r="H63" s="121"/>
      <c r="I63" s="21"/>
    </row>
    <row r="64" spans="1:9" ht="34.799999999999997" customHeight="1" x14ac:dyDescent="0.25">
      <c r="A64" s="113"/>
      <c r="B64" s="116"/>
      <c r="C64" s="94"/>
      <c r="D64" s="122"/>
      <c r="E64" s="9"/>
      <c r="F64" s="16"/>
      <c r="G64" s="75"/>
      <c r="H64" s="122"/>
      <c r="I64" s="22"/>
    </row>
    <row r="65" spans="1:9" ht="34.799999999999997" customHeight="1" x14ac:dyDescent="0.25">
      <c r="A65" s="111" t="s">
        <v>39</v>
      </c>
      <c r="B65" s="114" t="s">
        <v>40</v>
      </c>
      <c r="C65" s="92" t="s">
        <v>13</v>
      </c>
      <c r="D65" s="120">
        <v>4.57</v>
      </c>
      <c r="E65" s="7" t="s">
        <v>14</v>
      </c>
      <c r="F65" s="18">
        <v>7.57</v>
      </c>
      <c r="G65" s="73" t="s">
        <v>15</v>
      </c>
      <c r="H65" s="120">
        <v>4.57</v>
      </c>
      <c r="I65" s="20" t="s">
        <v>16</v>
      </c>
    </row>
    <row r="66" spans="1:9" ht="34.799999999999997" customHeight="1" x14ac:dyDescent="0.25">
      <c r="A66" s="112"/>
      <c r="B66" s="115"/>
      <c r="C66" s="93"/>
      <c r="D66" s="121"/>
      <c r="E66" s="9"/>
      <c r="F66" s="19"/>
      <c r="G66" s="74"/>
      <c r="H66" s="121"/>
      <c r="I66" s="21"/>
    </row>
    <row r="67" spans="1:9" ht="34.799999999999997" customHeight="1" x14ac:dyDescent="0.25">
      <c r="A67" s="112"/>
      <c r="B67" s="115"/>
      <c r="C67" s="93"/>
      <c r="D67" s="121"/>
      <c r="E67" s="7" t="s">
        <v>24</v>
      </c>
      <c r="F67" s="14">
        <v>21.92</v>
      </c>
      <c r="G67" s="74"/>
      <c r="H67" s="121"/>
      <c r="I67" s="21"/>
    </row>
    <row r="68" spans="1:9" ht="34.799999999999997" customHeight="1" x14ac:dyDescent="0.25">
      <c r="A68" s="112"/>
      <c r="B68" s="115"/>
      <c r="C68" s="93"/>
      <c r="D68" s="121"/>
      <c r="E68" s="9"/>
      <c r="F68" s="16"/>
      <c r="G68" s="74"/>
      <c r="H68" s="121"/>
      <c r="I68" s="21"/>
    </row>
    <row r="69" spans="1:9" ht="34.799999999999997" customHeight="1" x14ac:dyDescent="0.25">
      <c r="A69" s="112"/>
      <c r="B69" s="115"/>
      <c r="C69" s="93"/>
      <c r="D69" s="121"/>
      <c r="E69" s="7" t="s">
        <v>28</v>
      </c>
      <c r="F69" s="14">
        <v>4.17</v>
      </c>
      <c r="G69" s="74"/>
      <c r="H69" s="121"/>
      <c r="I69" s="21"/>
    </row>
    <row r="70" spans="1:9" ht="34.799999999999997" customHeight="1" x14ac:dyDescent="0.25">
      <c r="A70" s="112"/>
      <c r="B70" s="115"/>
      <c r="C70" s="93"/>
      <c r="D70" s="121"/>
      <c r="E70" s="8"/>
      <c r="F70" s="15"/>
      <c r="G70" s="74"/>
      <c r="H70" s="121"/>
      <c r="I70" s="21"/>
    </row>
    <row r="71" spans="1:9" ht="34.799999999999997" customHeight="1" x14ac:dyDescent="0.25">
      <c r="A71" s="112"/>
      <c r="B71" s="115"/>
      <c r="C71" s="93"/>
      <c r="D71" s="121"/>
      <c r="E71" s="8"/>
      <c r="F71" s="15"/>
      <c r="G71" s="74"/>
      <c r="H71" s="121"/>
      <c r="I71" s="21"/>
    </row>
    <row r="72" spans="1:9" ht="34.799999999999997" customHeight="1" x14ac:dyDescent="0.25">
      <c r="A72" s="113"/>
      <c r="B72" s="116"/>
      <c r="C72" s="94"/>
      <c r="D72" s="122"/>
      <c r="E72" s="9"/>
      <c r="F72" s="16"/>
      <c r="G72" s="75"/>
      <c r="H72" s="122"/>
      <c r="I72" s="22"/>
    </row>
    <row r="73" spans="1:9" ht="34.799999999999997" customHeight="1" x14ac:dyDescent="0.25">
      <c r="A73" s="111" t="s">
        <v>44</v>
      </c>
      <c r="B73" s="126" t="s">
        <v>45</v>
      </c>
      <c r="C73" s="138" t="s">
        <v>20</v>
      </c>
      <c r="D73" s="108" t="s">
        <v>16</v>
      </c>
      <c r="E73" s="7" t="s">
        <v>31</v>
      </c>
      <c r="F73" s="14">
        <v>48.23</v>
      </c>
      <c r="G73" s="141" t="s">
        <v>27</v>
      </c>
      <c r="H73" s="120">
        <v>20.88</v>
      </c>
      <c r="I73" s="20" t="s">
        <v>16</v>
      </c>
    </row>
    <row r="74" spans="1:9" ht="34.799999999999997" customHeight="1" x14ac:dyDescent="0.25">
      <c r="A74" s="112"/>
      <c r="B74" s="127"/>
      <c r="C74" s="139"/>
      <c r="D74" s="109"/>
      <c r="E74" s="8"/>
      <c r="F74" s="15"/>
      <c r="G74" s="142"/>
      <c r="H74" s="121"/>
      <c r="I74" s="21"/>
    </row>
    <row r="75" spans="1:9" ht="34.799999999999997" customHeight="1" x14ac:dyDescent="0.25">
      <c r="A75" s="112"/>
      <c r="B75" s="127"/>
      <c r="C75" s="139"/>
      <c r="D75" s="109"/>
      <c r="E75" s="8"/>
      <c r="F75" s="15"/>
      <c r="G75" s="142"/>
      <c r="H75" s="121"/>
      <c r="I75" s="21"/>
    </row>
    <row r="76" spans="1:9" ht="34.799999999999997" customHeight="1" x14ac:dyDescent="0.25">
      <c r="A76" s="113"/>
      <c r="B76" s="128"/>
      <c r="C76" s="140"/>
      <c r="D76" s="110"/>
      <c r="E76" s="9"/>
      <c r="F76" s="16"/>
      <c r="G76" s="143"/>
      <c r="H76" s="122"/>
      <c r="I76" s="22"/>
    </row>
    <row r="77" spans="1:9" x14ac:dyDescent="0.25">
      <c r="A77" s="111" t="s">
        <v>52</v>
      </c>
      <c r="B77" s="111" t="s">
        <v>53</v>
      </c>
      <c r="C77" s="92" t="s">
        <v>36</v>
      </c>
      <c r="D77" s="129">
        <v>11.04</v>
      </c>
      <c r="E77" s="73" t="s">
        <v>31</v>
      </c>
      <c r="F77" s="120">
        <v>31.42</v>
      </c>
      <c r="G77" s="73" t="s">
        <v>66</v>
      </c>
      <c r="H77" s="120">
        <v>11.04</v>
      </c>
      <c r="I77" s="120">
        <v>12.39</v>
      </c>
    </row>
    <row r="78" spans="1:9" x14ac:dyDescent="0.25">
      <c r="A78" s="112"/>
      <c r="B78" s="112"/>
      <c r="C78" s="93"/>
      <c r="D78" s="130"/>
      <c r="E78" s="75"/>
      <c r="F78" s="122"/>
      <c r="G78" s="74"/>
      <c r="H78" s="121"/>
      <c r="I78" s="121"/>
    </row>
    <row r="79" spans="1:9" x14ac:dyDescent="0.25">
      <c r="A79" s="112"/>
      <c r="B79" s="112"/>
      <c r="C79" s="93"/>
      <c r="D79" s="130"/>
      <c r="E79" s="73" t="s">
        <v>38</v>
      </c>
      <c r="F79" s="120">
        <v>12.1</v>
      </c>
      <c r="G79" s="74"/>
      <c r="H79" s="121"/>
      <c r="I79" s="121"/>
    </row>
    <row r="80" spans="1:9" x14ac:dyDescent="0.25">
      <c r="A80" s="112"/>
      <c r="B80" s="112"/>
      <c r="C80" s="93"/>
      <c r="D80" s="130"/>
      <c r="E80" s="74"/>
      <c r="F80" s="121"/>
      <c r="G80" s="74"/>
      <c r="H80" s="121"/>
      <c r="I80" s="121"/>
    </row>
    <row r="81" spans="1:9" x14ac:dyDescent="0.25">
      <c r="A81" s="112"/>
      <c r="B81" s="112"/>
      <c r="C81" s="93"/>
      <c r="D81" s="130"/>
      <c r="E81" s="74"/>
      <c r="F81" s="121"/>
      <c r="G81" s="74"/>
      <c r="H81" s="121"/>
      <c r="I81" s="121"/>
    </row>
    <row r="82" spans="1:9" x14ac:dyDescent="0.25">
      <c r="A82" s="113"/>
      <c r="B82" s="113"/>
      <c r="C82" s="94"/>
      <c r="D82" s="131"/>
      <c r="E82" s="75"/>
      <c r="F82" s="122"/>
      <c r="G82" s="75"/>
      <c r="H82" s="122"/>
      <c r="I82" s="122"/>
    </row>
    <row r="83" spans="1:9" x14ac:dyDescent="0.25">
      <c r="A83" s="111" t="s">
        <v>54</v>
      </c>
      <c r="B83" s="117" t="s">
        <v>55</v>
      </c>
      <c r="C83" s="92" t="s">
        <v>36</v>
      </c>
      <c r="D83" s="129">
        <v>10.63</v>
      </c>
      <c r="E83" s="73" t="s">
        <v>31</v>
      </c>
      <c r="F83" s="120">
        <v>19.77</v>
      </c>
      <c r="G83" s="73" t="s">
        <v>67</v>
      </c>
      <c r="H83" s="120">
        <v>10.63</v>
      </c>
      <c r="I83" s="120">
        <v>12.19</v>
      </c>
    </row>
    <row r="84" spans="1:9" x14ac:dyDescent="0.25">
      <c r="A84" s="112"/>
      <c r="B84" s="118"/>
      <c r="C84" s="93"/>
      <c r="D84" s="130"/>
      <c r="E84" s="74"/>
      <c r="F84" s="121"/>
      <c r="G84" s="74"/>
      <c r="H84" s="121"/>
      <c r="I84" s="121"/>
    </row>
    <row r="85" spans="1:9" x14ac:dyDescent="0.25">
      <c r="A85" s="112"/>
      <c r="B85" s="118"/>
      <c r="C85" s="93"/>
      <c r="D85" s="130"/>
      <c r="E85" s="75"/>
      <c r="F85" s="122"/>
      <c r="G85" s="74"/>
      <c r="H85" s="121"/>
      <c r="I85" s="121"/>
    </row>
    <row r="86" spans="1:9" x14ac:dyDescent="0.25">
      <c r="A86" s="112"/>
      <c r="B86" s="118"/>
      <c r="C86" s="93"/>
      <c r="D86" s="130"/>
      <c r="E86" s="73" t="s">
        <v>38</v>
      </c>
      <c r="F86" s="120">
        <v>24.24</v>
      </c>
      <c r="G86" s="74"/>
      <c r="H86" s="121"/>
      <c r="I86" s="121"/>
    </row>
    <row r="87" spans="1:9" x14ac:dyDescent="0.25">
      <c r="A87" s="112"/>
      <c r="B87" s="118"/>
      <c r="C87" s="93"/>
      <c r="D87" s="130"/>
      <c r="E87" s="74"/>
      <c r="F87" s="121"/>
      <c r="G87" s="74"/>
      <c r="H87" s="121"/>
      <c r="I87" s="121"/>
    </row>
    <row r="88" spans="1:9" x14ac:dyDescent="0.25">
      <c r="A88" s="112"/>
      <c r="B88" s="118"/>
      <c r="C88" s="93"/>
      <c r="D88" s="130"/>
      <c r="E88" s="74"/>
      <c r="F88" s="121"/>
      <c r="G88" s="74"/>
      <c r="H88" s="121"/>
      <c r="I88" s="121"/>
    </row>
    <row r="89" spans="1:9" x14ac:dyDescent="0.25">
      <c r="A89" s="113"/>
      <c r="B89" s="119"/>
      <c r="C89" s="94"/>
      <c r="D89" s="131"/>
      <c r="E89" s="75"/>
      <c r="F89" s="122"/>
      <c r="G89" s="75"/>
      <c r="H89" s="122"/>
      <c r="I89" s="122"/>
    </row>
    <row r="90" spans="1:9" ht="24" x14ac:dyDescent="0.25">
      <c r="A90" s="111" t="s">
        <v>56</v>
      </c>
      <c r="B90" s="114" t="s">
        <v>57</v>
      </c>
      <c r="C90" s="92" t="s">
        <v>36</v>
      </c>
      <c r="D90" s="135">
        <v>51.8</v>
      </c>
      <c r="E90" s="3" t="s">
        <v>14</v>
      </c>
      <c r="F90" s="5">
        <v>20.059999999999999</v>
      </c>
      <c r="G90" s="84" t="s">
        <v>43</v>
      </c>
      <c r="H90" s="132">
        <v>51.8</v>
      </c>
      <c r="I90" s="120">
        <v>43.75</v>
      </c>
    </row>
    <row r="91" spans="1:9" x14ac:dyDescent="0.25">
      <c r="A91" s="112"/>
      <c r="B91" s="115"/>
      <c r="C91" s="93"/>
      <c r="D91" s="136"/>
      <c r="E91" s="73" t="s">
        <v>17</v>
      </c>
      <c r="F91" s="129">
        <v>158.84</v>
      </c>
      <c r="G91" s="85"/>
      <c r="H91" s="133"/>
      <c r="I91" s="121"/>
    </row>
    <row r="92" spans="1:9" x14ac:dyDescent="0.25">
      <c r="A92" s="112"/>
      <c r="B92" s="115"/>
      <c r="C92" s="93"/>
      <c r="D92" s="136"/>
      <c r="E92" s="74"/>
      <c r="F92" s="130"/>
      <c r="G92" s="85"/>
      <c r="H92" s="133"/>
      <c r="I92" s="121"/>
    </row>
    <row r="93" spans="1:9" x14ac:dyDescent="0.25">
      <c r="A93" s="112"/>
      <c r="B93" s="115"/>
      <c r="C93" s="93"/>
      <c r="D93" s="136"/>
      <c r="E93" s="74"/>
      <c r="F93" s="130"/>
      <c r="G93" s="85"/>
      <c r="H93" s="133"/>
      <c r="I93" s="121"/>
    </row>
    <row r="94" spans="1:9" x14ac:dyDescent="0.25">
      <c r="A94" s="112"/>
      <c r="B94" s="115"/>
      <c r="C94" s="93"/>
      <c r="D94" s="136"/>
      <c r="E94" s="75"/>
      <c r="F94" s="131"/>
      <c r="G94" s="85"/>
      <c r="H94" s="133"/>
      <c r="I94" s="121"/>
    </row>
    <row r="95" spans="1:9" x14ac:dyDescent="0.25">
      <c r="A95" s="112"/>
      <c r="B95" s="115"/>
      <c r="C95" s="93"/>
      <c r="D95" s="136"/>
      <c r="E95" s="73" t="s">
        <v>38</v>
      </c>
      <c r="F95" s="120">
        <v>3.45</v>
      </c>
      <c r="G95" s="85"/>
      <c r="H95" s="133"/>
      <c r="I95" s="121"/>
    </row>
    <row r="96" spans="1:9" x14ac:dyDescent="0.25">
      <c r="A96" s="112"/>
      <c r="B96" s="115"/>
      <c r="C96" s="93"/>
      <c r="D96" s="136"/>
      <c r="E96" s="75"/>
      <c r="F96" s="122"/>
      <c r="G96" s="85"/>
      <c r="H96" s="133"/>
      <c r="I96" s="121"/>
    </row>
    <row r="97" spans="1:9" x14ac:dyDescent="0.25">
      <c r="A97" s="112"/>
      <c r="B97" s="115"/>
      <c r="C97" s="93"/>
      <c r="D97" s="136"/>
      <c r="E97" s="73" t="s">
        <v>65</v>
      </c>
      <c r="F97" s="120">
        <v>1.92</v>
      </c>
      <c r="G97" s="85"/>
      <c r="H97" s="133"/>
      <c r="I97" s="121"/>
    </row>
    <row r="98" spans="1:9" x14ac:dyDescent="0.25">
      <c r="A98" s="112"/>
      <c r="B98" s="115"/>
      <c r="C98" s="93"/>
      <c r="D98" s="136"/>
      <c r="E98" s="74"/>
      <c r="F98" s="121"/>
      <c r="G98" s="85"/>
      <c r="H98" s="133"/>
      <c r="I98" s="121"/>
    </row>
    <row r="99" spans="1:9" x14ac:dyDescent="0.25">
      <c r="A99" s="112"/>
      <c r="B99" s="115"/>
      <c r="C99" s="93"/>
      <c r="D99" s="136"/>
      <c r="E99" s="74"/>
      <c r="F99" s="121"/>
      <c r="G99" s="85"/>
      <c r="H99" s="133"/>
      <c r="I99" s="121"/>
    </row>
    <row r="100" spans="1:9" x14ac:dyDescent="0.25">
      <c r="A100" s="113"/>
      <c r="B100" s="116"/>
      <c r="C100" s="94"/>
      <c r="D100" s="137"/>
      <c r="E100" s="75"/>
      <c r="F100" s="122"/>
      <c r="G100" s="86"/>
      <c r="H100" s="134"/>
      <c r="I100" s="122"/>
    </row>
    <row r="101" spans="1:9" x14ac:dyDescent="0.25">
      <c r="A101" s="111" t="s">
        <v>58</v>
      </c>
      <c r="B101" s="117" t="s">
        <v>59</v>
      </c>
      <c r="C101" s="73" t="s">
        <v>60</v>
      </c>
      <c r="D101" s="120">
        <v>17.66</v>
      </c>
      <c r="E101" s="73" t="s">
        <v>60</v>
      </c>
      <c r="F101" s="120">
        <v>55.07</v>
      </c>
      <c r="G101" s="73" t="s">
        <v>43</v>
      </c>
      <c r="H101" s="132">
        <v>15.8</v>
      </c>
      <c r="I101" s="120">
        <v>15.86</v>
      </c>
    </row>
    <row r="102" spans="1:9" x14ac:dyDescent="0.25">
      <c r="A102" s="112"/>
      <c r="B102" s="118"/>
      <c r="C102" s="74"/>
      <c r="D102" s="121"/>
      <c r="E102" s="74"/>
      <c r="F102" s="121"/>
      <c r="G102" s="74"/>
      <c r="H102" s="133"/>
      <c r="I102" s="121"/>
    </row>
    <row r="103" spans="1:9" x14ac:dyDescent="0.25">
      <c r="A103" s="112"/>
      <c r="B103" s="118"/>
      <c r="C103" s="74"/>
      <c r="D103" s="121"/>
      <c r="E103" s="74"/>
      <c r="F103" s="121"/>
      <c r="G103" s="74"/>
      <c r="H103" s="133"/>
      <c r="I103" s="121"/>
    </row>
    <row r="104" spans="1:9" x14ac:dyDescent="0.25">
      <c r="A104" s="113"/>
      <c r="B104" s="119"/>
      <c r="C104" s="75"/>
      <c r="D104" s="122"/>
      <c r="E104" s="75"/>
      <c r="F104" s="122"/>
      <c r="G104" s="75"/>
      <c r="H104" s="134"/>
      <c r="I104" s="122"/>
    </row>
    <row r="105" spans="1:9" x14ac:dyDescent="0.25">
      <c r="A105" s="111" t="s">
        <v>61</v>
      </c>
      <c r="B105" s="117" t="s">
        <v>62</v>
      </c>
      <c r="C105" s="61" t="s">
        <v>36</v>
      </c>
      <c r="D105" s="135">
        <v>16.2</v>
      </c>
      <c r="E105" s="73" t="s">
        <v>60</v>
      </c>
      <c r="F105" s="120">
        <v>59.44</v>
      </c>
      <c r="G105" s="73" t="s">
        <v>66</v>
      </c>
      <c r="H105" s="132">
        <v>16.2</v>
      </c>
      <c r="I105" s="132">
        <v>16.399999999999999</v>
      </c>
    </row>
    <row r="106" spans="1:9" x14ac:dyDescent="0.25">
      <c r="A106" s="112"/>
      <c r="B106" s="118"/>
      <c r="C106" s="62"/>
      <c r="D106" s="136"/>
      <c r="E106" s="74"/>
      <c r="F106" s="121"/>
      <c r="G106" s="74"/>
      <c r="H106" s="133"/>
      <c r="I106" s="133"/>
    </row>
    <row r="107" spans="1:9" x14ac:dyDescent="0.25">
      <c r="A107" s="112"/>
      <c r="B107" s="118"/>
      <c r="C107" s="62"/>
      <c r="D107" s="136"/>
      <c r="E107" s="74"/>
      <c r="F107" s="121"/>
      <c r="G107" s="74"/>
      <c r="H107" s="133"/>
      <c r="I107" s="133"/>
    </row>
    <row r="108" spans="1:9" x14ac:dyDescent="0.25">
      <c r="A108" s="112"/>
      <c r="B108" s="118"/>
      <c r="C108" s="62"/>
      <c r="D108" s="136"/>
      <c r="E108" s="74"/>
      <c r="F108" s="121"/>
      <c r="G108" s="74"/>
      <c r="H108" s="133"/>
      <c r="I108" s="133"/>
    </row>
    <row r="109" spans="1:9" x14ac:dyDescent="0.25">
      <c r="A109" s="112"/>
      <c r="B109" s="118"/>
      <c r="C109" s="62"/>
      <c r="D109" s="136"/>
      <c r="E109" s="74"/>
      <c r="F109" s="121"/>
      <c r="G109" s="74"/>
      <c r="H109" s="133"/>
      <c r="I109" s="133"/>
    </row>
    <row r="110" spans="1:9" x14ac:dyDescent="0.25">
      <c r="A110" s="113"/>
      <c r="B110" s="119"/>
      <c r="C110" s="63"/>
      <c r="D110" s="137"/>
      <c r="E110" s="75"/>
      <c r="F110" s="122"/>
      <c r="G110" s="75"/>
      <c r="H110" s="134"/>
      <c r="I110" s="134"/>
    </row>
    <row r="111" spans="1:9" x14ac:dyDescent="0.25">
      <c r="A111" s="111" t="s">
        <v>63</v>
      </c>
      <c r="B111" s="117" t="s">
        <v>64</v>
      </c>
      <c r="C111" s="92" t="s">
        <v>36</v>
      </c>
      <c r="D111" s="129">
        <v>15.59</v>
      </c>
      <c r="E111" s="73" t="s">
        <v>31</v>
      </c>
      <c r="F111" s="120">
        <v>29.89</v>
      </c>
      <c r="G111" s="73" t="s">
        <v>66</v>
      </c>
      <c r="H111" s="120">
        <v>15.59</v>
      </c>
      <c r="I111" s="120">
        <v>16.09</v>
      </c>
    </row>
    <row r="112" spans="1:9" x14ac:dyDescent="0.25">
      <c r="A112" s="112"/>
      <c r="B112" s="118"/>
      <c r="C112" s="93"/>
      <c r="D112" s="130"/>
      <c r="E112" s="74"/>
      <c r="F112" s="121"/>
      <c r="G112" s="74"/>
      <c r="H112" s="121"/>
      <c r="I112" s="121"/>
    </row>
    <row r="113" spans="1:9" x14ac:dyDescent="0.25">
      <c r="A113" s="112"/>
      <c r="B113" s="118"/>
      <c r="C113" s="93"/>
      <c r="D113" s="130"/>
      <c r="E113" s="74"/>
      <c r="F113" s="121"/>
      <c r="G113" s="74"/>
      <c r="H113" s="121"/>
      <c r="I113" s="121"/>
    </row>
    <row r="114" spans="1:9" x14ac:dyDescent="0.25">
      <c r="A114" s="112"/>
      <c r="B114" s="118"/>
      <c r="C114" s="93"/>
      <c r="D114" s="130"/>
      <c r="E114" s="75"/>
      <c r="F114" s="122"/>
      <c r="G114" s="74"/>
      <c r="H114" s="121"/>
      <c r="I114" s="121"/>
    </row>
    <row r="115" spans="1:9" x14ac:dyDescent="0.25">
      <c r="A115" s="112"/>
      <c r="B115" s="118"/>
      <c r="C115" s="93"/>
      <c r="D115" s="130"/>
      <c r="E115" s="73" t="s">
        <v>38</v>
      </c>
      <c r="F115" s="120">
        <v>30.46</v>
      </c>
      <c r="G115" s="74"/>
      <c r="H115" s="121"/>
      <c r="I115" s="121"/>
    </row>
    <row r="116" spans="1:9" x14ac:dyDescent="0.25">
      <c r="A116" s="112"/>
      <c r="B116" s="118"/>
      <c r="C116" s="93"/>
      <c r="D116" s="130"/>
      <c r="E116" s="74"/>
      <c r="F116" s="121"/>
      <c r="G116" s="74"/>
      <c r="H116" s="121"/>
      <c r="I116" s="121"/>
    </row>
    <row r="117" spans="1:9" x14ac:dyDescent="0.25">
      <c r="A117" s="112"/>
      <c r="B117" s="118"/>
      <c r="C117" s="93"/>
      <c r="D117" s="130"/>
      <c r="E117" s="74"/>
      <c r="F117" s="121"/>
      <c r="G117" s="74"/>
      <c r="H117" s="121"/>
      <c r="I117" s="121"/>
    </row>
    <row r="118" spans="1:9" x14ac:dyDescent="0.25">
      <c r="A118" s="112"/>
      <c r="B118" s="118"/>
      <c r="C118" s="93"/>
      <c r="D118" s="130"/>
      <c r="E118" s="75"/>
      <c r="F118" s="122"/>
      <c r="G118" s="74"/>
      <c r="H118" s="121"/>
      <c r="I118" s="121"/>
    </row>
    <row r="119" spans="1:9" x14ac:dyDescent="0.25">
      <c r="A119" s="112"/>
      <c r="B119" s="118"/>
      <c r="C119" s="93"/>
      <c r="D119" s="130"/>
      <c r="E119" s="73" t="s">
        <v>65</v>
      </c>
      <c r="F119" s="120">
        <v>1.92</v>
      </c>
      <c r="G119" s="74"/>
      <c r="H119" s="121"/>
      <c r="I119" s="121"/>
    </row>
    <row r="120" spans="1:9" x14ac:dyDescent="0.25">
      <c r="A120" s="112"/>
      <c r="B120" s="118"/>
      <c r="C120" s="93"/>
      <c r="D120" s="130"/>
      <c r="E120" s="74"/>
      <c r="F120" s="121"/>
      <c r="G120" s="74"/>
      <c r="H120" s="121"/>
      <c r="I120" s="121"/>
    </row>
    <row r="121" spans="1:9" x14ac:dyDescent="0.25">
      <c r="A121" s="112"/>
      <c r="B121" s="118"/>
      <c r="C121" s="93"/>
      <c r="D121" s="130"/>
      <c r="E121" s="74"/>
      <c r="F121" s="121"/>
      <c r="G121" s="74"/>
      <c r="H121" s="121"/>
      <c r="I121" s="121"/>
    </row>
    <row r="122" spans="1:9" x14ac:dyDescent="0.25">
      <c r="A122" s="112"/>
      <c r="B122" s="118"/>
      <c r="C122" s="93"/>
      <c r="D122" s="130"/>
      <c r="E122" s="74"/>
      <c r="F122" s="121"/>
      <c r="G122" s="74"/>
      <c r="H122" s="121"/>
      <c r="I122" s="121"/>
    </row>
    <row r="123" spans="1:9" x14ac:dyDescent="0.25">
      <c r="A123" s="112"/>
      <c r="B123" s="118"/>
      <c r="C123" s="93"/>
      <c r="D123" s="130"/>
      <c r="E123" s="74"/>
      <c r="F123" s="121"/>
      <c r="G123" s="74"/>
      <c r="H123" s="121"/>
      <c r="I123" s="121"/>
    </row>
    <row r="124" spans="1:9" x14ac:dyDescent="0.25">
      <c r="A124" s="112"/>
      <c r="B124" s="118"/>
      <c r="C124" s="93"/>
      <c r="D124" s="130"/>
      <c r="E124" s="74"/>
      <c r="F124" s="121"/>
      <c r="G124" s="74"/>
      <c r="H124" s="121"/>
      <c r="I124" s="121"/>
    </row>
    <row r="125" spans="1:9" x14ac:dyDescent="0.25">
      <c r="A125" s="112"/>
      <c r="B125" s="118"/>
      <c r="C125" s="93"/>
      <c r="D125" s="130"/>
      <c r="E125" s="74"/>
      <c r="F125" s="121"/>
      <c r="G125" s="74"/>
      <c r="H125" s="121"/>
      <c r="I125" s="121"/>
    </row>
    <row r="126" spans="1:9" x14ac:dyDescent="0.25">
      <c r="A126" s="112"/>
      <c r="B126" s="118"/>
      <c r="C126" s="93"/>
      <c r="D126" s="130"/>
      <c r="E126" s="74"/>
      <c r="F126" s="121"/>
      <c r="G126" s="74"/>
      <c r="H126" s="121"/>
      <c r="I126" s="121"/>
    </row>
    <row r="127" spans="1:9" x14ac:dyDescent="0.25">
      <c r="A127" s="112"/>
      <c r="B127" s="118"/>
      <c r="C127" s="93"/>
      <c r="D127" s="130"/>
      <c r="E127" s="74"/>
      <c r="F127" s="121"/>
      <c r="G127" s="74"/>
      <c r="H127" s="121"/>
      <c r="I127" s="121"/>
    </row>
    <row r="128" spans="1:9" x14ac:dyDescent="0.25">
      <c r="A128" s="113"/>
      <c r="B128" s="119"/>
      <c r="C128" s="94"/>
      <c r="D128" s="131"/>
      <c r="E128" s="75"/>
      <c r="F128" s="122"/>
      <c r="G128" s="75"/>
      <c r="H128" s="122"/>
      <c r="I128" s="122"/>
    </row>
    <row r="129" spans="1:9" ht="24" x14ac:dyDescent="0.25">
      <c r="A129" s="111" t="s">
        <v>68</v>
      </c>
      <c r="B129" s="111" t="s">
        <v>69</v>
      </c>
      <c r="C129" s="92" t="s">
        <v>36</v>
      </c>
      <c r="D129" s="129">
        <v>18.02</v>
      </c>
      <c r="E129" s="3" t="s">
        <v>14</v>
      </c>
      <c r="F129" s="23">
        <v>5.58</v>
      </c>
      <c r="G129" s="84" t="s">
        <v>66</v>
      </c>
      <c r="H129" s="120">
        <v>18.02</v>
      </c>
      <c r="I129" s="120">
        <v>17.09</v>
      </c>
    </row>
    <row r="130" spans="1:9" x14ac:dyDescent="0.25">
      <c r="A130" s="112"/>
      <c r="B130" s="112"/>
      <c r="C130" s="93"/>
      <c r="D130" s="130"/>
      <c r="E130" s="73" t="s">
        <v>21</v>
      </c>
      <c r="F130" s="120">
        <v>45.1</v>
      </c>
      <c r="G130" s="85"/>
      <c r="H130" s="121"/>
      <c r="I130" s="121"/>
    </row>
    <row r="131" spans="1:9" x14ac:dyDescent="0.25">
      <c r="A131" s="112"/>
      <c r="B131" s="112"/>
      <c r="C131" s="93"/>
      <c r="D131" s="130"/>
      <c r="E131" s="74"/>
      <c r="F131" s="121"/>
      <c r="G131" s="85"/>
      <c r="H131" s="121"/>
      <c r="I131" s="121"/>
    </row>
    <row r="132" spans="1:9" x14ac:dyDescent="0.25">
      <c r="A132" s="112"/>
      <c r="B132" s="112"/>
      <c r="C132" s="93"/>
      <c r="D132" s="130"/>
      <c r="E132" s="75"/>
      <c r="F132" s="122"/>
      <c r="G132" s="85"/>
      <c r="H132" s="121"/>
      <c r="I132" s="121"/>
    </row>
    <row r="133" spans="1:9" x14ac:dyDescent="0.25">
      <c r="A133" s="112"/>
      <c r="B133" s="112"/>
      <c r="C133" s="93"/>
      <c r="D133" s="130"/>
      <c r="E133" s="73" t="s">
        <v>38</v>
      </c>
      <c r="F133" s="120">
        <v>12.42</v>
      </c>
      <c r="G133" s="85"/>
      <c r="H133" s="121"/>
      <c r="I133" s="121"/>
    </row>
    <row r="134" spans="1:9" x14ac:dyDescent="0.25">
      <c r="A134" s="112"/>
      <c r="B134" s="112"/>
      <c r="C134" s="93"/>
      <c r="D134" s="130"/>
      <c r="E134" s="74"/>
      <c r="F134" s="121"/>
      <c r="G134" s="85"/>
      <c r="H134" s="121"/>
      <c r="I134" s="121"/>
    </row>
    <row r="135" spans="1:9" x14ac:dyDescent="0.25">
      <c r="A135" s="112"/>
      <c r="B135" s="112"/>
      <c r="C135" s="93"/>
      <c r="D135" s="130"/>
      <c r="E135" s="75"/>
      <c r="F135" s="122"/>
      <c r="G135" s="85"/>
      <c r="H135" s="121"/>
      <c r="I135" s="121"/>
    </row>
    <row r="136" spans="1:9" x14ac:dyDescent="0.25">
      <c r="A136" s="112"/>
      <c r="B136" s="112"/>
      <c r="C136" s="93"/>
      <c r="D136" s="130"/>
      <c r="E136" s="73" t="s">
        <v>65</v>
      </c>
      <c r="F136" s="120">
        <v>1.92</v>
      </c>
      <c r="G136" s="85"/>
      <c r="H136" s="121"/>
      <c r="I136" s="121"/>
    </row>
    <row r="137" spans="1:9" x14ac:dyDescent="0.25">
      <c r="A137" s="112"/>
      <c r="B137" s="112"/>
      <c r="C137" s="93"/>
      <c r="D137" s="130"/>
      <c r="E137" s="74"/>
      <c r="F137" s="121"/>
      <c r="G137" s="85"/>
      <c r="H137" s="121"/>
      <c r="I137" s="121"/>
    </row>
    <row r="138" spans="1:9" x14ac:dyDescent="0.25">
      <c r="A138" s="113"/>
      <c r="B138" s="113"/>
      <c r="C138" s="94"/>
      <c r="D138" s="131"/>
      <c r="E138" s="75"/>
      <c r="F138" s="122"/>
      <c r="G138" s="86"/>
      <c r="H138" s="122"/>
      <c r="I138" s="122"/>
    </row>
    <row r="139" spans="1:9" ht="24" x14ac:dyDescent="0.25">
      <c r="A139" s="111" t="s">
        <v>70</v>
      </c>
      <c r="B139" s="92" t="s">
        <v>71</v>
      </c>
      <c r="C139" s="92" t="s">
        <v>36</v>
      </c>
      <c r="D139" s="129">
        <v>31.84</v>
      </c>
      <c r="E139" s="3" t="s">
        <v>14</v>
      </c>
      <c r="F139" s="23">
        <v>6.83</v>
      </c>
      <c r="G139" s="84" t="s">
        <v>66</v>
      </c>
      <c r="H139" s="120">
        <v>31.84</v>
      </c>
      <c r="I139" s="120">
        <v>21.59</v>
      </c>
    </row>
    <row r="140" spans="1:9" x14ac:dyDescent="0.25">
      <c r="A140" s="112"/>
      <c r="B140" s="93"/>
      <c r="C140" s="93"/>
      <c r="D140" s="130"/>
      <c r="E140" s="73" t="s">
        <v>21</v>
      </c>
      <c r="F140" s="120">
        <v>55.66</v>
      </c>
      <c r="G140" s="85"/>
      <c r="H140" s="121"/>
      <c r="I140" s="121"/>
    </row>
    <row r="141" spans="1:9" x14ac:dyDescent="0.25">
      <c r="A141" s="112"/>
      <c r="B141" s="93"/>
      <c r="C141" s="93"/>
      <c r="D141" s="130"/>
      <c r="E141" s="74"/>
      <c r="F141" s="121"/>
      <c r="G141" s="85"/>
      <c r="H141" s="121"/>
      <c r="I141" s="121"/>
    </row>
    <row r="142" spans="1:9" x14ac:dyDescent="0.25">
      <c r="A142" s="112"/>
      <c r="B142" s="93"/>
      <c r="C142" s="93"/>
      <c r="D142" s="130"/>
      <c r="E142" s="74"/>
      <c r="F142" s="121"/>
      <c r="G142" s="85"/>
      <c r="H142" s="121"/>
      <c r="I142" s="121"/>
    </row>
    <row r="143" spans="1:9" x14ac:dyDescent="0.25">
      <c r="A143" s="112"/>
      <c r="B143" s="93"/>
      <c r="C143" s="93"/>
      <c r="D143" s="130"/>
      <c r="E143" s="75"/>
      <c r="F143" s="122"/>
      <c r="G143" s="85"/>
      <c r="H143" s="121"/>
      <c r="I143" s="121"/>
    </row>
    <row r="144" spans="1:9" x14ac:dyDescent="0.25">
      <c r="A144" s="112"/>
      <c r="B144" s="93"/>
      <c r="C144" s="93"/>
      <c r="D144" s="130"/>
      <c r="E144" s="73" t="s">
        <v>38</v>
      </c>
      <c r="F144" s="120">
        <v>11.7</v>
      </c>
      <c r="G144" s="85"/>
      <c r="H144" s="121"/>
      <c r="I144" s="121"/>
    </row>
    <row r="145" spans="1:9" x14ac:dyDescent="0.25">
      <c r="A145" s="112"/>
      <c r="B145" s="93"/>
      <c r="C145" s="93"/>
      <c r="D145" s="130"/>
      <c r="E145" s="74"/>
      <c r="F145" s="121"/>
      <c r="G145" s="85"/>
      <c r="H145" s="121"/>
      <c r="I145" s="121"/>
    </row>
    <row r="146" spans="1:9" x14ac:dyDescent="0.25">
      <c r="A146" s="112"/>
      <c r="B146" s="93"/>
      <c r="C146" s="93"/>
      <c r="D146" s="130"/>
      <c r="E146" s="74"/>
      <c r="F146" s="121"/>
      <c r="G146" s="85"/>
      <c r="H146" s="121"/>
      <c r="I146" s="121"/>
    </row>
    <row r="147" spans="1:9" x14ac:dyDescent="0.25">
      <c r="A147" s="112"/>
      <c r="B147" s="93"/>
      <c r="C147" s="93"/>
      <c r="D147" s="130"/>
      <c r="E147" s="75"/>
      <c r="F147" s="122"/>
      <c r="G147" s="85"/>
      <c r="H147" s="121"/>
      <c r="I147" s="121"/>
    </row>
    <row r="148" spans="1:9" x14ac:dyDescent="0.25">
      <c r="A148" s="112"/>
      <c r="B148" s="93"/>
      <c r="C148" s="93"/>
      <c r="D148" s="130"/>
      <c r="E148" s="73" t="s">
        <v>65</v>
      </c>
      <c r="F148" s="120">
        <v>3.84</v>
      </c>
      <c r="G148" s="85"/>
      <c r="H148" s="121"/>
      <c r="I148" s="121"/>
    </row>
    <row r="149" spans="1:9" x14ac:dyDescent="0.25">
      <c r="A149" s="113"/>
      <c r="B149" s="94"/>
      <c r="C149" s="94"/>
      <c r="D149" s="131"/>
      <c r="E149" s="75"/>
      <c r="F149" s="122"/>
      <c r="G149" s="86"/>
      <c r="H149" s="122"/>
      <c r="I149" s="122"/>
    </row>
    <row r="150" spans="1:9" x14ac:dyDescent="0.25">
      <c r="A150" s="111" t="s">
        <v>72</v>
      </c>
      <c r="B150" s="108" t="s">
        <v>73</v>
      </c>
      <c r="C150" s="92" t="s">
        <v>36</v>
      </c>
      <c r="D150" s="129">
        <v>17.75</v>
      </c>
      <c r="E150" s="73" t="s">
        <v>14</v>
      </c>
      <c r="F150" s="123">
        <v>5.58</v>
      </c>
      <c r="G150" s="84" t="s">
        <v>66</v>
      </c>
      <c r="H150" s="120">
        <v>17.75</v>
      </c>
      <c r="I150" s="120">
        <v>16.89</v>
      </c>
    </row>
    <row r="151" spans="1:9" x14ac:dyDescent="0.25">
      <c r="A151" s="112"/>
      <c r="B151" s="109"/>
      <c r="C151" s="93"/>
      <c r="D151" s="130"/>
      <c r="E151" s="75"/>
      <c r="F151" s="125"/>
      <c r="G151" s="85"/>
      <c r="H151" s="121"/>
      <c r="I151" s="121"/>
    </row>
    <row r="152" spans="1:9" x14ac:dyDescent="0.25">
      <c r="A152" s="112"/>
      <c r="B152" s="109"/>
      <c r="C152" s="93"/>
      <c r="D152" s="130"/>
      <c r="E152" s="73" t="s">
        <v>21</v>
      </c>
      <c r="F152" s="120">
        <v>45.1</v>
      </c>
      <c r="G152" s="85"/>
      <c r="H152" s="121"/>
      <c r="I152" s="121"/>
    </row>
    <row r="153" spans="1:9" x14ac:dyDescent="0.25">
      <c r="A153" s="112"/>
      <c r="B153" s="109"/>
      <c r="C153" s="93"/>
      <c r="D153" s="130"/>
      <c r="E153" s="74"/>
      <c r="F153" s="121"/>
      <c r="G153" s="85"/>
      <c r="H153" s="121"/>
      <c r="I153" s="121"/>
    </row>
    <row r="154" spans="1:9" x14ac:dyDescent="0.25">
      <c r="A154" s="112"/>
      <c r="B154" s="109"/>
      <c r="C154" s="93"/>
      <c r="D154" s="130"/>
      <c r="E154" s="75"/>
      <c r="F154" s="122"/>
      <c r="G154" s="85"/>
      <c r="H154" s="121"/>
      <c r="I154" s="121"/>
    </row>
    <row r="155" spans="1:9" x14ac:dyDescent="0.25">
      <c r="A155" s="112"/>
      <c r="B155" s="109"/>
      <c r="C155" s="93"/>
      <c r="D155" s="130"/>
      <c r="E155" s="73" t="s">
        <v>38</v>
      </c>
      <c r="F155" s="120">
        <v>9.8699999999999992</v>
      </c>
      <c r="G155" s="85"/>
      <c r="H155" s="121"/>
      <c r="I155" s="121"/>
    </row>
    <row r="156" spans="1:9" x14ac:dyDescent="0.25">
      <c r="A156" s="112"/>
      <c r="B156" s="109"/>
      <c r="C156" s="93"/>
      <c r="D156" s="130"/>
      <c r="E156" s="74"/>
      <c r="F156" s="121"/>
      <c r="G156" s="85"/>
      <c r="H156" s="121"/>
      <c r="I156" s="121"/>
    </row>
    <row r="157" spans="1:9" x14ac:dyDescent="0.25">
      <c r="A157" s="112"/>
      <c r="B157" s="109"/>
      <c r="C157" s="93"/>
      <c r="D157" s="130"/>
      <c r="E157" s="74"/>
      <c r="F157" s="121"/>
      <c r="G157" s="85"/>
      <c r="H157" s="121"/>
      <c r="I157" s="121"/>
    </row>
    <row r="158" spans="1:9" x14ac:dyDescent="0.25">
      <c r="A158" s="112"/>
      <c r="B158" s="109"/>
      <c r="C158" s="93"/>
      <c r="D158" s="130"/>
      <c r="E158" s="75"/>
      <c r="F158" s="122"/>
      <c r="G158" s="85"/>
      <c r="H158" s="121"/>
      <c r="I158" s="121"/>
    </row>
    <row r="159" spans="1:9" x14ac:dyDescent="0.25">
      <c r="A159" s="112"/>
      <c r="B159" s="109"/>
      <c r="C159" s="93"/>
      <c r="D159" s="130"/>
      <c r="E159" s="73" t="s">
        <v>65</v>
      </c>
      <c r="F159" s="120">
        <v>1.92</v>
      </c>
      <c r="G159" s="85"/>
      <c r="H159" s="121"/>
      <c r="I159" s="121"/>
    </row>
    <row r="160" spans="1:9" x14ac:dyDescent="0.25">
      <c r="A160" s="112"/>
      <c r="B160" s="109"/>
      <c r="C160" s="93"/>
      <c r="D160" s="130"/>
      <c r="E160" s="74"/>
      <c r="F160" s="121"/>
      <c r="G160" s="85"/>
      <c r="H160" s="121"/>
      <c r="I160" s="121"/>
    </row>
    <row r="161" spans="1:9" x14ac:dyDescent="0.25">
      <c r="A161" s="113"/>
      <c r="B161" s="110"/>
      <c r="C161" s="94"/>
      <c r="D161" s="131"/>
      <c r="E161" s="75"/>
      <c r="F161" s="122"/>
      <c r="G161" s="86"/>
      <c r="H161" s="122"/>
      <c r="I161" s="122"/>
    </row>
    <row r="162" spans="1:9" x14ac:dyDescent="0.25">
      <c r="A162" s="111" t="s">
        <v>74</v>
      </c>
      <c r="B162" s="126" t="s">
        <v>75</v>
      </c>
      <c r="C162" s="92" t="s">
        <v>36</v>
      </c>
      <c r="D162" s="129">
        <v>18.39</v>
      </c>
      <c r="E162" s="73" t="s">
        <v>14</v>
      </c>
      <c r="F162" s="123">
        <v>5.6</v>
      </c>
      <c r="G162" s="73" t="s">
        <v>66</v>
      </c>
      <c r="H162" s="120">
        <v>18.39</v>
      </c>
      <c r="I162" s="120">
        <v>17.09</v>
      </c>
    </row>
    <row r="163" spans="1:9" x14ac:dyDescent="0.25">
      <c r="A163" s="112"/>
      <c r="B163" s="127"/>
      <c r="C163" s="93"/>
      <c r="D163" s="130"/>
      <c r="E163" s="74"/>
      <c r="F163" s="124"/>
      <c r="G163" s="74"/>
      <c r="H163" s="121"/>
      <c r="I163" s="121"/>
    </row>
    <row r="164" spans="1:9" x14ac:dyDescent="0.25">
      <c r="A164" s="112"/>
      <c r="B164" s="127"/>
      <c r="C164" s="93"/>
      <c r="D164" s="130"/>
      <c r="E164" s="75"/>
      <c r="F164" s="125"/>
      <c r="G164" s="74"/>
      <c r="H164" s="121"/>
      <c r="I164" s="121"/>
    </row>
    <row r="165" spans="1:9" x14ac:dyDescent="0.25">
      <c r="A165" s="112"/>
      <c r="B165" s="127"/>
      <c r="C165" s="93"/>
      <c r="D165" s="130"/>
      <c r="E165" s="73" t="s">
        <v>21</v>
      </c>
      <c r="F165" s="120">
        <v>45.3</v>
      </c>
      <c r="G165" s="74"/>
      <c r="H165" s="121"/>
      <c r="I165" s="121"/>
    </row>
    <row r="166" spans="1:9" x14ac:dyDescent="0.25">
      <c r="A166" s="112"/>
      <c r="B166" s="127"/>
      <c r="C166" s="93"/>
      <c r="D166" s="130"/>
      <c r="E166" s="74"/>
      <c r="F166" s="121"/>
      <c r="G166" s="74"/>
      <c r="H166" s="121"/>
      <c r="I166" s="121"/>
    </row>
    <row r="167" spans="1:9" x14ac:dyDescent="0.25">
      <c r="A167" s="112"/>
      <c r="B167" s="127"/>
      <c r="C167" s="93"/>
      <c r="D167" s="130"/>
      <c r="E167" s="75"/>
      <c r="F167" s="122"/>
      <c r="G167" s="74"/>
      <c r="H167" s="121"/>
      <c r="I167" s="121"/>
    </row>
    <row r="168" spans="1:9" x14ac:dyDescent="0.25">
      <c r="A168" s="112"/>
      <c r="B168" s="127"/>
      <c r="C168" s="93"/>
      <c r="D168" s="130"/>
      <c r="E168" s="73" t="s">
        <v>38</v>
      </c>
      <c r="F168" s="120">
        <v>9.84</v>
      </c>
      <c r="G168" s="74"/>
      <c r="H168" s="121"/>
      <c r="I168" s="121"/>
    </row>
    <row r="169" spans="1:9" x14ac:dyDescent="0.25">
      <c r="A169" s="112"/>
      <c r="B169" s="127"/>
      <c r="C169" s="93"/>
      <c r="D169" s="130"/>
      <c r="E169" s="74"/>
      <c r="F169" s="121"/>
      <c r="G169" s="74"/>
      <c r="H169" s="121"/>
      <c r="I169" s="121"/>
    </row>
    <row r="170" spans="1:9" x14ac:dyDescent="0.25">
      <c r="A170" s="112"/>
      <c r="B170" s="127"/>
      <c r="C170" s="93"/>
      <c r="D170" s="130"/>
      <c r="E170" s="74"/>
      <c r="F170" s="121"/>
      <c r="G170" s="74"/>
      <c r="H170" s="121"/>
      <c r="I170" s="121"/>
    </row>
    <row r="171" spans="1:9" x14ac:dyDescent="0.25">
      <c r="A171" s="112"/>
      <c r="B171" s="127"/>
      <c r="C171" s="93"/>
      <c r="D171" s="130"/>
      <c r="E171" s="75"/>
      <c r="F171" s="122"/>
      <c r="G171" s="74"/>
      <c r="H171" s="121"/>
      <c r="I171" s="121"/>
    </row>
    <row r="172" spans="1:9" x14ac:dyDescent="0.25">
      <c r="A172" s="112"/>
      <c r="B172" s="127"/>
      <c r="C172" s="93"/>
      <c r="D172" s="130"/>
      <c r="E172" s="73" t="s">
        <v>65</v>
      </c>
      <c r="F172" s="120">
        <v>1.92</v>
      </c>
      <c r="G172" s="74"/>
      <c r="H172" s="121"/>
      <c r="I172" s="121"/>
    </row>
    <row r="173" spans="1:9" x14ac:dyDescent="0.25">
      <c r="A173" s="112"/>
      <c r="B173" s="127"/>
      <c r="C173" s="93"/>
      <c r="D173" s="130"/>
      <c r="E173" s="74"/>
      <c r="F173" s="121"/>
      <c r="G173" s="74"/>
      <c r="H173" s="121"/>
      <c r="I173" s="121"/>
    </row>
    <row r="174" spans="1:9" x14ac:dyDescent="0.25">
      <c r="A174" s="112"/>
      <c r="B174" s="127"/>
      <c r="C174" s="93"/>
      <c r="D174" s="130"/>
      <c r="E174" s="74"/>
      <c r="F174" s="121"/>
      <c r="G174" s="74"/>
      <c r="H174" s="121"/>
      <c r="I174" s="121"/>
    </row>
    <row r="175" spans="1:9" x14ac:dyDescent="0.25">
      <c r="A175" s="112"/>
      <c r="B175" s="127"/>
      <c r="C175" s="93"/>
      <c r="D175" s="130"/>
      <c r="E175" s="74"/>
      <c r="F175" s="121"/>
      <c r="G175" s="74"/>
      <c r="H175" s="121"/>
      <c r="I175" s="121"/>
    </row>
    <row r="176" spans="1:9" x14ac:dyDescent="0.25">
      <c r="A176" s="112"/>
      <c r="B176" s="127"/>
      <c r="C176" s="93"/>
      <c r="D176" s="130"/>
      <c r="E176" s="74"/>
      <c r="F176" s="121"/>
      <c r="G176" s="74"/>
      <c r="H176" s="121"/>
      <c r="I176" s="121"/>
    </row>
    <row r="177" spans="1:9" x14ac:dyDescent="0.25">
      <c r="A177" s="112"/>
      <c r="B177" s="127"/>
      <c r="C177" s="93"/>
      <c r="D177" s="130"/>
      <c r="E177" s="74"/>
      <c r="F177" s="121"/>
      <c r="G177" s="74"/>
      <c r="H177" s="121"/>
      <c r="I177" s="121"/>
    </row>
    <row r="178" spans="1:9" x14ac:dyDescent="0.25">
      <c r="A178" s="112"/>
      <c r="B178" s="127"/>
      <c r="C178" s="93"/>
      <c r="D178" s="130"/>
      <c r="E178" s="74"/>
      <c r="F178" s="121"/>
      <c r="G178" s="74"/>
      <c r="H178" s="121"/>
      <c r="I178" s="121"/>
    </row>
    <row r="179" spans="1:9" x14ac:dyDescent="0.25">
      <c r="A179" s="112"/>
      <c r="B179" s="127"/>
      <c r="C179" s="93"/>
      <c r="D179" s="130"/>
      <c r="E179" s="74"/>
      <c r="F179" s="121"/>
      <c r="G179" s="74"/>
      <c r="H179" s="121"/>
      <c r="I179" s="121"/>
    </row>
    <row r="180" spans="1:9" x14ac:dyDescent="0.25">
      <c r="A180" s="112"/>
      <c r="B180" s="127"/>
      <c r="C180" s="93"/>
      <c r="D180" s="130"/>
      <c r="E180" s="74"/>
      <c r="F180" s="121"/>
      <c r="G180" s="74"/>
      <c r="H180" s="121"/>
      <c r="I180" s="121"/>
    </row>
    <row r="181" spans="1:9" x14ac:dyDescent="0.25">
      <c r="A181" s="113"/>
      <c r="B181" s="128"/>
      <c r="C181" s="94"/>
      <c r="D181" s="131"/>
      <c r="E181" s="75"/>
      <c r="F181" s="122"/>
      <c r="G181" s="75"/>
      <c r="H181" s="122"/>
      <c r="I181" s="122"/>
    </row>
    <row r="182" spans="1:9" ht="13.2" customHeight="1" x14ac:dyDescent="0.25">
      <c r="A182" s="111" t="s">
        <v>76</v>
      </c>
      <c r="B182" s="114" t="s">
        <v>77</v>
      </c>
      <c r="C182" s="61" t="s">
        <v>13</v>
      </c>
      <c r="D182" s="14">
        <v>7.97</v>
      </c>
      <c r="E182" s="7" t="s">
        <v>38</v>
      </c>
      <c r="F182" s="10">
        <v>29.87</v>
      </c>
      <c r="G182" s="7" t="s">
        <v>43</v>
      </c>
      <c r="H182" s="14">
        <v>8.32</v>
      </c>
      <c r="I182" s="14">
        <v>8.8800000000000008</v>
      </c>
    </row>
    <row r="183" spans="1:9" x14ac:dyDescent="0.25">
      <c r="A183" s="112"/>
      <c r="B183" s="115"/>
      <c r="C183" s="62"/>
      <c r="D183" s="15"/>
      <c r="E183" s="8"/>
      <c r="F183" s="11"/>
      <c r="G183" s="8"/>
      <c r="H183" s="15"/>
      <c r="I183" s="15"/>
    </row>
    <row r="184" spans="1:9" x14ac:dyDescent="0.25">
      <c r="A184" s="113"/>
      <c r="B184" s="116"/>
      <c r="C184" s="63"/>
      <c r="D184" s="16"/>
      <c r="E184" s="9"/>
      <c r="F184" s="12"/>
      <c r="G184" s="9"/>
      <c r="H184" s="16"/>
      <c r="I184" s="16"/>
    </row>
    <row r="185" spans="1:9" ht="13.2" customHeight="1" x14ac:dyDescent="0.25">
      <c r="A185" s="111" t="s">
        <v>78</v>
      </c>
      <c r="B185" s="117" t="s">
        <v>79</v>
      </c>
      <c r="C185" s="92" t="s">
        <v>13</v>
      </c>
      <c r="D185" s="14">
        <v>5.28</v>
      </c>
      <c r="E185" s="7" t="s">
        <v>14</v>
      </c>
      <c r="F185" s="27">
        <v>2.81</v>
      </c>
      <c r="G185" s="7" t="s">
        <v>43</v>
      </c>
      <c r="H185" s="14">
        <v>5.28</v>
      </c>
      <c r="I185" s="14">
        <v>6.58</v>
      </c>
    </row>
    <row r="186" spans="1:9" x14ac:dyDescent="0.25">
      <c r="A186" s="112"/>
      <c r="B186" s="118"/>
      <c r="C186" s="93"/>
      <c r="D186" s="15"/>
      <c r="E186" s="9"/>
      <c r="F186" s="28"/>
      <c r="G186" s="8"/>
      <c r="H186" s="15"/>
      <c r="I186" s="15"/>
    </row>
    <row r="187" spans="1:9" ht="13.2" customHeight="1" x14ac:dyDescent="0.25">
      <c r="A187" s="112"/>
      <c r="B187" s="118"/>
      <c r="C187" s="93"/>
      <c r="D187" s="15"/>
      <c r="E187" s="7" t="s">
        <v>21</v>
      </c>
      <c r="F187" s="10">
        <v>18.29</v>
      </c>
      <c r="G187" s="8"/>
      <c r="H187" s="15"/>
      <c r="I187" s="15"/>
    </row>
    <row r="188" spans="1:9" x14ac:dyDescent="0.25">
      <c r="A188" s="112"/>
      <c r="B188" s="118"/>
      <c r="C188" s="93"/>
      <c r="D188" s="15"/>
      <c r="E188" s="8"/>
      <c r="F188" s="11"/>
      <c r="G188" s="8"/>
      <c r="H188" s="15"/>
      <c r="I188" s="15"/>
    </row>
    <row r="189" spans="1:9" x14ac:dyDescent="0.25">
      <c r="A189" s="112"/>
      <c r="B189" s="118"/>
      <c r="C189" s="93"/>
      <c r="D189" s="15"/>
      <c r="E189" s="9"/>
      <c r="F189" s="12"/>
      <c r="G189" s="8"/>
      <c r="H189" s="15"/>
      <c r="I189" s="15"/>
    </row>
    <row r="190" spans="1:9" ht="13.2" customHeight="1" x14ac:dyDescent="0.25">
      <c r="A190" s="112"/>
      <c r="B190" s="118"/>
      <c r="C190" s="93"/>
      <c r="D190" s="15"/>
      <c r="E190" s="7" t="s">
        <v>38</v>
      </c>
      <c r="F190" s="10">
        <v>6.87</v>
      </c>
      <c r="G190" s="8"/>
      <c r="H190" s="15"/>
      <c r="I190" s="15"/>
    </row>
    <row r="191" spans="1:9" x14ac:dyDescent="0.25">
      <c r="A191" s="112"/>
      <c r="B191" s="118"/>
      <c r="C191" s="93"/>
      <c r="D191" s="15"/>
      <c r="E191" s="8"/>
      <c r="F191" s="11"/>
      <c r="G191" s="8"/>
      <c r="H191" s="15"/>
      <c r="I191" s="15"/>
    </row>
    <row r="192" spans="1:9" x14ac:dyDescent="0.25">
      <c r="A192" s="112"/>
      <c r="B192" s="118"/>
      <c r="C192" s="93"/>
      <c r="D192" s="15"/>
      <c r="E192" s="8"/>
      <c r="F192" s="11"/>
      <c r="G192" s="8"/>
      <c r="H192" s="15"/>
      <c r="I192" s="15"/>
    </row>
    <row r="193" spans="1:9" x14ac:dyDescent="0.25">
      <c r="A193" s="113"/>
      <c r="B193" s="119"/>
      <c r="C193" s="94"/>
      <c r="D193" s="16"/>
      <c r="E193" s="9"/>
      <c r="F193" s="12"/>
      <c r="G193" s="9"/>
      <c r="H193" s="16"/>
      <c r="I193" s="16"/>
    </row>
    <row r="194" spans="1:9" ht="13.2" customHeight="1" x14ac:dyDescent="0.25">
      <c r="A194" s="111" t="s">
        <v>80</v>
      </c>
      <c r="B194" s="117" t="s">
        <v>81</v>
      </c>
      <c r="C194" s="61" t="s">
        <v>60</v>
      </c>
      <c r="D194" s="14">
        <v>17.66</v>
      </c>
      <c r="E194" s="7" t="s">
        <v>60</v>
      </c>
      <c r="F194" s="10">
        <v>60.86</v>
      </c>
      <c r="G194" s="7" t="s">
        <v>43</v>
      </c>
      <c r="H194" s="14">
        <v>15.53</v>
      </c>
      <c r="I194" s="14">
        <v>18.07</v>
      </c>
    </row>
    <row r="195" spans="1:9" x14ac:dyDescent="0.25">
      <c r="A195" s="112"/>
      <c r="B195" s="118"/>
      <c r="C195" s="62"/>
      <c r="D195" s="15"/>
      <c r="E195" s="8"/>
      <c r="F195" s="11"/>
      <c r="G195" s="8"/>
      <c r="H195" s="15"/>
      <c r="I195" s="15"/>
    </row>
    <row r="196" spans="1:9" x14ac:dyDescent="0.25">
      <c r="A196" s="112"/>
      <c r="B196" s="118"/>
      <c r="C196" s="62"/>
      <c r="D196" s="15"/>
      <c r="E196" s="8"/>
      <c r="F196" s="11"/>
      <c r="G196" s="8"/>
      <c r="H196" s="15"/>
      <c r="I196" s="15"/>
    </row>
    <row r="197" spans="1:9" x14ac:dyDescent="0.25">
      <c r="A197" s="113"/>
      <c r="B197" s="119"/>
      <c r="C197" s="63"/>
      <c r="D197" s="16"/>
      <c r="E197" s="9"/>
      <c r="F197" s="12"/>
      <c r="G197" s="9"/>
      <c r="H197" s="16"/>
      <c r="I197" s="16"/>
    </row>
    <row r="198" spans="1:9" ht="13.2" customHeight="1" x14ac:dyDescent="0.25">
      <c r="A198" s="111" t="s">
        <v>82</v>
      </c>
      <c r="B198" s="114" t="s">
        <v>77</v>
      </c>
      <c r="C198" s="92" t="s">
        <v>83</v>
      </c>
      <c r="D198" s="14">
        <v>2.4500000000000002</v>
      </c>
      <c r="E198" s="6" t="s">
        <v>14</v>
      </c>
      <c r="F198" s="5">
        <v>1.39</v>
      </c>
      <c r="G198" s="7" t="s">
        <v>43</v>
      </c>
      <c r="H198" s="14">
        <v>2.4500000000000002</v>
      </c>
      <c r="I198" s="14">
        <v>2.4700000000000002</v>
      </c>
    </row>
    <row r="199" spans="1:9" ht="13.2" customHeight="1" x14ac:dyDescent="0.25">
      <c r="A199" s="112"/>
      <c r="B199" s="115"/>
      <c r="C199" s="93"/>
      <c r="D199" s="15"/>
      <c r="E199" s="7" t="s">
        <v>17</v>
      </c>
      <c r="F199" s="10">
        <v>11.07</v>
      </c>
      <c r="G199" s="8"/>
      <c r="H199" s="15"/>
      <c r="I199" s="15"/>
    </row>
    <row r="200" spans="1:9" x14ac:dyDescent="0.25">
      <c r="A200" s="112"/>
      <c r="B200" s="115"/>
      <c r="C200" s="93"/>
      <c r="D200" s="15"/>
      <c r="E200" s="8"/>
      <c r="F200" s="11"/>
      <c r="G200" s="8"/>
      <c r="H200" s="15"/>
      <c r="I200" s="15"/>
    </row>
    <row r="201" spans="1:9" x14ac:dyDescent="0.25">
      <c r="A201" s="112"/>
      <c r="B201" s="115"/>
      <c r="C201" s="93"/>
      <c r="D201" s="15"/>
      <c r="E201" s="8"/>
      <c r="F201" s="11"/>
      <c r="G201" s="8"/>
      <c r="H201" s="15"/>
      <c r="I201" s="15"/>
    </row>
    <row r="202" spans="1:9" x14ac:dyDescent="0.25">
      <c r="A202" s="112"/>
      <c r="B202" s="115"/>
      <c r="C202" s="93"/>
      <c r="D202" s="15"/>
      <c r="E202" s="8"/>
      <c r="F202" s="11"/>
      <c r="G202" s="8"/>
      <c r="H202" s="15"/>
      <c r="I202" s="15"/>
    </row>
    <row r="203" spans="1:9" x14ac:dyDescent="0.25">
      <c r="A203" s="112"/>
      <c r="B203" s="115"/>
      <c r="C203" s="93"/>
      <c r="D203" s="15"/>
      <c r="E203" s="9"/>
      <c r="F203" s="12"/>
      <c r="G203" s="8"/>
      <c r="H203" s="15"/>
      <c r="I203" s="15"/>
    </row>
    <row r="204" spans="1:9" ht="13.2" customHeight="1" x14ac:dyDescent="0.25">
      <c r="A204" s="112"/>
      <c r="B204" s="115"/>
      <c r="C204" s="93"/>
      <c r="D204" s="15"/>
      <c r="E204" s="7" t="s">
        <v>38</v>
      </c>
      <c r="F204" s="10">
        <v>2.04</v>
      </c>
      <c r="G204" s="8"/>
      <c r="H204" s="15"/>
      <c r="I204" s="15"/>
    </row>
    <row r="205" spans="1:9" x14ac:dyDescent="0.25">
      <c r="A205" s="112"/>
      <c r="B205" s="115"/>
      <c r="C205" s="93"/>
      <c r="D205" s="15"/>
      <c r="E205" s="8"/>
      <c r="F205" s="11"/>
      <c r="G205" s="8"/>
      <c r="H205" s="15"/>
      <c r="I205" s="15"/>
    </row>
    <row r="206" spans="1:9" x14ac:dyDescent="0.25">
      <c r="A206" s="113"/>
      <c r="B206" s="116"/>
      <c r="C206" s="94"/>
      <c r="D206" s="16"/>
      <c r="E206" s="9"/>
      <c r="F206" s="12"/>
      <c r="G206" s="9"/>
      <c r="H206" s="16"/>
      <c r="I206" s="16"/>
    </row>
    <row r="207" spans="1:9" ht="13.2" customHeight="1" x14ac:dyDescent="0.25">
      <c r="A207" s="111" t="s">
        <v>84</v>
      </c>
      <c r="B207" s="114" t="s">
        <v>85</v>
      </c>
      <c r="C207" s="108" t="s">
        <v>20</v>
      </c>
      <c r="D207" s="20" t="s">
        <v>16</v>
      </c>
      <c r="E207" s="7" t="s">
        <v>86</v>
      </c>
      <c r="F207" s="10">
        <v>62.24</v>
      </c>
      <c r="G207" s="24" t="s">
        <v>37</v>
      </c>
      <c r="H207" s="14">
        <v>128.05000000000001</v>
      </c>
      <c r="I207" s="20" t="s">
        <v>16</v>
      </c>
    </row>
    <row r="208" spans="1:9" x14ac:dyDescent="0.25">
      <c r="A208" s="112"/>
      <c r="B208" s="115"/>
      <c r="C208" s="109"/>
      <c r="D208" s="21"/>
      <c r="E208" s="8"/>
      <c r="F208" s="11"/>
      <c r="G208" s="25"/>
      <c r="H208" s="15"/>
      <c r="I208" s="21"/>
    </row>
    <row r="209" spans="1:9" x14ac:dyDescent="0.25">
      <c r="A209" s="112"/>
      <c r="B209" s="115"/>
      <c r="C209" s="109"/>
      <c r="D209" s="21"/>
      <c r="E209" s="9"/>
      <c r="F209" s="12"/>
      <c r="G209" s="25"/>
      <c r="H209" s="15"/>
      <c r="I209" s="21"/>
    </row>
    <row r="210" spans="1:9" ht="13.2" customHeight="1" x14ac:dyDescent="0.25">
      <c r="A210" s="112"/>
      <c r="B210" s="115"/>
      <c r="C210" s="109"/>
      <c r="D210" s="21"/>
      <c r="E210" s="7" t="s">
        <v>38</v>
      </c>
      <c r="F210" s="10">
        <v>52.78</v>
      </c>
      <c r="G210" s="25"/>
      <c r="H210" s="15"/>
      <c r="I210" s="21"/>
    </row>
    <row r="211" spans="1:9" x14ac:dyDescent="0.25">
      <c r="A211" s="112"/>
      <c r="B211" s="115"/>
      <c r="C211" s="109"/>
      <c r="D211" s="21"/>
      <c r="E211" s="8"/>
      <c r="F211" s="11"/>
      <c r="G211" s="25"/>
      <c r="H211" s="15"/>
      <c r="I211" s="21"/>
    </row>
    <row r="212" spans="1:9" x14ac:dyDescent="0.25">
      <c r="A212" s="112"/>
      <c r="B212" s="115"/>
      <c r="C212" s="109"/>
      <c r="D212" s="21"/>
      <c r="E212" s="8"/>
      <c r="F212" s="11"/>
      <c r="G212" s="25"/>
      <c r="H212" s="15"/>
      <c r="I212" s="21"/>
    </row>
    <row r="213" spans="1:9" x14ac:dyDescent="0.25">
      <c r="A213" s="113"/>
      <c r="B213" s="116"/>
      <c r="C213" s="110"/>
      <c r="D213" s="22"/>
      <c r="E213" s="9"/>
      <c r="F213" s="12"/>
      <c r="G213" s="26"/>
      <c r="H213" s="16"/>
      <c r="I213" s="22"/>
    </row>
    <row r="214" spans="1:9" ht="20.399999999999999" x14ac:dyDescent="0.25">
      <c r="A214" s="67" t="s">
        <v>87</v>
      </c>
      <c r="B214" s="64" t="s">
        <v>88</v>
      </c>
      <c r="C214" s="92" t="s">
        <v>89</v>
      </c>
      <c r="D214" s="102">
        <v>41.2</v>
      </c>
      <c r="E214" s="3" t="s">
        <v>105</v>
      </c>
      <c r="F214" s="29">
        <v>18.920000000000002</v>
      </c>
      <c r="G214" s="73" t="s">
        <v>111</v>
      </c>
      <c r="H214" s="102">
        <v>41.2</v>
      </c>
      <c r="I214" s="70">
        <v>28.98</v>
      </c>
    </row>
    <row r="215" spans="1:9" x14ac:dyDescent="0.25">
      <c r="A215" s="68"/>
      <c r="B215" s="65"/>
      <c r="C215" s="93"/>
      <c r="D215" s="103"/>
      <c r="E215" s="73" t="s">
        <v>106</v>
      </c>
      <c r="F215" s="70">
        <v>43.67</v>
      </c>
      <c r="G215" s="74"/>
      <c r="H215" s="103"/>
      <c r="I215" s="71"/>
    </row>
    <row r="216" spans="1:9" x14ac:dyDescent="0.25">
      <c r="A216" s="68"/>
      <c r="B216" s="65"/>
      <c r="C216" s="93"/>
      <c r="D216" s="103"/>
      <c r="E216" s="75"/>
      <c r="F216" s="72"/>
      <c r="G216" s="74"/>
      <c r="H216" s="103"/>
      <c r="I216" s="71"/>
    </row>
    <row r="217" spans="1:9" x14ac:dyDescent="0.25">
      <c r="A217" s="68"/>
      <c r="B217" s="65"/>
      <c r="C217" s="93"/>
      <c r="D217" s="103"/>
      <c r="E217" s="73" t="s">
        <v>107</v>
      </c>
      <c r="F217" s="90">
        <v>42.06</v>
      </c>
      <c r="G217" s="74"/>
      <c r="H217" s="103"/>
      <c r="I217" s="71"/>
    </row>
    <row r="218" spans="1:9" x14ac:dyDescent="0.25">
      <c r="A218" s="68"/>
      <c r="B218" s="65"/>
      <c r="C218" s="93"/>
      <c r="D218" s="103"/>
      <c r="E218" s="75"/>
      <c r="F218" s="91"/>
      <c r="G218" s="74"/>
      <c r="H218" s="103"/>
      <c r="I218" s="71"/>
    </row>
    <row r="219" spans="1:9" x14ac:dyDescent="0.25">
      <c r="A219" s="68"/>
      <c r="B219" s="65"/>
      <c r="C219" s="93"/>
      <c r="D219" s="103"/>
      <c r="E219" s="73" t="s">
        <v>108</v>
      </c>
      <c r="F219" s="79">
        <v>7.68</v>
      </c>
      <c r="G219" s="74"/>
      <c r="H219" s="103"/>
      <c r="I219" s="71"/>
    </row>
    <row r="220" spans="1:9" x14ac:dyDescent="0.25">
      <c r="A220" s="69"/>
      <c r="B220" s="66"/>
      <c r="C220" s="94"/>
      <c r="D220" s="104"/>
      <c r="E220" s="75"/>
      <c r="F220" s="83"/>
      <c r="G220" s="75"/>
      <c r="H220" s="104"/>
      <c r="I220" s="72"/>
    </row>
    <row r="221" spans="1:9" x14ac:dyDescent="0.25">
      <c r="A221" s="67" t="s">
        <v>90</v>
      </c>
      <c r="B221" s="55" t="s">
        <v>91</v>
      </c>
      <c r="C221" s="61" t="s">
        <v>92</v>
      </c>
      <c r="D221" s="70">
        <v>8.86</v>
      </c>
      <c r="E221" s="73" t="s">
        <v>105</v>
      </c>
      <c r="F221" s="90">
        <v>16.36</v>
      </c>
      <c r="G221" s="73" t="s">
        <v>112</v>
      </c>
      <c r="H221" s="70">
        <v>8.86</v>
      </c>
      <c r="I221" s="52" t="s">
        <v>100</v>
      </c>
    </row>
    <row r="222" spans="1:9" x14ac:dyDescent="0.25">
      <c r="A222" s="68"/>
      <c r="B222" s="56"/>
      <c r="C222" s="62"/>
      <c r="D222" s="71"/>
      <c r="E222" s="75"/>
      <c r="F222" s="91"/>
      <c r="G222" s="74"/>
      <c r="H222" s="71"/>
      <c r="I222" s="53"/>
    </row>
    <row r="223" spans="1:9" ht="61.2" x14ac:dyDescent="0.25">
      <c r="A223" s="68"/>
      <c r="B223" s="56"/>
      <c r="C223" s="62"/>
      <c r="D223" s="71"/>
      <c r="E223" s="3" t="s">
        <v>109</v>
      </c>
      <c r="F223" s="30">
        <v>20.07</v>
      </c>
      <c r="G223" s="74"/>
      <c r="H223" s="71"/>
      <c r="I223" s="53"/>
    </row>
    <row r="224" spans="1:9" x14ac:dyDescent="0.25">
      <c r="A224" s="68"/>
      <c r="B224" s="56"/>
      <c r="C224" s="62"/>
      <c r="D224" s="71"/>
      <c r="E224" s="73" t="s">
        <v>110</v>
      </c>
      <c r="F224" s="70">
        <v>18.3</v>
      </c>
      <c r="G224" s="74"/>
      <c r="H224" s="71"/>
      <c r="I224" s="53"/>
    </row>
    <row r="225" spans="1:9" x14ac:dyDescent="0.25">
      <c r="A225" s="68"/>
      <c r="B225" s="56"/>
      <c r="C225" s="62"/>
      <c r="D225" s="71"/>
      <c r="E225" s="74"/>
      <c r="F225" s="71"/>
      <c r="G225" s="74"/>
      <c r="H225" s="71"/>
      <c r="I225" s="53"/>
    </row>
    <row r="226" spans="1:9" x14ac:dyDescent="0.25">
      <c r="A226" s="69"/>
      <c r="B226" s="57"/>
      <c r="C226" s="63"/>
      <c r="D226" s="72"/>
      <c r="E226" s="75"/>
      <c r="F226" s="72"/>
      <c r="G226" s="75"/>
      <c r="H226" s="72"/>
      <c r="I226" s="54"/>
    </row>
    <row r="227" spans="1:9" ht="20.399999999999999" x14ac:dyDescent="0.25">
      <c r="A227" s="67" t="s">
        <v>93</v>
      </c>
      <c r="B227" s="67" t="s">
        <v>94</v>
      </c>
      <c r="C227" s="61" t="s">
        <v>92</v>
      </c>
      <c r="D227" s="70">
        <v>4.72</v>
      </c>
      <c r="E227" s="3" t="s">
        <v>105</v>
      </c>
      <c r="F227" s="29">
        <v>12.8</v>
      </c>
      <c r="G227" s="73" t="s">
        <v>112</v>
      </c>
      <c r="H227" s="70">
        <v>4.72</v>
      </c>
      <c r="I227" s="52" t="s">
        <v>100</v>
      </c>
    </row>
    <row r="228" spans="1:9" x14ac:dyDescent="0.25">
      <c r="A228" s="68"/>
      <c r="B228" s="68"/>
      <c r="C228" s="62"/>
      <c r="D228" s="71"/>
      <c r="E228" s="73" t="s">
        <v>109</v>
      </c>
      <c r="F228" s="70">
        <v>20.64</v>
      </c>
      <c r="G228" s="74"/>
      <c r="H228" s="71"/>
      <c r="I228" s="53"/>
    </row>
    <row r="229" spans="1:9" x14ac:dyDescent="0.25">
      <c r="A229" s="68"/>
      <c r="B229" s="68"/>
      <c r="C229" s="62"/>
      <c r="D229" s="71"/>
      <c r="E229" s="74"/>
      <c r="F229" s="71"/>
      <c r="G229" s="74"/>
      <c r="H229" s="71"/>
      <c r="I229" s="53"/>
    </row>
    <row r="230" spans="1:9" x14ac:dyDescent="0.25">
      <c r="A230" s="68"/>
      <c r="B230" s="68"/>
      <c r="C230" s="62"/>
      <c r="D230" s="71"/>
      <c r="E230" s="74"/>
      <c r="F230" s="71"/>
      <c r="G230" s="74"/>
      <c r="H230" s="71"/>
      <c r="I230" s="53"/>
    </row>
    <row r="231" spans="1:9" x14ac:dyDescent="0.25">
      <c r="A231" s="68"/>
      <c r="B231" s="68"/>
      <c r="C231" s="62"/>
      <c r="D231" s="71"/>
      <c r="E231" s="74"/>
      <c r="F231" s="71"/>
      <c r="G231" s="74"/>
      <c r="H231" s="71"/>
      <c r="I231" s="53"/>
    </row>
    <row r="232" spans="1:9" x14ac:dyDescent="0.25">
      <c r="A232" s="68"/>
      <c r="B232" s="68"/>
      <c r="C232" s="62"/>
      <c r="D232" s="71"/>
      <c r="E232" s="75"/>
      <c r="F232" s="72"/>
      <c r="G232" s="74"/>
      <c r="H232" s="71"/>
      <c r="I232" s="53"/>
    </row>
    <row r="233" spans="1:9" x14ac:dyDescent="0.25">
      <c r="A233" s="68"/>
      <c r="B233" s="68"/>
      <c r="C233" s="62"/>
      <c r="D233" s="71"/>
      <c r="E233" s="73" t="s">
        <v>110</v>
      </c>
      <c r="F233" s="79">
        <v>6.69</v>
      </c>
      <c r="G233" s="74"/>
      <c r="H233" s="71"/>
      <c r="I233" s="53"/>
    </row>
    <row r="234" spans="1:9" x14ac:dyDescent="0.25">
      <c r="A234" s="68"/>
      <c r="B234" s="68"/>
      <c r="C234" s="62"/>
      <c r="D234" s="71"/>
      <c r="E234" s="74"/>
      <c r="F234" s="80"/>
      <c r="G234" s="74"/>
      <c r="H234" s="71"/>
      <c r="I234" s="53"/>
    </row>
    <row r="235" spans="1:9" x14ac:dyDescent="0.25">
      <c r="A235" s="69"/>
      <c r="B235" s="69"/>
      <c r="C235" s="63"/>
      <c r="D235" s="72"/>
      <c r="E235" s="75"/>
      <c r="F235" s="83"/>
      <c r="G235" s="75"/>
      <c r="H235" s="72"/>
      <c r="I235" s="54"/>
    </row>
    <row r="236" spans="1:9" x14ac:dyDescent="0.25">
      <c r="A236" s="67" t="s">
        <v>95</v>
      </c>
      <c r="B236" s="67" t="s">
        <v>96</v>
      </c>
      <c r="C236" s="61" t="s">
        <v>92</v>
      </c>
      <c r="D236" s="70">
        <v>4.84</v>
      </c>
      <c r="E236" s="73" t="s">
        <v>105</v>
      </c>
      <c r="F236" s="90">
        <v>11.51</v>
      </c>
      <c r="G236" s="73" t="s">
        <v>112</v>
      </c>
      <c r="H236" s="79">
        <v>4.84</v>
      </c>
      <c r="I236" s="52" t="s">
        <v>100</v>
      </c>
    </row>
    <row r="237" spans="1:9" x14ac:dyDescent="0.25">
      <c r="A237" s="68"/>
      <c r="B237" s="68"/>
      <c r="C237" s="62"/>
      <c r="D237" s="71"/>
      <c r="E237" s="75"/>
      <c r="F237" s="91"/>
      <c r="G237" s="74"/>
      <c r="H237" s="80"/>
      <c r="I237" s="53"/>
    </row>
    <row r="238" spans="1:9" x14ac:dyDescent="0.25">
      <c r="A238" s="68"/>
      <c r="B238" s="68"/>
      <c r="C238" s="62"/>
      <c r="D238" s="71"/>
      <c r="E238" s="73" t="s">
        <v>109</v>
      </c>
      <c r="F238" s="70">
        <v>20.54</v>
      </c>
      <c r="G238" s="74"/>
      <c r="H238" s="80"/>
      <c r="I238" s="53"/>
    </row>
    <row r="239" spans="1:9" x14ac:dyDescent="0.25">
      <c r="A239" s="68"/>
      <c r="B239" s="68"/>
      <c r="C239" s="62"/>
      <c r="D239" s="71"/>
      <c r="E239" s="74"/>
      <c r="F239" s="71"/>
      <c r="G239" s="74"/>
      <c r="H239" s="80"/>
      <c r="I239" s="53"/>
    </row>
    <row r="240" spans="1:9" x14ac:dyDescent="0.25">
      <c r="A240" s="68"/>
      <c r="B240" s="68"/>
      <c r="C240" s="62"/>
      <c r="D240" s="71"/>
      <c r="E240" s="75"/>
      <c r="F240" s="72"/>
      <c r="G240" s="74"/>
      <c r="H240" s="80"/>
      <c r="I240" s="53"/>
    </row>
    <row r="241" spans="1:9" x14ac:dyDescent="0.25">
      <c r="A241" s="68"/>
      <c r="B241" s="68"/>
      <c r="C241" s="62"/>
      <c r="D241" s="71"/>
      <c r="E241" s="73" t="s">
        <v>110</v>
      </c>
      <c r="F241" s="79">
        <v>6.78</v>
      </c>
      <c r="G241" s="74"/>
      <c r="H241" s="80"/>
      <c r="I241" s="53"/>
    </row>
    <row r="242" spans="1:9" x14ac:dyDescent="0.25">
      <c r="A242" s="68"/>
      <c r="B242" s="68"/>
      <c r="C242" s="62"/>
      <c r="D242" s="71"/>
      <c r="E242" s="74"/>
      <c r="F242" s="80"/>
      <c r="G242" s="74"/>
      <c r="H242" s="80"/>
      <c r="I242" s="53"/>
    </row>
    <row r="243" spans="1:9" x14ac:dyDescent="0.25">
      <c r="A243" s="69"/>
      <c r="B243" s="69"/>
      <c r="C243" s="63"/>
      <c r="D243" s="72"/>
      <c r="E243" s="75"/>
      <c r="F243" s="83"/>
      <c r="G243" s="75"/>
      <c r="H243" s="83"/>
      <c r="I243" s="54"/>
    </row>
    <row r="244" spans="1:9" x14ac:dyDescent="0.25">
      <c r="A244" s="67" t="s">
        <v>97</v>
      </c>
      <c r="B244" s="55" t="s">
        <v>98</v>
      </c>
      <c r="C244" s="105" t="s">
        <v>99</v>
      </c>
      <c r="D244" s="52" t="s">
        <v>100</v>
      </c>
      <c r="E244" s="73" t="s">
        <v>105</v>
      </c>
      <c r="F244" s="90">
        <v>16.71</v>
      </c>
      <c r="G244" s="73" t="s">
        <v>113</v>
      </c>
      <c r="H244" s="102">
        <v>16.600000000000001</v>
      </c>
      <c r="I244" s="70">
        <v>15.89</v>
      </c>
    </row>
    <row r="245" spans="1:9" x14ac:dyDescent="0.25">
      <c r="A245" s="68"/>
      <c r="B245" s="56"/>
      <c r="C245" s="106"/>
      <c r="D245" s="53"/>
      <c r="E245" s="75"/>
      <c r="F245" s="91"/>
      <c r="G245" s="74"/>
      <c r="H245" s="103"/>
      <c r="I245" s="71"/>
    </row>
    <row r="246" spans="1:9" x14ac:dyDescent="0.25">
      <c r="A246" s="68"/>
      <c r="B246" s="56"/>
      <c r="C246" s="106"/>
      <c r="D246" s="53"/>
      <c r="E246" s="73" t="s">
        <v>107</v>
      </c>
      <c r="F246" s="70">
        <v>73.319999999999993</v>
      </c>
      <c r="G246" s="74"/>
      <c r="H246" s="103"/>
      <c r="I246" s="71"/>
    </row>
    <row r="247" spans="1:9" x14ac:dyDescent="0.25">
      <c r="A247" s="68"/>
      <c r="B247" s="56"/>
      <c r="C247" s="106"/>
      <c r="D247" s="53"/>
      <c r="E247" s="74"/>
      <c r="F247" s="71"/>
      <c r="G247" s="74"/>
      <c r="H247" s="103"/>
      <c r="I247" s="71"/>
    </row>
    <row r="248" spans="1:9" x14ac:dyDescent="0.25">
      <c r="A248" s="68"/>
      <c r="B248" s="56"/>
      <c r="C248" s="106"/>
      <c r="D248" s="53"/>
      <c r="E248" s="74"/>
      <c r="F248" s="71"/>
      <c r="G248" s="74"/>
      <c r="H248" s="103"/>
      <c r="I248" s="71"/>
    </row>
    <row r="249" spans="1:9" x14ac:dyDescent="0.25">
      <c r="A249" s="69"/>
      <c r="B249" s="57"/>
      <c r="C249" s="107"/>
      <c r="D249" s="54"/>
      <c r="E249" s="75"/>
      <c r="F249" s="72"/>
      <c r="G249" s="75"/>
      <c r="H249" s="104"/>
      <c r="I249" s="72"/>
    </row>
    <row r="250" spans="1:9" x14ac:dyDescent="0.25">
      <c r="A250" s="67" t="s">
        <v>101</v>
      </c>
      <c r="B250" s="67" t="s">
        <v>102</v>
      </c>
      <c r="C250" s="92" t="s">
        <v>89</v>
      </c>
      <c r="D250" s="70">
        <v>10.34</v>
      </c>
      <c r="E250" s="73" t="s">
        <v>105</v>
      </c>
      <c r="F250" s="90">
        <v>12.07</v>
      </c>
      <c r="G250" s="73" t="s">
        <v>111</v>
      </c>
      <c r="H250" s="70">
        <v>10.34</v>
      </c>
      <c r="I250" s="70">
        <v>13.29</v>
      </c>
    </row>
    <row r="251" spans="1:9" x14ac:dyDescent="0.25">
      <c r="A251" s="68"/>
      <c r="B251" s="68"/>
      <c r="C251" s="93"/>
      <c r="D251" s="71"/>
      <c r="E251" s="75"/>
      <c r="F251" s="91"/>
      <c r="G251" s="74"/>
      <c r="H251" s="71"/>
      <c r="I251" s="71"/>
    </row>
    <row r="252" spans="1:9" x14ac:dyDescent="0.25">
      <c r="A252" s="68"/>
      <c r="B252" s="68"/>
      <c r="C252" s="93"/>
      <c r="D252" s="71"/>
      <c r="E252" s="73" t="s">
        <v>106</v>
      </c>
      <c r="F252" s="70">
        <v>27.05</v>
      </c>
      <c r="G252" s="74"/>
      <c r="H252" s="71"/>
      <c r="I252" s="71"/>
    </row>
    <row r="253" spans="1:9" x14ac:dyDescent="0.25">
      <c r="A253" s="68"/>
      <c r="B253" s="68"/>
      <c r="C253" s="93"/>
      <c r="D253" s="71"/>
      <c r="E253" s="74"/>
      <c r="F253" s="71"/>
      <c r="G253" s="74"/>
      <c r="H253" s="71"/>
      <c r="I253" s="71"/>
    </row>
    <row r="254" spans="1:9" x14ac:dyDescent="0.25">
      <c r="A254" s="68"/>
      <c r="B254" s="68"/>
      <c r="C254" s="93"/>
      <c r="D254" s="71"/>
      <c r="E254" s="74"/>
      <c r="F254" s="71"/>
      <c r="G254" s="74"/>
      <c r="H254" s="71"/>
      <c r="I254" s="71"/>
    </row>
    <row r="255" spans="1:9" x14ac:dyDescent="0.25">
      <c r="A255" s="68"/>
      <c r="B255" s="68"/>
      <c r="C255" s="93"/>
      <c r="D255" s="71"/>
      <c r="E255" s="74"/>
      <c r="F255" s="71"/>
      <c r="G255" s="74"/>
      <c r="H255" s="71"/>
      <c r="I255" s="71"/>
    </row>
    <row r="256" spans="1:9" x14ac:dyDescent="0.25">
      <c r="A256" s="68"/>
      <c r="B256" s="68"/>
      <c r="C256" s="93"/>
      <c r="D256" s="71"/>
      <c r="E256" s="74"/>
      <c r="F256" s="71"/>
      <c r="G256" s="74"/>
      <c r="H256" s="71"/>
      <c r="I256" s="71"/>
    </row>
    <row r="257" spans="1:9" x14ac:dyDescent="0.25">
      <c r="A257" s="68"/>
      <c r="B257" s="68"/>
      <c r="C257" s="93"/>
      <c r="D257" s="71"/>
      <c r="E257" s="75"/>
      <c r="F257" s="72"/>
      <c r="G257" s="74"/>
      <c r="H257" s="71"/>
      <c r="I257" s="71"/>
    </row>
    <row r="258" spans="1:9" x14ac:dyDescent="0.25">
      <c r="A258" s="68"/>
      <c r="B258" s="68"/>
      <c r="C258" s="93"/>
      <c r="D258" s="71"/>
      <c r="E258" s="73" t="s">
        <v>107</v>
      </c>
      <c r="F258" s="70">
        <v>14.04</v>
      </c>
      <c r="G258" s="74"/>
      <c r="H258" s="71"/>
      <c r="I258" s="71"/>
    </row>
    <row r="259" spans="1:9" x14ac:dyDescent="0.25">
      <c r="A259" s="68"/>
      <c r="B259" s="68"/>
      <c r="C259" s="93"/>
      <c r="D259" s="71"/>
      <c r="E259" s="74"/>
      <c r="F259" s="71"/>
      <c r="G259" s="74"/>
      <c r="H259" s="71"/>
      <c r="I259" s="71"/>
    </row>
    <row r="260" spans="1:9" x14ac:dyDescent="0.25">
      <c r="A260" s="68"/>
      <c r="B260" s="68"/>
      <c r="C260" s="93"/>
      <c r="D260" s="71"/>
      <c r="E260" s="74"/>
      <c r="F260" s="71"/>
      <c r="G260" s="74"/>
      <c r="H260" s="71"/>
      <c r="I260" s="71"/>
    </row>
    <row r="261" spans="1:9" x14ac:dyDescent="0.25">
      <c r="A261" s="69"/>
      <c r="B261" s="69"/>
      <c r="C261" s="94"/>
      <c r="D261" s="72"/>
      <c r="E261" s="75"/>
      <c r="F261" s="72"/>
      <c r="G261" s="75"/>
      <c r="H261" s="72"/>
      <c r="I261" s="72"/>
    </row>
    <row r="262" spans="1:9" ht="20.399999999999999" x14ac:dyDescent="0.25">
      <c r="A262" s="67" t="s">
        <v>103</v>
      </c>
      <c r="B262" s="55" t="s">
        <v>104</v>
      </c>
      <c r="C262" s="92" t="s">
        <v>89</v>
      </c>
      <c r="D262" s="102">
        <v>10.3</v>
      </c>
      <c r="E262" s="3" t="s">
        <v>105</v>
      </c>
      <c r="F262" s="29">
        <v>8.89</v>
      </c>
      <c r="G262" s="73" t="s">
        <v>111</v>
      </c>
      <c r="H262" s="70">
        <v>10.3</v>
      </c>
      <c r="I262" s="70">
        <v>11.99</v>
      </c>
    </row>
    <row r="263" spans="1:9" x14ac:dyDescent="0.25">
      <c r="A263" s="68"/>
      <c r="B263" s="56"/>
      <c r="C263" s="93"/>
      <c r="D263" s="103"/>
      <c r="E263" s="73" t="s">
        <v>106</v>
      </c>
      <c r="F263" s="70">
        <v>18.12</v>
      </c>
      <c r="G263" s="74"/>
      <c r="H263" s="71"/>
      <c r="I263" s="71"/>
    </row>
    <row r="264" spans="1:9" x14ac:dyDescent="0.25">
      <c r="A264" s="68"/>
      <c r="B264" s="56"/>
      <c r="C264" s="93"/>
      <c r="D264" s="103"/>
      <c r="E264" s="74"/>
      <c r="F264" s="71"/>
      <c r="G264" s="74"/>
      <c r="H264" s="71"/>
      <c r="I264" s="71"/>
    </row>
    <row r="265" spans="1:9" x14ac:dyDescent="0.25">
      <c r="A265" s="68"/>
      <c r="B265" s="56"/>
      <c r="C265" s="93"/>
      <c r="D265" s="103"/>
      <c r="E265" s="74"/>
      <c r="F265" s="71"/>
      <c r="G265" s="74"/>
      <c r="H265" s="71"/>
      <c r="I265" s="71"/>
    </row>
    <row r="266" spans="1:9" x14ac:dyDescent="0.25">
      <c r="A266" s="68"/>
      <c r="B266" s="56"/>
      <c r="C266" s="93"/>
      <c r="D266" s="103"/>
      <c r="E266" s="75"/>
      <c r="F266" s="72"/>
      <c r="G266" s="74"/>
      <c r="H266" s="71"/>
      <c r="I266" s="71"/>
    </row>
    <row r="267" spans="1:9" x14ac:dyDescent="0.25">
      <c r="A267" s="68"/>
      <c r="B267" s="56"/>
      <c r="C267" s="93"/>
      <c r="D267" s="103"/>
      <c r="E267" s="73" t="s">
        <v>107</v>
      </c>
      <c r="F267" s="70">
        <v>20.76</v>
      </c>
      <c r="G267" s="74"/>
      <c r="H267" s="71"/>
      <c r="I267" s="71"/>
    </row>
    <row r="268" spans="1:9" x14ac:dyDescent="0.25">
      <c r="A268" s="68"/>
      <c r="B268" s="56"/>
      <c r="C268" s="93"/>
      <c r="D268" s="103"/>
      <c r="E268" s="74"/>
      <c r="F268" s="71"/>
      <c r="G268" s="74"/>
      <c r="H268" s="71"/>
      <c r="I268" s="71"/>
    </row>
    <row r="269" spans="1:9" x14ac:dyDescent="0.25">
      <c r="A269" s="68"/>
      <c r="B269" s="56"/>
      <c r="C269" s="93"/>
      <c r="D269" s="103"/>
      <c r="E269" s="74"/>
      <c r="F269" s="71"/>
      <c r="G269" s="74"/>
      <c r="H269" s="71"/>
      <c r="I269" s="71"/>
    </row>
    <row r="270" spans="1:9" x14ac:dyDescent="0.25">
      <c r="A270" s="69"/>
      <c r="B270" s="57"/>
      <c r="C270" s="94"/>
      <c r="D270" s="104"/>
      <c r="E270" s="75"/>
      <c r="F270" s="72"/>
      <c r="G270" s="75"/>
      <c r="H270" s="72"/>
      <c r="I270" s="72"/>
    </row>
    <row r="271" spans="1:9" x14ac:dyDescent="0.25">
      <c r="A271" s="101" t="s">
        <v>125</v>
      </c>
      <c r="B271" s="61" t="s">
        <v>114</v>
      </c>
      <c r="C271" s="82" t="s">
        <v>89</v>
      </c>
      <c r="D271" s="82" t="s">
        <v>126</v>
      </c>
      <c r="E271" s="81" t="s">
        <v>105</v>
      </c>
      <c r="F271" s="61">
        <v>64.92</v>
      </c>
      <c r="G271" s="81" t="s">
        <v>145</v>
      </c>
      <c r="H271" s="82">
        <v>54.41</v>
      </c>
      <c r="I271" s="82" t="s">
        <v>146</v>
      </c>
    </row>
    <row r="272" spans="1:9" x14ac:dyDescent="0.25">
      <c r="A272" s="59"/>
      <c r="B272" s="62"/>
      <c r="C272" s="62"/>
      <c r="D272" s="62"/>
      <c r="E272" s="75"/>
      <c r="F272" s="63"/>
      <c r="G272" s="74"/>
      <c r="H272" s="62"/>
      <c r="I272" s="62"/>
    </row>
    <row r="273" spans="1:9" x14ac:dyDescent="0.25">
      <c r="A273" s="59"/>
      <c r="B273" s="62"/>
      <c r="C273" s="62"/>
      <c r="D273" s="62"/>
      <c r="E273" s="1"/>
      <c r="F273" s="1"/>
      <c r="G273" s="74"/>
      <c r="H273" s="62"/>
      <c r="I273" s="62"/>
    </row>
    <row r="274" spans="1:9" ht="81.599999999999994" x14ac:dyDescent="0.25">
      <c r="A274" s="59"/>
      <c r="B274" s="62"/>
      <c r="C274" s="62"/>
      <c r="D274" s="62"/>
      <c r="E274" s="3" t="s">
        <v>127</v>
      </c>
      <c r="F274" s="30">
        <v>158.91</v>
      </c>
      <c r="G274" s="74"/>
      <c r="H274" s="62"/>
      <c r="I274" s="62"/>
    </row>
    <row r="275" spans="1:9" x14ac:dyDescent="0.25">
      <c r="A275" s="59"/>
      <c r="B275" s="62"/>
      <c r="C275" s="62"/>
      <c r="D275" s="62"/>
      <c r="E275" s="1"/>
      <c r="F275" s="1"/>
      <c r="G275" s="74"/>
      <c r="H275" s="62"/>
      <c r="I275" s="62"/>
    </row>
    <row r="276" spans="1:9" ht="51" x14ac:dyDescent="0.25">
      <c r="A276" s="59"/>
      <c r="B276" s="62"/>
      <c r="C276" s="62"/>
      <c r="D276" s="62"/>
      <c r="E276" s="3" t="s">
        <v>107</v>
      </c>
      <c r="F276" s="29">
        <v>4.3499999999999996</v>
      </c>
      <c r="G276" s="74"/>
      <c r="H276" s="62"/>
      <c r="I276" s="62"/>
    </row>
    <row r="277" spans="1:9" x14ac:dyDescent="0.25">
      <c r="A277" s="59"/>
      <c r="B277" s="62"/>
      <c r="C277" s="62"/>
      <c r="D277" s="62"/>
      <c r="E277" s="1"/>
      <c r="F277" s="1"/>
      <c r="G277" s="74"/>
      <c r="H277" s="62"/>
      <c r="I277" s="62"/>
    </row>
    <row r="278" spans="1:9" ht="61.2" x14ac:dyDescent="0.25">
      <c r="A278" s="60"/>
      <c r="B278" s="63"/>
      <c r="C278" s="63"/>
      <c r="D278" s="63"/>
      <c r="E278" s="3" t="s">
        <v>108</v>
      </c>
      <c r="F278" s="30">
        <v>1.92</v>
      </c>
      <c r="G278" s="75"/>
      <c r="H278" s="63"/>
      <c r="I278" s="63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49" t="s">
        <v>115</v>
      </c>
      <c r="B280" s="98" t="s">
        <v>116</v>
      </c>
      <c r="C280" s="61" t="s">
        <v>89</v>
      </c>
      <c r="D280" s="70">
        <v>8.32</v>
      </c>
      <c r="E280" s="73" t="s">
        <v>128</v>
      </c>
      <c r="F280" s="70">
        <v>35.799999999999997</v>
      </c>
      <c r="G280" s="73" t="s">
        <v>111</v>
      </c>
      <c r="H280" s="79">
        <v>8.32</v>
      </c>
      <c r="I280" s="70">
        <v>10.59</v>
      </c>
    </row>
    <row r="281" spans="1:9" x14ac:dyDescent="0.25">
      <c r="A281" s="50"/>
      <c r="B281" s="99"/>
      <c r="C281" s="62"/>
      <c r="D281" s="71"/>
      <c r="E281" s="74"/>
      <c r="F281" s="71"/>
      <c r="G281" s="74"/>
      <c r="H281" s="80"/>
      <c r="I281" s="71"/>
    </row>
    <row r="282" spans="1:9" x14ac:dyDescent="0.25">
      <c r="A282" s="51"/>
      <c r="B282" s="100"/>
      <c r="C282" s="63"/>
      <c r="D282" s="72"/>
      <c r="E282" s="75"/>
      <c r="F282" s="72"/>
      <c r="G282" s="75"/>
      <c r="H282" s="83"/>
      <c r="I282" s="72"/>
    </row>
    <row r="283" spans="1:9" x14ac:dyDescent="0.25">
      <c r="A283" s="49" t="s">
        <v>117</v>
      </c>
      <c r="B283" s="64" t="s">
        <v>118</v>
      </c>
      <c r="C283" s="61" t="s">
        <v>89</v>
      </c>
      <c r="D283" s="79">
        <v>7.07</v>
      </c>
      <c r="E283" s="73" t="s">
        <v>129</v>
      </c>
      <c r="F283" s="70">
        <v>35.799999999999997</v>
      </c>
      <c r="G283" s="73" t="s">
        <v>111</v>
      </c>
      <c r="H283" s="79">
        <v>7.07</v>
      </c>
      <c r="I283" s="79">
        <v>9.59</v>
      </c>
    </row>
    <row r="284" spans="1:9" x14ac:dyDescent="0.25">
      <c r="A284" s="50"/>
      <c r="B284" s="65"/>
      <c r="C284" s="62"/>
      <c r="D284" s="80"/>
      <c r="E284" s="74"/>
      <c r="F284" s="71"/>
      <c r="G284" s="74"/>
      <c r="H284" s="80"/>
      <c r="I284" s="80"/>
    </row>
    <row r="285" spans="1:9" x14ac:dyDescent="0.25">
      <c r="A285" s="50"/>
      <c r="B285" s="65"/>
      <c r="C285" s="62"/>
      <c r="D285" s="80"/>
      <c r="E285" s="74"/>
      <c r="F285" s="71"/>
      <c r="G285" s="74"/>
      <c r="H285" s="80"/>
      <c r="I285" s="80"/>
    </row>
    <row r="286" spans="1:9" x14ac:dyDescent="0.25">
      <c r="A286" s="50"/>
      <c r="B286" s="65"/>
      <c r="C286" s="62"/>
      <c r="D286" s="80"/>
      <c r="E286" s="74"/>
      <c r="F286" s="71"/>
      <c r="G286" s="74"/>
      <c r="H286" s="80"/>
      <c r="I286" s="80"/>
    </row>
    <row r="287" spans="1:9" x14ac:dyDescent="0.25">
      <c r="A287" s="50"/>
      <c r="B287" s="65"/>
      <c r="C287" s="62"/>
      <c r="D287" s="80"/>
      <c r="E287" s="75"/>
      <c r="F287" s="72"/>
      <c r="G287" s="74"/>
      <c r="H287" s="80"/>
      <c r="I287" s="80"/>
    </row>
    <row r="288" spans="1:9" ht="20.399999999999999" x14ac:dyDescent="0.25">
      <c r="A288" s="51"/>
      <c r="B288" s="66"/>
      <c r="C288" s="63"/>
      <c r="D288" s="83"/>
      <c r="E288" s="3" t="s">
        <v>130</v>
      </c>
      <c r="F288" s="29">
        <v>8.75</v>
      </c>
      <c r="G288" s="75"/>
      <c r="H288" s="83"/>
      <c r="I288" s="83"/>
    </row>
    <row r="289" spans="1:9" ht="20.399999999999999" x14ac:dyDescent="0.25">
      <c r="A289" s="49" t="s">
        <v>119</v>
      </c>
      <c r="B289" s="52" t="s">
        <v>120</v>
      </c>
      <c r="C289" s="92" t="s">
        <v>89</v>
      </c>
      <c r="D289" s="95">
        <v>16.73</v>
      </c>
      <c r="E289" s="3" t="s">
        <v>105</v>
      </c>
      <c r="F289" s="29">
        <v>17.78</v>
      </c>
      <c r="G289" s="84" t="s">
        <v>111</v>
      </c>
      <c r="H289" s="70">
        <v>17.38</v>
      </c>
      <c r="I289" s="70">
        <v>15.17</v>
      </c>
    </row>
    <row r="290" spans="1:9" x14ac:dyDescent="0.25">
      <c r="A290" s="50"/>
      <c r="B290" s="53"/>
      <c r="C290" s="93"/>
      <c r="D290" s="96"/>
      <c r="E290" s="73" t="s">
        <v>106</v>
      </c>
      <c r="F290" s="70">
        <v>35.75</v>
      </c>
      <c r="G290" s="85"/>
      <c r="H290" s="71"/>
      <c r="I290" s="71"/>
    </row>
    <row r="291" spans="1:9" x14ac:dyDescent="0.25">
      <c r="A291" s="50"/>
      <c r="B291" s="53"/>
      <c r="C291" s="93"/>
      <c r="D291" s="96"/>
      <c r="E291" s="74"/>
      <c r="F291" s="71"/>
      <c r="G291" s="85"/>
      <c r="H291" s="71"/>
      <c r="I291" s="71"/>
    </row>
    <row r="292" spans="1:9" x14ac:dyDescent="0.25">
      <c r="A292" s="50"/>
      <c r="B292" s="53"/>
      <c r="C292" s="93"/>
      <c r="D292" s="96"/>
      <c r="E292" s="74"/>
      <c r="F292" s="71"/>
      <c r="G292" s="85"/>
      <c r="H292" s="71"/>
      <c r="I292" s="71"/>
    </row>
    <row r="293" spans="1:9" x14ac:dyDescent="0.25">
      <c r="A293" s="50"/>
      <c r="B293" s="53"/>
      <c r="C293" s="93"/>
      <c r="D293" s="96"/>
      <c r="E293" s="74"/>
      <c r="F293" s="71"/>
      <c r="G293" s="85"/>
      <c r="H293" s="71"/>
      <c r="I293" s="71"/>
    </row>
    <row r="294" spans="1:9" x14ac:dyDescent="0.25">
      <c r="A294" s="50"/>
      <c r="B294" s="53"/>
      <c r="C294" s="93"/>
      <c r="D294" s="96"/>
      <c r="E294" s="75"/>
      <c r="F294" s="72"/>
      <c r="G294" s="85"/>
      <c r="H294" s="71"/>
      <c r="I294" s="71"/>
    </row>
    <row r="295" spans="1:9" x14ac:dyDescent="0.25">
      <c r="A295" s="50"/>
      <c r="B295" s="53"/>
      <c r="C295" s="93"/>
      <c r="D295" s="96"/>
      <c r="E295" s="73" t="s">
        <v>107</v>
      </c>
      <c r="F295" s="70">
        <v>14.7</v>
      </c>
      <c r="G295" s="85"/>
      <c r="H295" s="71"/>
      <c r="I295" s="71"/>
    </row>
    <row r="296" spans="1:9" x14ac:dyDescent="0.25">
      <c r="A296" s="50"/>
      <c r="B296" s="53"/>
      <c r="C296" s="93"/>
      <c r="D296" s="96"/>
      <c r="E296" s="74"/>
      <c r="F296" s="71"/>
      <c r="G296" s="85"/>
      <c r="H296" s="71"/>
      <c r="I296" s="71"/>
    </row>
    <row r="297" spans="1:9" x14ac:dyDescent="0.25">
      <c r="A297" s="50"/>
      <c r="B297" s="53"/>
      <c r="C297" s="93"/>
      <c r="D297" s="96"/>
      <c r="E297" s="75"/>
      <c r="F297" s="72"/>
      <c r="G297" s="85"/>
      <c r="H297" s="71"/>
      <c r="I297" s="71"/>
    </row>
    <row r="298" spans="1:9" x14ac:dyDescent="0.25">
      <c r="A298" s="50"/>
      <c r="B298" s="53"/>
      <c r="C298" s="93"/>
      <c r="D298" s="96"/>
      <c r="E298" s="73" t="s">
        <v>108</v>
      </c>
      <c r="F298" s="79">
        <v>1.92</v>
      </c>
      <c r="G298" s="85"/>
      <c r="H298" s="71"/>
      <c r="I298" s="71"/>
    </row>
    <row r="299" spans="1:9" x14ac:dyDescent="0.25">
      <c r="A299" s="50"/>
      <c r="B299" s="53"/>
      <c r="C299" s="93"/>
      <c r="D299" s="96"/>
      <c r="E299" s="74"/>
      <c r="F299" s="80"/>
      <c r="G299" s="85"/>
      <c r="H299" s="71"/>
      <c r="I299" s="71"/>
    </row>
    <row r="300" spans="1:9" x14ac:dyDescent="0.25">
      <c r="A300" s="51"/>
      <c r="B300" s="54"/>
      <c r="C300" s="94"/>
      <c r="D300" s="97"/>
      <c r="E300" s="75"/>
      <c r="F300" s="83"/>
      <c r="G300" s="86"/>
      <c r="H300" s="72"/>
      <c r="I300" s="72"/>
    </row>
    <row r="301" spans="1:9" x14ac:dyDescent="0.25">
      <c r="A301" s="49" t="s">
        <v>121</v>
      </c>
      <c r="B301" s="67" t="s">
        <v>122</v>
      </c>
      <c r="C301" s="92" t="s">
        <v>89</v>
      </c>
      <c r="D301" s="95">
        <v>17.989999999999998</v>
      </c>
      <c r="E301" s="73" t="s">
        <v>105</v>
      </c>
      <c r="F301" s="90">
        <v>16.43</v>
      </c>
      <c r="G301" s="87" t="s">
        <v>111</v>
      </c>
      <c r="H301" s="70">
        <v>17.989999999999998</v>
      </c>
      <c r="I301" s="70">
        <v>17.59</v>
      </c>
    </row>
    <row r="302" spans="1:9" x14ac:dyDescent="0.25">
      <c r="A302" s="50"/>
      <c r="B302" s="68"/>
      <c r="C302" s="93"/>
      <c r="D302" s="96"/>
      <c r="E302" s="75"/>
      <c r="F302" s="91"/>
      <c r="G302" s="88"/>
      <c r="H302" s="71"/>
      <c r="I302" s="71"/>
    </row>
    <row r="303" spans="1:9" x14ac:dyDescent="0.25">
      <c r="A303" s="50"/>
      <c r="B303" s="68"/>
      <c r="C303" s="93"/>
      <c r="D303" s="96"/>
      <c r="E303" s="73" t="s">
        <v>106</v>
      </c>
      <c r="F303" s="70">
        <v>43.52</v>
      </c>
      <c r="G303" s="88"/>
      <c r="H303" s="71"/>
      <c r="I303" s="71"/>
    </row>
    <row r="304" spans="1:9" x14ac:dyDescent="0.25">
      <c r="A304" s="50"/>
      <c r="B304" s="68"/>
      <c r="C304" s="93"/>
      <c r="D304" s="96"/>
      <c r="E304" s="74"/>
      <c r="F304" s="71"/>
      <c r="G304" s="88"/>
      <c r="H304" s="71"/>
      <c r="I304" s="71"/>
    </row>
    <row r="305" spans="1:9" x14ac:dyDescent="0.25">
      <c r="A305" s="50"/>
      <c r="B305" s="68"/>
      <c r="C305" s="93"/>
      <c r="D305" s="96"/>
      <c r="E305" s="74"/>
      <c r="F305" s="71"/>
      <c r="G305" s="88"/>
      <c r="H305" s="71"/>
      <c r="I305" s="71"/>
    </row>
    <row r="306" spans="1:9" x14ac:dyDescent="0.25">
      <c r="A306" s="50"/>
      <c r="B306" s="68"/>
      <c r="C306" s="93"/>
      <c r="D306" s="96"/>
      <c r="E306" s="74"/>
      <c r="F306" s="71"/>
      <c r="G306" s="88"/>
      <c r="H306" s="71"/>
      <c r="I306" s="71"/>
    </row>
    <row r="307" spans="1:9" x14ac:dyDescent="0.25">
      <c r="A307" s="50"/>
      <c r="B307" s="68"/>
      <c r="C307" s="93"/>
      <c r="D307" s="96"/>
      <c r="E307" s="74"/>
      <c r="F307" s="71"/>
      <c r="G307" s="88"/>
      <c r="H307" s="71"/>
      <c r="I307" s="71"/>
    </row>
    <row r="308" spans="1:9" x14ac:dyDescent="0.25">
      <c r="A308" s="50"/>
      <c r="B308" s="68"/>
      <c r="C308" s="93"/>
      <c r="D308" s="96"/>
      <c r="E308" s="75"/>
      <c r="F308" s="72"/>
      <c r="G308" s="88"/>
      <c r="H308" s="71"/>
      <c r="I308" s="71"/>
    </row>
    <row r="309" spans="1:9" x14ac:dyDescent="0.25">
      <c r="A309" s="50"/>
      <c r="B309" s="68"/>
      <c r="C309" s="93"/>
      <c r="D309" s="96"/>
      <c r="E309" s="73" t="s">
        <v>107</v>
      </c>
      <c r="F309" s="70">
        <v>12.33</v>
      </c>
      <c r="G309" s="88"/>
      <c r="H309" s="71"/>
      <c r="I309" s="71"/>
    </row>
    <row r="310" spans="1:9" x14ac:dyDescent="0.25">
      <c r="A310" s="50"/>
      <c r="B310" s="68"/>
      <c r="C310" s="93"/>
      <c r="D310" s="96"/>
      <c r="E310" s="74"/>
      <c r="F310" s="71"/>
      <c r="G310" s="88"/>
      <c r="H310" s="71"/>
      <c r="I310" s="71"/>
    </row>
    <row r="311" spans="1:9" x14ac:dyDescent="0.25">
      <c r="A311" s="50"/>
      <c r="B311" s="68"/>
      <c r="C311" s="93"/>
      <c r="D311" s="96"/>
      <c r="E311" s="74"/>
      <c r="F311" s="71"/>
      <c r="G311" s="88"/>
      <c r="H311" s="71"/>
      <c r="I311" s="71"/>
    </row>
    <row r="312" spans="1:9" x14ac:dyDescent="0.25">
      <c r="A312" s="50"/>
      <c r="B312" s="68"/>
      <c r="C312" s="93"/>
      <c r="D312" s="96"/>
      <c r="E312" s="75"/>
      <c r="F312" s="72"/>
      <c r="G312" s="88"/>
      <c r="H312" s="71"/>
      <c r="I312" s="71"/>
    </row>
    <row r="313" spans="1:9" x14ac:dyDescent="0.25">
      <c r="A313" s="50"/>
      <c r="B313" s="68"/>
      <c r="C313" s="93"/>
      <c r="D313" s="96"/>
      <c r="E313" s="73" t="s">
        <v>108</v>
      </c>
      <c r="F313" s="79">
        <v>1.92</v>
      </c>
      <c r="G313" s="88"/>
      <c r="H313" s="71"/>
      <c r="I313" s="71"/>
    </row>
    <row r="314" spans="1:9" x14ac:dyDescent="0.25">
      <c r="A314" s="50"/>
      <c r="B314" s="68"/>
      <c r="C314" s="93"/>
      <c r="D314" s="96"/>
      <c r="E314" s="74"/>
      <c r="F314" s="80"/>
      <c r="G314" s="88"/>
      <c r="H314" s="71"/>
      <c r="I314" s="71"/>
    </row>
    <row r="315" spans="1:9" x14ac:dyDescent="0.25">
      <c r="A315" s="50"/>
      <c r="B315" s="68"/>
      <c r="C315" s="93"/>
      <c r="D315" s="96"/>
      <c r="E315" s="74"/>
      <c r="F315" s="80"/>
      <c r="G315" s="88"/>
      <c r="H315" s="71"/>
      <c r="I315" s="71"/>
    </row>
    <row r="316" spans="1:9" x14ac:dyDescent="0.25">
      <c r="A316" s="51"/>
      <c r="B316" s="69"/>
      <c r="C316" s="94"/>
      <c r="D316" s="97"/>
      <c r="E316" s="75"/>
      <c r="F316" s="83"/>
      <c r="G316" s="89"/>
      <c r="H316" s="72"/>
      <c r="I316" s="72"/>
    </row>
    <row r="317" spans="1:9" x14ac:dyDescent="0.25">
      <c r="A317" s="49" t="s">
        <v>123</v>
      </c>
      <c r="B317" s="64" t="s">
        <v>124</v>
      </c>
      <c r="C317" s="92" t="s">
        <v>89</v>
      </c>
      <c r="D317" s="95">
        <v>16.63</v>
      </c>
      <c r="E317" s="73" t="s">
        <v>105</v>
      </c>
      <c r="F317" s="90">
        <v>18.899999999999999</v>
      </c>
      <c r="G317" s="84" t="s">
        <v>111</v>
      </c>
      <c r="H317" s="70">
        <v>16.63</v>
      </c>
      <c r="I317" s="70">
        <v>16.89</v>
      </c>
    </row>
    <row r="318" spans="1:9" x14ac:dyDescent="0.25">
      <c r="A318" s="50"/>
      <c r="B318" s="65"/>
      <c r="C318" s="93"/>
      <c r="D318" s="96"/>
      <c r="E318" s="75"/>
      <c r="F318" s="91"/>
      <c r="G318" s="85"/>
      <c r="H318" s="71"/>
      <c r="I318" s="71"/>
    </row>
    <row r="319" spans="1:9" x14ac:dyDescent="0.25">
      <c r="A319" s="50"/>
      <c r="B319" s="65"/>
      <c r="C319" s="93"/>
      <c r="D319" s="96"/>
      <c r="E319" s="73" t="s">
        <v>106</v>
      </c>
      <c r="F319" s="70">
        <v>46.98</v>
      </c>
      <c r="G319" s="85"/>
      <c r="H319" s="71"/>
      <c r="I319" s="71"/>
    </row>
    <row r="320" spans="1:9" x14ac:dyDescent="0.25">
      <c r="A320" s="50"/>
      <c r="B320" s="65"/>
      <c r="C320" s="93"/>
      <c r="D320" s="96"/>
      <c r="E320" s="74"/>
      <c r="F320" s="71"/>
      <c r="G320" s="85"/>
      <c r="H320" s="71"/>
      <c r="I320" s="71"/>
    </row>
    <row r="321" spans="1:9" x14ac:dyDescent="0.25">
      <c r="A321" s="50"/>
      <c r="B321" s="65"/>
      <c r="C321" s="93"/>
      <c r="D321" s="96"/>
      <c r="E321" s="74"/>
      <c r="F321" s="71"/>
      <c r="G321" s="85"/>
      <c r="H321" s="71"/>
      <c r="I321" s="71"/>
    </row>
    <row r="322" spans="1:9" x14ac:dyDescent="0.25">
      <c r="A322" s="50"/>
      <c r="B322" s="65"/>
      <c r="C322" s="93"/>
      <c r="D322" s="96"/>
      <c r="E322" s="74"/>
      <c r="F322" s="71"/>
      <c r="G322" s="85"/>
      <c r="H322" s="71"/>
      <c r="I322" s="71"/>
    </row>
    <row r="323" spans="1:9" x14ac:dyDescent="0.25">
      <c r="A323" s="50"/>
      <c r="B323" s="65"/>
      <c r="C323" s="93"/>
      <c r="D323" s="96"/>
      <c r="E323" s="75"/>
      <c r="F323" s="72"/>
      <c r="G323" s="85"/>
      <c r="H323" s="71"/>
      <c r="I323" s="71"/>
    </row>
    <row r="324" spans="1:9" x14ac:dyDescent="0.25">
      <c r="A324" s="50"/>
      <c r="B324" s="65"/>
      <c r="C324" s="93"/>
      <c r="D324" s="96"/>
      <c r="E324" s="73" t="s">
        <v>107</v>
      </c>
      <c r="F324" s="76">
        <v>6.15</v>
      </c>
      <c r="G324" s="85"/>
      <c r="H324" s="71"/>
      <c r="I324" s="71"/>
    </row>
    <row r="325" spans="1:9" x14ac:dyDescent="0.25">
      <c r="A325" s="50"/>
      <c r="B325" s="65"/>
      <c r="C325" s="93"/>
      <c r="D325" s="96"/>
      <c r="E325" s="74"/>
      <c r="F325" s="77"/>
      <c r="G325" s="85"/>
      <c r="H325" s="71"/>
      <c r="I325" s="71"/>
    </row>
    <row r="326" spans="1:9" x14ac:dyDescent="0.25">
      <c r="A326" s="50"/>
      <c r="B326" s="65"/>
      <c r="C326" s="93"/>
      <c r="D326" s="96"/>
      <c r="E326" s="75"/>
      <c r="F326" s="78"/>
      <c r="G326" s="85"/>
      <c r="H326" s="71"/>
      <c r="I326" s="71"/>
    </row>
    <row r="327" spans="1:9" x14ac:dyDescent="0.25">
      <c r="A327" s="50"/>
      <c r="B327" s="65"/>
      <c r="C327" s="93"/>
      <c r="D327" s="96"/>
      <c r="E327" s="73" t="s">
        <v>108</v>
      </c>
      <c r="F327" s="79">
        <v>1.92</v>
      </c>
      <c r="G327" s="85"/>
      <c r="H327" s="71"/>
      <c r="I327" s="71"/>
    </row>
    <row r="328" spans="1:9" x14ac:dyDescent="0.25">
      <c r="A328" s="50"/>
      <c r="B328" s="65"/>
      <c r="C328" s="93"/>
      <c r="D328" s="96"/>
      <c r="E328" s="74"/>
      <c r="F328" s="80"/>
      <c r="G328" s="85"/>
      <c r="H328" s="71"/>
      <c r="I328" s="71"/>
    </row>
    <row r="329" spans="1:9" x14ac:dyDescent="0.25">
      <c r="A329" s="50"/>
      <c r="B329" s="65"/>
      <c r="C329" s="93"/>
      <c r="D329" s="96"/>
      <c r="E329" s="74"/>
      <c r="F329" s="80"/>
      <c r="G329" s="85"/>
      <c r="H329" s="71"/>
      <c r="I329" s="71"/>
    </row>
    <row r="330" spans="1:9" x14ac:dyDescent="0.25">
      <c r="A330" s="50"/>
      <c r="B330" s="65"/>
      <c r="C330" s="93"/>
      <c r="D330" s="96"/>
      <c r="E330" s="74"/>
      <c r="F330" s="80"/>
      <c r="G330" s="85"/>
      <c r="H330" s="71"/>
      <c r="I330" s="71"/>
    </row>
    <row r="331" spans="1:9" x14ac:dyDescent="0.25">
      <c r="A331" s="50"/>
      <c r="B331" s="65"/>
      <c r="C331" s="93"/>
      <c r="D331" s="96"/>
      <c r="E331" s="74"/>
      <c r="F331" s="80"/>
      <c r="G331" s="85"/>
      <c r="H331" s="71"/>
      <c r="I331" s="71"/>
    </row>
    <row r="332" spans="1:9" ht="13.2" customHeight="1" x14ac:dyDescent="0.25">
      <c r="A332" s="58" t="s">
        <v>131</v>
      </c>
      <c r="B332" s="61" t="s">
        <v>132</v>
      </c>
      <c r="C332" s="37" t="s">
        <v>89</v>
      </c>
      <c r="D332" s="7">
        <v>15.16</v>
      </c>
      <c r="E332" s="37" t="s">
        <v>105</v>
      </c>
      <c r="F332" s="31">
        <v>18.59</v>
      </c>
      <c r="G332" s="37" t="s">
        <v>111</v>
      </c>
      <c r="H332" s="7">
        <v>15.16</v>
      </c>
      <c r="I332" s="47" t="s">
        <v>147</v>
      </c>
    </row>
    <row r="333" spans="1:9" x14ac:dyDescent="0.25">
      <c r="A333" s="59"/>
      <c r="B333" s="62"/>
      <c r="C333" s="8"/>
      <c r="D333" s="8"/>
      <c r="E333" s="9"/>
      <c r="F333" s="33"/>
      <c r="G333" s="8"/>
      <c r="H333" s="8"/>
      <c r="I333" s="32"/>
    </row>
    <row r="334" spans="1:9" ht="13.2" customHeight="1" x14ac:dyDescent="0.25">
      <c r="A334" s="59"/>
      <c r="B334" s="62"/>
      <c r="C334" s="8"/>
      <c r="D334" s="8"/>
      <c r="E334" s="7" t="s">
        <v>106</v>
      </c>
      <c r="F334" s="38">
        <v>46.19</v>
      </c>
      <c r="G334" s="8"/>
      <c r="H334" s="8"/>
      <c r="I334" s="32"/>
    </row>
    <row r="335" spans="1:9" x14ac:dyDescent="0.25">
      <c r="A335" s="59"/>
      <c r="B335" s="62"/>
      <c r="C335" s="8"/>
      <c r="D335" s="8"/>
      <c r="E335" s="9"/>
      <c r="F335" s="39"/>
      <c r="G335" s="8"/>
      <c r="H335" s="8"/>
      <c r="I335" s="32"/>
    </row>
    <row r="336" spans="1:9" ht="13.2" customHeight="1" x14ac:dyDescent="0.25">
      <c r="A336" s="59"/>
      <c r="B336" s="62"/>
      <c r="C336" s="8"/>
      <c r="D336" s="8"/>
      <c r="E336" s="7" t="s">
        <v>107</v>
      </c>
      <c r="F336" s="38">
        <v>5.43</v>
      </c>
      <c r="G336" s="8"/>
      <c r="H336" s="8"/>
      <c r="I336" s="32"/>
    </row>
    <row r="337" spans="1:9" x14ac:dyDescent="0.25">
      <c r="A337" s="59"/>
      <c r="B337" s="62"/>
      <c r="C337" s="8"/>
      <c r="D337" s="8"/>
      <c r="E337" s="9"/>
      <c r="F337" s="39"/>
      <c r="G337" s="8"/>
      <c r="H337" s="8"/>
      <c r="I337" s="32"/>
    </row>
    <row r="338" spans="1:9" ht="13.2" customHeight="1" x14ac:dyDescent="0.25">
      <c r="A338" s="59"/>
      <c r="B338" s="62"/>
      <c r="C338" s="8"/>
      <c r="D338" s="8"/>
      <c r="E338" s="7" t="s">
        <v>108</v>
      </c>
      <c r="F338" s="38">
        <v>1.92</v>
      </c>
      <c r="G338" s="8"/>
      <c r="H338" s="8"/>
      <c r="I338" s="32"/>
    </row>
    <row r="339" spans="1:9" x14ac:dyDescent="0.25">
      <c r="A339" s="60"/>
      <c r="B339" s="63"/>
      <c r="C339" s="9"/>
      <c r="D339" s="9"/>
      <c r="E339" s="9"/>
      <c r="F339" s="39"/>
      <c r="G339" s="9"/>
      <c r="H339" s="9"/>
      <c r="I339" s="33"/>
    </row>
    <row r="340" spans="1:9" ht="13.2" customHeight="1" x14ac:dyDescent="0.25">
      <c r="A340" s="49" t="s">
        <v>133</v>
      </c>
      <c r="B340" s="64" t="s">
        <v>134</v>
      </c>
      <c r="C340" s="24" t="s">
        <v>89</v>
      </c>
      <c r="D340" s="34">
        <v>17.899999999999999</v>
      </c>
      <c r="E340" s="7" t="s">
        <v>105</v>
      </c>
      <c r="F340" s="40">
        <v>18.22</v>
      </c>
      <c r="G340" s="7" t="s">
        <v>111</v>
      </c>
      <c r="H340" s="34">
        <v>17.899999999999999</v>
      </c>
      <c r="I340" s="38">
        <v>16.989999999999998</v>
      </c>
    </row>
    <row r="341" spans="1:9" x14ac:dyDescent="0.25">
      <c r="A341" s="50"/>
      <c r="B341" s="65"/>
      <c r="C341" s="25"/>
      <c r="D341" s="35"/>
      <c r="E341" s="9"/>
      <c r="F341" s="41"/>
      <c r="G341" s="8"/>
      <c r="H341" s="35"/>
      <c r="I341" s="42"/>
    </row>
    <row r="342" spans="1:9" ht="13.2" customHeight="1" x14ac:dyDescent="0.25">
      <c r="A342" s="50"/>
      <c r="B342" s="65"/>
      <c r="C342" s="25"/>
      <c r="D342" s="35"/>
      <c r="E342" s="7" t="s">
        <v>106</v>
      </c>
      <c r="F342" s="38">
        <v>44.97</v>
      </c>
      <c r="G342" s="8"/>
      <c r="H342" s="35"/>
      <c r="I342" s="42"/>
    </row>
    <row r="343" spans="1:9" x14ac:dyDescent="0.25">
      <c r="A343" s="50"/>
      <c r="B343" s="65"/>
      <c r="C343" s="25"/>
      <c r="D343" s="35"/>
      <c r="E343" s="8"/>
      <c r="F343" s="42"/>
      <c r="G343" s="8"/>
      <c r="H343" s="35"/>
      <c r="I343" s="42"/>
    </row>
    <row r="344" spans="1:9" x14ac:dyDescent="0.25">
      <c r="A344" s="50"/>
      <c r="B344" s="65"/>
      <c r="C344" s="25"/>
      <c r="D344" s="35"/>
      <c r="E344" s="9"/>
      <c r="F344" s="39"/>
      <c r="G344" s="8"/>
      <c r="H344" s="35"/>
      <c r="I344" s="42"/>
    </row>
    <row r="345" spans="1:9" ht="13.2" customHeight="1" x14ac:dyDescent="0.25">
      <c r="A345" s="50"/>
      <c r="B345" s="65"/>
      <c r="C345" s="25"/>
      <c r="D345" s="35"/>
      <c r="E345" s="7" t="s">
        <v>107</v>
      </c>
      <c r="F345" s="40">
        <v>9.48</v>
      </c>
      <c r="G345" s="8"/>
      <c r="H345" s="35"/>
      <c r="I345" s="42"/>
    </row>
    <row r="346" spans="1:9" x14ac:dyDescent="0.25">
      <c r="A346" s="50"/>
      <c r="B346" s="65"/>
      <c r="C346" s="25"/>
      <c r="D346" s="35"/>
      <c r="E346" s="8"/>
      <c r="F346" s="43"/>
      <c r="G346" s="8"/>
      <c r="H346" s="35"/>
      <c r="I346" s="42"/>
    </row>
    <row r="347" spans="1:9" x14ac:dyDescent="0.25">
      <c r="A347" s="50"/>
      <c r="B347" s="65"/>
      <c r="C347" s="25"/>
      <c r="D347" s="35"/>
      <c r="E347" s="9"/>
      <c r="F347" s="41"/>
      <c r="G347" s="8"/>
      <c r="H347" s="35"/>
      <c r="I347" s="42"/>
    </row>
    <row r="348" spans="1:9" ht="13.2" customHeight="1" x14ac:dyDescent="0.25">
      <c r="A348" s="50"/>
      <c r="B348" s="65"/>
      <c r="C348" s="25"/>
      <c r="D348" s="35"/>
      <c r="E348" s="7" t="s">
        <v>108</v>
      </c>
      <c r="F348" s="38">
        <v>1.92</v>
      </c>
      <c r="G348" s="8"/>
      <c r="H348" s="35"/>
      <c r="I348" s="42"/>
    </row>
    <row r="349" spans="1:9" x14ac:dyDescent="0.25">
      <c r="A349" s="50"/>
      <c r="B349" s="65"/>
      <c r="C349" s="25"/>
      <c r="D349" s="35"/>
      <c r="E349" s="8"/>
      <c r="F349" s="42"/>
      <c r="G349" s="8"/>
      <c r="H349" s="35"/>
      <c r="I349" s="42"/>
    </row>
    <row r="350" spans="1:9" x14ac:dyDescent="0.25">
      <c r="A350" s="50"/>
      <c r="B350" s="65"/>
      <c r="C350" s="25"/>
      <c r="D350" s="35"/>
      <c r="E350" s="8"/>
      <c r="F350" s="42"/>
      <c r="G350" s="8"/>
      <c r="H350" s="35"/>
      <c r="I350" s="42"/>
    </row>
    <row r="351" spans="1:9" x14ac:dyDescent="0.25">
      <c r="A351" s="50"/>
      <c r="B351" s="65"/>
      <c r="C351" s="25"/>
      <c r="D351" s="35"/>
      <c r="E351" s="8"/>
      <c r="F351" s="42"/>
      <c r="G351" s="8"/>
      <c r="H351" s="35"/>
      <c r="I351" s="42"/>
    </row>
    <row r="352" spans="1:9" x14ac:dyDescent="0.25">
      <c r="A352" s="51"/>
      <c r="B352" s="66"/>
      <c r="C352" s="26"/>
      <c r="D352" s="36"/>
      <c r="E352" s="9"/>
      <c r="F352" s="39"/>
      <c r="G352" s="9"/>
      <c r="H352" s="36"/>
      <c r="I352" s="39"/>
    </row>
    <row r="353" spans="1:9" ht="13.2" customHeight="1" x14ac:dyDescent="0.25">
      <c r="A353" s="49" t="s">
        <v>135</v>
      </c>
      <c r="B353" s="67" t="s">
        <v>136</v>
      </c>
      <c r="C353" s="24" t="s">
        <v>89</v>
      </c>
      <c r="D353" s="34">
        <v>18.22</v>
      </c>
      <c r="E353" s="6" t="s">
        <v>105</v>
      </c>
      <c r="F353" s="29">
        <v>18.3</v>
      </c>
      <c r="G353" s="24" t="s">
        <v>111</v>
      </c>
      <c r="H353" s="34">
        <v>18.22</v>
      </c>
      <c r="I353" s="38">
        <v>17.09</v>
      </c>
    </row>
    <row r="354" spans="1:9" ht="13.2" customHeight="1" x14ac:dyDescent="0.25">
      <c r="A354" s="50"/>
      <c r="B354" s="68"/>
      <c r="C354" s="25"/>
      <c r="D354" s="35"/>
      <c r="E354" s="7" t="s">
        <v>106</v>
      </c>
      <c r="F354" s="38">
        <v>45.43</v>
      </c>
      <c r="G354" s="25"/>
      <c r="H354" s="35"/>
      <c r="I354" s="42"/>
    </row>
    <row r="355" spans="1:9" x14ac:dyDescent="0.25">
      <c r="A355" s="50"/>
      <c r="B355" s="68"/>
      <c r="C355" s="25"/>
      <c r="D355" s="35"/>
      <c r="E355" s="8"/>
      <c r="F355" s="42"/>
      <c r="G355" s="25"/>
      <c r="H355" s="35"/>
      <c r="I355" s="42"/>
    </row>
    <row r="356" spans="1:9" x14ac:dyDescent="0.25">
      <c r="A356" s="50"/>
      <c r="B356" s="68"/>
      <c r="C356" s="25"/>
      <c r="D356" s="35"/>
      <c r="E356" s="8"/>
      <c r="F356" s="42"/>
      <c r="G356" s="25"/>
      <c r="H356" s="35"/>
      <c r="I356" s="42"/>
    </row>
    <row r="357" spans="1:9" x14ac:dyDescent="0.25">
      <c r="A357" s="50"/>
      <c r="B357" s="68"/>
      <c r="C357" s="25"/>
      <c r="D357" s="35"/>
      <c r="E357" s="9"/>
      <c r="F357" s="39"/>
      <c r="G357" s="25"/>
      <c r="H357" s="35"/>
      <c r="I357" s="42"/>
    </row>
    <row r="358" spans="1:9" ht="13.2" customHeight="1" x14ac:dyDescent="0.25">
      <c r="A358" s="50"/>
      <c r="B358" s="68"/>
      <c r="C358" s="25"/>
      <c r="D358" s="35"/>
      <c r="E358" s="7" t="s">
        <v>107</v>
      </c>
      <c r="F358" s="38">
        <v>9.42</v>
      </c>
      <c r="G358" s="25"/>
      <c r="H358" s="35"/>
      <c r="I358" s="42"/>
    </row>
    <row r="359" spans="1:9" x14ac:dyDescent="0.25">
      <c r="A359" s="50"/>
      <c r="B359" s="68"/>
      <c r="C359" s="25"/>
      <c r="D359" s="35"/>
      <c r="E359" s="8"/>
      <c r="F359" s="42"/>
      <c r="G359" s="25"/>
      <c r="H359" s="35"/>
      <c r="I359" s="42"/>
    </row>
    <row r="360" spans="1:9" x14ac:dyDescent="0.25">
      <c r="A360" s="50"/>
      <c r="B360" s="68"/>
      <c r="C360" s="25"/>
      <c r="D360" s="35"/>
      <c r="E360" s="9"/>
      <c r="F360" s="39"/>
      <c r="G360" s="25"/>
      <c r="H360" s="35"/>
      <c r="I360" s="42"/>
    </row>
    <row r="361" spans="1:9" ht="13.2" customHeight="1" x14ac:dyDescent="0.25">
      <c r="A361" s="50"/>
      <c r="B361" s="68"/>
      <c r="C361" s="25"/>
      <c r="D361" s="35"/>
      <c r="E361" s="7" t="s">
        <v>108</v>
      </c>
      <c r="F361" s="38">
        <v>1.92</v>
      </c>
      <c r="G361" s="25"/>
      <c r="H361" s="35"/>
      <c r="I361" s="42"/>
    </row>
    <row r="362" spans="1:9" x14ac:dyDescent="0.25">
      <c r="A362" s="50"/>
      <c r="B362" s="68"/>
      <c r="C362" s="25"/>
      <c r="D362" s="35"/>
      <c r="E362" s="8"/>
      <c r="F362" s="42"/>
      <c r="G362" s="25"/>
      <c r="H362" s="35"/>
      <c r="I362" s="42"/>
    </row>
    <row r="363" spans="1:9" x14ac:dyDescent="0.25">
      <c r="A363" s="50"/>
      <c r="B363" s="68"/>
      <c r="C363" s="25"/>
      <c r="D363" s="35"/>
      <c r="E363" s="8"/>
      <c r="F363" s="42"/>
      <c r="G363" s="25"/>
      <c r="H363" s="35"/>
      <c r="I363" s="42"/>
    </row>
    <row r="364" spans="1:9" x14ac:dyDescent="0.25">
      <c r="A364" s="50"/>
      <c r="B364" s="68"/>
      <c r="C364" s="25"/>
      <c r="D364" s="35"/>
      <c r="E364" s="8"/>
      <c r="F364" s="42"/>
      <c r="G364" s="25"/>
      <c r="H364" s="35"/>
      <c r="I364" s="42"/>
    </row>
    <row r="365" spans="1:9" x14ac:dyDescent="0.25">
      <c r="A365" s="51"/>
      <c r="B365" s="69"/>
      <c r="C365" s="26"/>
      <c r="D365" s="36"/>
      <c r="E365" s="9"/>
      <c r="F365" s="39"/>
      <c r="G365" s="26"/>
      <c r="H365" s="36"/>
      <c r="I365" s="39"/>
    </row>
    <row r="366" spans="1:9" ht="13.2" customHeight="1" x14ac:dyDescent="0.25">
      <c r="A366" s="49" t="s">
        <v>137</v>
      </c>
      <c r="B366" s="52" t="s">
        <v>138</v>
      </c>
      <c r="C366" s="24" t="s">
        <v>89</v>
      </c>
      <c r="D366" s="34">
        <v>14.06</v>
      </c>
      <c r="E366" s="6" t="s">
        <v>105</v>
      </c>
      <c r="F366" s="29">
        <v>17.89</v>
      </c>
      <c r="G366" s="7" t="s">
        <v>111</v>
      </c>
      <c r="H366" s="34">
        <v>14.06</v>
      </c>
      <c r="I366" s="38">
        <v>15.59</v>
      </c>
    </row>
    <row r="367" spans="1:9" ht="13.2" customHeight="1" x14ac:dyDescent="0.25">
      <c r="A367" s="50"/>
      <c r="B367" s="53"/>
      <c r="C367" s="25"/>
      <c r="D367" s="35"/>
      <c r="E367" s="7" t="s">
        <v>106</v>
      </c>
      <c r="F367" s="38">
        <v>25.9</v>
      </c>
      <c r="G367" s="8"/>
      <c r="H367" s="35"/>
      <c r="I367" s="42"/>
    </row>
    <row r="368" spans="1:9" x14ac:dyDescent="0.25">
      <c r="A368" s="50"/>
      <c r="B368" s="53"/>
      <c r="C368" s="25"/>
      <c r="D368" s="35"/>
      <c r="E368" s="8"/>
      <c r="F368" s="42"/>
      <c r="G368" s="8"/>
      <c r="H368" s="35"/>
      <c r="I368" s="42"/>
    </row>
    <row r="369" spans="1:9" x14ac:dyDescent="0.25">
      <c r="A369" s="50"/>
      <c r="B369" s="53"/>
      <c r="C369" s="25"/>
      <c r="D369" s="35"/>
      <c r="E369" s="8"/>
      <c r="F369" s="42"/>
      <c r="G369" s="8"/>
      <c r="H369" s="35"/>
      <c r="I369" s="42"/>
    </row>
    <row r="370" spans="1:9" x14ac:dyDescent="0.25">
      <c r="A370" s="50"/>
      <c r="B370" s="53"/>
      <c r="C370" s="25"/>
      <c r="D370" s="35"/>
      <c r="E370" s="8"/>
      <c r="F370" s="42"/>
      <c r="G370" s="8"/>
      <c r="H370" s="35"/>
      <c r="I370" s="42"/>
    </row>
    <row r="371" spans="1:9" x14ac:dyDescent="0.25">
      <c r="A371" s="50"/>
      <c r="B371" s="53"/>
      <c r="C371" s="25"/>
      <c r="D371" s="35"/>
      <c r="E371" s="8"/>
      <c r="F371" s="42"/>
      <c r="G371" s="8"/>
      <c r="H371" s="35"/>
      <c r="I371" s="42"/>
    </row>
    <row r="372" spans="1:9" x14ac:dyDescent="0.25">
      <c r="A372" s="50"/>
      <c r="B372" s="53"/>
      <c r="C372" s="25"/>
      <c r="D372" s="35"/>
      <c r="E372" s="9"/>
      <c r="F372" s="39"/>
      <c r="G372" s="8"/>
      <c r="H372" s="35"/>
      <c r="I372" s="42"/>
    </row>
    <row r="373" spans="1:9" ht="13.2" customHeight="1" x14ac:dyDescent="0.25">
      <c r="A373" s="50"/>
      <c r="B373" s="53"/>
      <c r="C373" s="25"/>
      <c r="D373" s="35"/>
      <c r="E373" s="7" t="s">
        <v>107</v>
      </c>
      <c r="F373" s="38">
        <v>25.47</v>
      </c>
      <c r="G373" s="8"/>
      <c r="H373" s="35"/>
      <c r="I373" s="42"/>
    </row>
    <row r="374" spans="1:9" x14ac:dyDescent="0.25">
      <c r="A374" s="50"/>
      <c r="B374" s="53"/>
      <c r="C374" s="25"/>
      <c r="D374" s="35"/>
      <c r="E374" s="8"/>
      <c r="F374" s="42"/>
      <c r="G374" s="8"/>
      <c r="H374" s="35"/>
      <c r="I374" s="42"/>
    </row>
    <row r="375" spans="1:9" x14ac:dyDescent="0.25">
      <c r="A375" s="51"/>
      <c r="B375" s="54"/>
      <c r="C375" s="26"/>
      <c r="D375" s="36"/>
      <c r="E375" s="9"/>
      <c r="F375" s="39"/>
      <c r="G375" s="9"/>
      <c r="H375" s="36"/>
      <c r="I375" s="39"/>
    </row>
    <row r="376" spans="1:9" ht="13.2" customHeight="1" x14ac:dyDescent="0.25">
      <c r="A376" s="49" t="s">
        <v>139</v>
      </c>
      <c r="B376" s="55" t="s">
        <v>140</v>
      </c>
      <c r="C376" s="7" t="s">
        <v>89</v>
      </c>
      <c r="D376" s="34">
        <v>15.8</v>
      </c>
      <c r="E376" s="7" t="s">
        <v>143</v>
      </c>
      <c r="F376" s="38">
        <v>68.19</v>
      </c>
      <c r="G376" s="7" t="s">
        <v>144</v>
      </c>
      <c r="H376" s="34">
        <v>19.57</v>
      </c>
      <c r="I376" s="44">
        <v>19.7</v>
      </c>
    </row>
    <row r="377" spans="1:9" x14ac:dyDescent="0.25">
      <c r="A377" s="50"/>
      <c r="B377" s="56"/>
      <c r="C377" s="8"/>
      <c r="D377" s="35"/>
      <c r="E377" s="8"/>
      <c r="F377" s="42"/>
      <c r="G377" s="8"/>
      <c r="H377" s="35"/>
      <c r="I377" s="45"/>
    </row>
    <row r="378" spans="1:9" x14ac:dyDescent="0.25">
      <c r="A378" s="50"/>
      <c r="B378" s="56"/>
      <c r="C378" s="8"/>
      <c r="D378" s="35"/>
      <c r="E378" s="8"/>
      <c r="F378" s="42"/>
      <c r="G378" s="8"/>
      <c r="H378" s="35"/>
      <c r="I378" s="45"/>
    </row>
    <row r="379" spans="1:9" x14ac:dyDescent="0.25">
      <c r="A379" s="50"/>
      <c r="B379" s="56"/>
      <c r="C379" s="8"/>
      <c r="D379" s="35"/>
      <c r="E379" s="8"/>
      <c r="F379" s="42"/>
      <c r="G379" s="8"/>
      <c r="H379" s="35"/>
      <c r="I379" s="45"/>
    </row>
    <row r="380" spans="1:9" x14ac:dyDescent="0.25">
      <c r="A380" s="50"/>
      <c r="B380" s="56"/>
      <c r="C380" s="8"/>
      <c r="D380" s="35"/>
      <c r="E380" s="8"/>
      <c r="F380" s="42"/>
      <c r="G380" s="8"/>
      <c r="H380" s="35"/>
      <c r="I380" s="45"/>
    </row>
    <row r="381" spans="1:9" x14ac:dyDescent="0.25">
      <c r="A381" s="50"/>
      <c r="B381" s="56"/>
      <c r="C381" s="8"/>
      <c r="D381" s="35"/>
      <c r="E381" s="8"/>
      <c r="F381" s="42"/>
      <c r="G381" s="8"/>
      <c r="H381" s="35"/>
      <c r="I381" s="45"/>
    </row>
    <row r="382" spans="1:9" x14ac:dyDescent="0.25">
      <c r="A382" s="51"/>
      <c r="B382" s="57"/>
      <c r="C382" s="9"/>
      <c r="D382" s="36"/>
      <c r="E382" s="9"/>
      <c r="F382" s="39"/>
      <c r="G382" s="9"/>
      <c r="H382" s="36"/>
      <c r="I382" s="46"/>
    </row>
    <row r="383" spans="1:9" ht="13.2" customHeight="1" x14ac:dyDescent="0.25">
      <c r="A383" s="49" t="s">
        <v>141</v>
      </c>
      <c r="B383" s="55" t="s">
        <v>142</v>
      </c>
      <c r="C383" s="7" t="s">
        <v>89</v>
      </c>
      <c r="D383" s="34">
        <v>15.53</v>
      </c>
      <c r="E383" s="7" t="s">
        <v>143</v>
      </c>
      <c r="F383" s="38">
        <v>68.19</v>
      </c>
      <c r="G383" s="7" t="s">
        <v>144</v>
      </c>
      <c r="H383" s="34">
        <v>19.57</v>
      </c>
      <c r="I383" s="44">
        <v>19.7</v>
      </c>
    </row>
    <row r="384" spans="1:9" x14ac:dyDescent="0.25">
      <c r="A384" s="50"/>
      <c r="B384" s="56"/>
      <c r="C384" s="8"/>
      <c r="D384" s="35"/>
      <c r="E384" s="8"/>
      <c r="F384" s="42"/>
      <c r="G384" s="8"/>
      <c r="H384" s="35"/>
      <c r="I384" s="45"/>
    </row>
    <row r="385" spans="1:9" x14ac:dyDescent="0.25">
      <c r="A385" s="50"/>
      <c r="B385" s="56"/>
      <c r="C385" s="8"/>
      <c r="D385" s="35"/>
      <c r="E385" s="8"/>
      <c r="F385" s="42"/>
      <c r="G385" s="8"/>
      <c r="H385" s="35"/>
      <c r="I385" s="45"/>
    </row>
    <row r="386" spans="1:9" x14ac:dyDescent="0.25">
      <c r="A386" s="50"/>
      <c r="B386" s="56"/>
      <c r="C386" s="8"/>
      <c r="D386" s="35"/>
      <c r="E386" s="8"/>
      <c r="F386" s="42"/>
      <c r="G386" s="8"/>
      <c r="H386" s="35"/>
      <c r="I386" s="45"/>
    </row>
  </sheetData>
  <autoFilter ref="A6:I387"/>
  <mergeCells count="428">
    <mergeCell ref="F6:F7"/>
    <mergeCell ref="G6:G7"/>
    <mergeCell ref="H6:H7"/>
    <mergeCell ref="I6:I7"/>
    <mergeCell ref="A3:I4"/>
    <mergeCell ref="A5:B5"/>
    <mergeCell ref="C5:D5"/>
    <mergeCell ref="E5:F5"/>
    <mergeCell ref="G5:H5"/>
    <mergeCell ref="A6:A7"/>
    <mergeCell ref="B6:B7"/>
    <mergeCell ref="C6:C7"/>
    <mergeCell ref="D6:D7"/>
    <mergeCell ref="E6:E7"/>
    <mergeCell ref="A8:A11"/>
    <mergeCell ref="B8:B11"/>
    <mergeCell ref="C8:C11"/>
    <mergeCell ref="D8:D11"/>
    <mergeCell ref="G8:G11"/>
    <mergeCell ref="H8:H11"/>
    <mergeCell ref="I8:I11"/>
    <mergeCell ref="E9:E11"/>
    <mergeCell ref="F9:F11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A12:A14"/>
    <mergeCell ref="B12:B14"/>
    <mergeCell ref="C12:C14"/>
    <mergeCell ref="D12:D14"/>
    <mergeCell ref="G12:G14"/>
    <mergeCell ref="H12:H14"/>
    <mergeCell ref="I12:I14"/>
    <mergeCell ref="E13:E14"/>
    <mergeCell ref="F13:F14"/>
    <mergeCell ref="A18:A21"/>
    <mergeCell ref="B18:B21"/>
    <mergeCell ref="C18:C21"/>
    <mergeCell ref="D18:D21"/>
    <mergeCell ref="E18:E19"/>
    <mergeCell ref="F18:F19"/>
    <mergeCell ref="G18:G21"/>
    <mergeCell ref="H18:H21"/>
    <mergeCell ref="I18:I21"/>
    <mergeCell ref="E20:E21"/>
    <mergeCell ref="F20:F21"/>
    <mergeCell ref="A22:A29"/>
    <mergeCell ref="B22:B29"/>
    <mergeCell ref="C22:C29"/>
    <mergeCell ref="D22:D29"/>
    <mergeCell ref="E22:E23"/>
    <mergeCell ref="F22:F23"/>
    <mergeCell ref="G22:G29"/>
    <mergeCell ref="H22:H29"/>
    <mergeCell ref="I22:I29"/>
    <mergeCell ref="E24:E25"/>
    <mergeCell ref="F24:F25"/>
    <mergeCell ref="E26:E29"/>
    <mergeCell ref="F26:F29"/>
    <mergeCell ref="A34:A36"/>
    <mergeCell ref="B34:B36"/>
    <mergeCell ref="C34:C36"/>
    <mergeCell ref="D34:D36"/>
    <mergeCell ref="G34:G36"/>
    <mergeCell ref="H34:H36"/>
    <mergeCell ref="I34:I36"/>
    <mergeCell ref="E35:E36"/>
    <mergeCell ref="F35:F36"/>
    <mergeCell ref="A30:A33"/>
    <mergeCell ref="B30:B33"/>
    <mergeCell ref="C30:C33"/>
    <mergeCell ref="D30:D33"/>
    <mergeCell ref="G30:G33"/>
    <mergeCell ref="H30:H33"/>
    <mergeCell ref="I30:I33"/>
    <mergeCell ref="E31:E33"/>
    <mergeCell ref="F31:F33"/>
    <mergeCell ref="C50:C53"/>
    <mergeCell ref="D50:D53"/>
    <mergeCell ref="I37:I49"/>
    <mergeCell ref="E39:E44"/>
    <mergeCell ref="F39:F44"/>
    <mergeCell ref="E45:E49"/>
    <mergeCell ref="F45:F49"/>
    <mergeCell ref="A37:A49"/>
    <mergeCell ref="B37:B49"/>
    <mergeCell ref="C37:C49"/>
    <mergeCell ref="D37:D49"/>
    <mergeCell ref="E37:E38"/>
    <mergeCell ref="F37:F38"/>
    <mergeCell ref="G37:G49"/>
    <mergeCell ref="H37:H49"/>
    <mergeCell ref="A77:A82"/>
    <mergeCell ref="B77:B82"/>
    <mergeCell ref="C77:C82"/>
    <mergeCell ref="D77:D82"/>
    <mergeCell ref="F77:F78"/>
    <mergeCell ref="F79:F82"/>
    <mergeCell ref="A65:A72"/>
    <mergeCell ref="B65:B72"/>
    <mergeCell ref="C65:C72"/>
    <mergeCell ref="D65:D72"/>
    <mergeCell ref="H50:H53"/>
    <mergeCell ref="G54:G59"/>
    <mergeCell ref="H54:H59"/>
    <mergeCell ref="G60:G64"/>
    <mergeCell ref="H60:H64"/>
    <mergeCell ref="G65:G72"/>
    <mergeCell ref="H65:H72"/>
    <mergeCell ref="G50:G53"/>
    <mergeCell ref="A73:A76"/>
    <mergeCell ref="B73:B76"/>
    <mergeCell ref="C73:C76"/>
    <mergeCell ref="D73:D76"/>
    <mergeCell ref="G73:G76"/>
    <mergeCell ref="H73:H76"/>
    <mergeCell ref="A60:A64"/>
    <mergeCell ref="B60:B64"/>
    <mergeCell ref="C60:C64"/>
    <mergeCell ref="D60:D64"/>
    <mergeCell ref="A54:A59"/>
    <mergeCell ref="B54:B59"/>
    <mergeCell ref="C54:C59"/>
    <mergeCell ref="D54:D59"/>
    <mergeCell ref="A50:A53"/>
    <mergeCell ref="B50:B53"/>
    <mergeCell ref="A105:A110"/>
    <mergeCell ref="B105:B110"/>
    <mergeCell ref="C105:C110"/>
    <mergeCell ref="D105:D110"/>
    <mergeCell ref="A111:A128"/>
    <mergeCell ref="B111:B128"/>
    <mergeCell ref="C111:C128"/>
    <mergeCell ref="D111:D128"/>
    <mergeCell ref="E77:E78"/>
    <mergeCell ref="E79:E82"/>
    <mergeCell ref="E83:E85"/>
    <mergeCell ref="E101:E104"/>
    <mergeCell ref="A83:A89"/>
    <mergeCell ref="B83:B89"/>
    <mergeCell ref="C83:C89"/>
    <mergeCell ref="D83:D89"/>
    <mergeCell ref="A90:A100"/>
    <mergeCell ref="B90:B100"/>
    <mergeCell ref="C90:C100"/>
    <mergeCell ref="D90:D100"/>
    <mergeCell ref="A101:A104"/>
    <mergeCell ref="B101:B104"/>
    <mergeCell ref="C101:C104"/>
    <mergeCell ref="D101:D104"/>
    <mergeCell ref="F83:F85"/>
    <mergeCell ref="E86:E89"/>
    <mergeCell ref="F86:F89"/>
    <mergeCell ref="E91:E94"/>
    <mergeCell ref="F91:F94"/>
    <mergeCell ref="E95:E96"/>
    <mergeCell ref="F95:F96"/>
    <mergeCell ref="E97:E100"/>
    <mergeCell ref="F97:F100"/>
    <mergeCell ref="F101:F104"/>
    <mergeCell ref="E105:E110"/>
    <mergeCell ref="F105:F110"/>
    <mergeCell ref="E111:E114"/>
    <mergeCell ref="F111:F114"/>
    <mergeCell ref="E115:E118"/>
    <mergeCell ref="F115:F118"/>
    <mergeCell ref="E119:E128"/>
    <mergeCell ref="F119:F128"/>
    <mergeCell ref="G77:G82"/>
    <mergeCell ref="H77:H82"/>
    <mergeCell ref="I77:I82"/>
    <mergeCell ref="G83:G89"/>
    <mergeCell ref="H83:H89"/>
    <mergeCell ref="I83:I89"/>
    <mergeCell ref="G90:G100"/>
    <mergeCell ref="H90:H100"/>
    <mergeCell ref="I90:I100"/>
    <mergeCell ref="G101:G104"/>
    <mergeCell ref="H101:H104"/>
    <mergeCell ref="I101:I104"/>
    <mergeCell ref="G105:G110"/>
    <mergeCell ref="H105:H110"/>
    <mergeCell ref="I105:I110"/>
    <mergeCell ref="G111:G128"/>
    <mergeCell ref="H111:H128"/>
    <mergeCell ref="I111:I128"/>
    <mergeCell ref="A129:A138"/>
    <mergeCell ref="B129:B138"/>
    <mergeCell ref="C129:C138"/>
    <mergeCell ref="D129:D138"/>
    <mergeCell ref="A139:A149"/>
    <mergeCell ref="B139:B149"/>
    <mergeCell ref="C139:C149"/>
    <mergeCell ref="D139:D149"/>
    <mergeCell ref="A150:A161"/>
    <mergeCell ref="B150:B161"/>
    <mergeCell ref="C150:C161"/>
    <mergeCell ref="D150:D161"/>
    <mergeCell ref="A162:A181"/>
    <mergeCell ref="B162:B181"/>
    <mergeCell ref="C162:C181"/>
    <mergeCell ref="D162:D181"/>
    <mergeCell ref="E130:E132"/>
    <mergeCell ref="F130:F132"/>
    <mergeCell ref="E133:E135"/>
    <mergeCell ref="F133:F135"/>
    <mergeCell ref="E136:E138"/>
    <mergeCell ref="F136:F138"/>
    <mergeCell ref="E140:E143"/>
    <mergeCell ref="F140:F143"/>
    <mergeCell ref="E144:E147"/>
    <mergeCell ref="F144:F147"/>
    <mergeCell ref="E148:E149"/>
    <mergeCell ref="F148:F149"/>
    <mergeCell ref="E150:E151"/>
    <mergeCell ref="F150:F151"/>
    <mergeCell ref="E152:E154"/>
    <mergeCell ref="F152:F154"/>
    <mergeCell ref="E155:E158"/>
    <mergeCell ref="F155:F158"/>
    <mergeCell ref="E159:E161"/>
    <mergeCell ref="F159:F161"/>
    <mergeCell ref="E162:E164"/>
    <mergeCell ref="F162:F164"/>
    <mergeCell ref="E165:E167"/>
    <mergeCell ref="F165:F167"/>
    <mergeCell ref="E168:E171"/>
    <mergeCell ref="F168:F171"/>
    <mergeCell ref="E172:E181"/>
    <mergeCell ref="F172:F181"/>
    <mergeCell ref="G129:G138"/>
    <mergeCell ref="H129:H138"/>
    <mergeCell ref="I129:I138"/>
    <mergeCell ref="G139:G149"/>
    <mergeCell ref="H139:H149"/>
    <mergeCell ref="I139:I149"/>
    <mergeCell ref="G150:G161"/>
    <mergeCell ref="H150:H161"/>
    <mergeCell ref="I150:I161"/>
    <mergeCell ref="G162:G181"/>
    <mergeCell ref="H162:H181"/>
    <mergeCell ref="I162:I181"/>
    <mergeCell ref="H214:H220"/>
    <mergeCell ref="I214:I220"/>
    <mergeCell ref="C182:C184"/>
    <mergeCell ref="C194:C197"/>
    <mergeCell ref="C198:C206"/>
    <mergeCell ref="C207:C213"/>
    <mergeCell ref="A198:A206"/>
    <mergeCell ref="B198:B206"/>
    <mergeCell ref="A207:A213"/>
    <mergeCell ref="B207:B213"/>
    <mergeCell ref="C185:C193"/>
    <mergeCell ref="A182:A184"/>
    <mergeCell ref="B182:B184"/>
    <mergeCell ref="A185:A193"/>
    <mergeCell ref="B185:B193"/>
    <mergeCell ref="A194:A197"/>
    <mergeCell ref="B194:B197"/>
    <mergeCell ref="A214:A220"/>
    <mergeCell ref="B214:B220"/>
    <mergeCell ref="C214:C220"/>
    <mergeCell ref="D214:D220"/>
    <mergeCell ref="E215:E216"/>
    <mergeCell ref="F215:F216"/>
    <mergeCell ref="E217:E218"/>
    <mergeCell ref="F217:F218"/>
    <mergeCell ref="E219:E220"/>
    <mergeCell ref="F219:F220"/>
    <mergeCell ref="A221:A226"/>
    <mergeCell ref="B221:B226"/>
    <mergeCell ref="C221:C226"/>
    <mergeCell ref="D221:D226"/>
    <mergeCell ref="A227:A235"/>
    <mergeCell ref="B227:B235"/>
    <mergeCell ref="C227:C235"/>
    <mergeCell ref="D227:D235"/>
    <mergeCell ref="A236:A243"/>
    <mergeCell ref="B236:B243"/>
    <mergeCell ref="C236:C243"/>
    <mergeCell ref="D236:D243"/>
    <mergeCell ref="A244:A249"/>
    <mergeCell ref="B244:B249"/>
    <mergeCell ref="C244:C249"/>
    <mergeCell ref="D244:D249"/>
    <mergeCell ref="A250:A261"/>
    <mergeCell ref="B250:B261"/>
    <mergeCell ref="C250:C261"/>
    <mergeCell ref="D250:D261"/>
    <mergeCell ref="A262:A270"/>
    <mergeCell ref="B262:B270"/>
    <mergeCell ref="C262:C270"/>
    <mergeCell ref="D262:D270"/>
    <mergeCell ref="G214:G220"/>
    <mergeCell ref="G221:G226"/>
    <mergeCell ref="G250:G261"/>
    <mergeCell ref="E238:E240"/>
    <mergeCell ref="F238:F240"/>
    <mergeCell ref="E241:E243"/>
    <mergeCell ref="F241:F243"/>
    <mergeCell ref="E244:E245"/>
    <mergeCell ref="F244:F245"/>
    <mergeCell ref="E246:E249"/>
    <mergeCell ref="F246:F249"/>
    <mergeCell ref="E250:E251"/>
    <mergeCell ref="F250:F251"/>
    <mergeCell ref="E221:E222"/>
    <mergeCell ref="F221:F222"/>
    <mergeCell ref="E224:E226"/>
    <mergeCell ref="F224:F226"/>
    <mergeCell ref="E228:E232"/>
    <mergeCell ref="F228:F232"/>
    <mergeCell ref="E233:E235"/>
    <mergeCell ref="F233:F235"/>
    <mergeCell ref="E236:E237"/>
    <mergeCell ref="F236:F237"/>
    <mergeCell ref="H221:H226"/>
    <mergeCell ref="I221:I226"/>
    <mergeCell ref="G227:G235"/>
    <mergeCell ref="H227:H235"/>
    <mergeCell ref="I227:I235"/>
    <mergeCell ref="G236:G243"/>
    <mergeCell ref="H236:H243"/>
    <mergeCell ref="I236:I243"/>
    <mergeCell ref="G244:G249"/>
    <mergeCell ref="H244:H249"/>
    <mergeCell ref="I244:I249"/>
    <mergeCell ref="H250:H261"/>
    <mergeCell ref="I250:I261"/>
    <mergeCell ref="G262:G270"/>
    <mergeCell ref="H262:H270"/>
    <mergeCell ref="I262:I270"/>
    <mergeCell ref="A271:A278"/>
    <mergeCell ref="B271:B278"/>
    <mergeCell ref="C271:C278"/>
    <mergeCell ref="D271:D278"/>
    <mergeCell ref="F271:F272"/>
    <mergeCell ref="E252:E257"/>
    <mergeCell ref="F252:F257"/>
    <mergeCell ref="E258:E261"/>
    <mergeCell ref="F258:F261"/>
    <mergeCell ref="E263:E266"/>
    <mergeCell ref="F263:F266"/>
    <mergeCell ref="E267:E270"/>
    <mergeCell ref="F267:F270"/>
    <mergeCell ref="A301:A316"/>
    <mergeCell ref="B301:B316"/>
    <mergeCell ref="C301:C316"/>
    <mergeCell ref="D301:D316"/>
    <mergeCell ref="A317:A331"/>
    <mergeCell ref="B317:B331"/>
    <mergeCell ref="C317:C331"/>
    <mergeCell ref="D317:D331"/>
    <mergeCell ref="E271:E272"/>
    <mergeCell ref="E280:E282"/>
    <mergeCell ref="E301:E302"/>
    <mergeCell ref="E319:E323"/>
    <mergeCell ref="A280:A282"/>
    <mergeCell ref="B280:B282"/>
    <mergeCell ref="C280:C282"/>
    <mergeCell ref="D280:D282"/>
    <mergeCell ref="A283:A288"/>
    <mergeCell ref="B283:B288"/>
    <mergeCell ref="C283:C288"/>
    <mergeCell ref="D283:D288"/>
    <mergeCell ref="A289:A300"/>
    <mergeCell ref="B289:B300"/>
    <mergeCell ref="C289:C300"/>
    <mergeCell ref="D289:D300"/>
    <mergeCell ref="E303:E308"/>
    <mergeCell ref="F303:F308"/>
    <mergeCell ref="E309:E312"/>
    <mergeCell ref="F309:F312"/>
    <mergeCell ref="E313:E316"/>
    <mergeCell ref="F313:F316"/>
    <mergeCell ref="E317:E318"/>
    <mergeCell ref="F317:F318"/>
    <mergeCell ref="F280:F282"/>
    <mergeCell ref="E283:E287"/>
    <mergeCell ref="F283:F287"/>
    <mergeCell ref="E290:E294"/>
    <mergeCell ref="F290:F294"/>
    <mergeCell ref="E295:E297"/>
    <mergeCell ref="F295:F297"/>
    <mergeCell ref="E298:E300"/>
    <mergeCell ref="F298:F300"/>
    <mergeCell ref="F319:F323"/>
    <mergeCell ref="E324:E326"/>
    <mergeCell ref="F324:F326"/>
    <mergeCell ref="E327:E331"/>
    <mergeCell ref="F327:F331"/>
    <mergeCell ref="G271:G278"/>
    <mergeCell ref="H271:H278"/>
    <mergeCell ref="I271:I278"/>
    <mergeCell ref="G280:G282"/>
    <mergeCell ref="H280:H282"/>
    <mergeCell ref="I280:I282"/>
    <mergeCell ref="G283:G288"/>
    <mergeCell ref="H283:H288"/>
    <mergeCell ref="I283:I288"/>
    <mergeCell ref="G289:G300"/>
    <mergeCell ref="H289:H300"/>
    <mergeCell ref="I289:I300"/>
    <mergeCell ref="G301:G316"/>
    <mergeCell ref="H301:H316"/>
    <mergeCell ref="I301:I316"/>
    <mergeCell ref="G317:G331"/>
    <mergeCell ref="H317:H331"/>
    <mergeCell ref="I317:I331"/>
    <mergeCell ref="F301:F302"/>
    <mergeCell ref="A366:A375"/>
    <mergeCell ref="B366:B375"/>
    <mergeCell ref="A376:A382"/>
    <mergeCell ref="B376:B382"/>
    <mergeCell ref="A383:A386"/>
    <mergeCell ref="B383:B386"/>
    <mergeCell ref="A332:A339"/>
    <mergeCell ref="B332:B339"/>
    <mergeCell ref="A340:A352"/>
    <mergeCell ref="B340:B352"/>
    <mergeCell ref="A353:A365"/>
    <mergeCell ref="B353:B3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Кильяков Алексей Сергеевич</cp:lastModifiedBy>
  <dcterms:created xsi:type="dcterms:W3CDTF">2026-01-23T11:32:38Z</dcterms:created>
  <dcterms:modified xsi:type="dcterms:W3CDTF">2026-01-23T11:47:53Z</dcterms:modified>
</cp:coreProperties>
</file>