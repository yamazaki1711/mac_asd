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оркинг\АКТЫ\61.17\"/>
    </mc:Choice>
  </mc:AlternateContent>
  <bookViews>
    <workbookView xWindow="0" yWindow="0" windowWidth="11496" windowHeight="8508" activeTab="1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перекрытие'!$A$1:$BX$33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перекрытие'!$A$1:$BT$71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1" l="1"/>
  <c r="D38" i="1"/>
  <c r="A50" i="1" l="1"/>
  <c r="A49" i="1" l="1"/>
  <c r="M47" i="1" l="1"/>
  <c r="CC47" i="1" s="1"/>
  <c r="X69" i="1"/>
  <c r="X63" i="1"/>
  <c r="X48" i="1"/>
  <c r="W58" i="1"/>
  <c r="BH63" i="1"/>
  <c r="BH69" i="1" s="1"/>
  <c r="X66" i="1"/>
  <c r="CF59" i="1"/>
  <c r="CE58" i="1"/>
  <c r="BU54" i="1"/>
  <c r="BU53" i="1"/>
  <c r="BY52" i="1"/>
  <c r="CD48" i="1"/>
  <c r="CB44" i="1"/>
  <c r="BU43" i="1"/>
  <c r="BU42" i="1"/>
  <c r="BY41" i="1"/>
  <c r="BZ33" i="1"/>
  <c r="BU32" i="1"/>
  <c r="BU31" i="1"/>
  <c r="BX28" i="1"/>
  <c r="BW26" i="1"/>
  <c r="BV21" i="1"/>
  <c r="BU12" i="1"/>
  <c r="BH66" i="1" l="1"/>
</calcChain>
</file>

<file path=xl/sharedStrings.xml><?xml version="1.0" encoding="utf-8"?>
<sst xmlns="http://schemas.openxmlformats.org/spreadsheetml/2006/main" count="127" uniqueCount="116">
  <si>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</si>
  <si>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</si>
  <si>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</si>
  <si>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</si>
  <si>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</si>
  <si>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</si>
  <si>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</si>
  <si>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</si>
  <si>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</si>
  <si>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</si>
  <si>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</si>
  <si>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</si>
  <si>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</si>
  <si>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</si>
  <si>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</si>
  <si>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</si>
  <si>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</si>
  <si>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</si>
  <si>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</si>
  <si>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</si>
  <si>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</si>
  <si>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</si>
  <si>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</si>
  <si>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</si>
  <si>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</si>
  <si>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</si>
  <si>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</si>
  <si>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</si>
  <si>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</si>
  <si>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</si>
  <si>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</si>
  <si>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</si>
  <si>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</si>
  <si>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</si>
  <si>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</si>
  <si>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</si>
  <si>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</si>
  <si>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</si>
  <si>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</si>
  <si>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</si>
  <si>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</si>
  <si>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</si>
  <si>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</si>
  <si>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</si>
  <si>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</si>
  <si>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</si>
  <si>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</si>
  <si>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</si>
  <si>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</si>
  <si>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</si>
  <si>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</si>
  <si>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</si>
  <si>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</si>
  <si>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</si>
  <si>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</si>
  <si>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</si>
  <si>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</si>
  <si>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</si>
  <si>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</si>
  <si>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</si>
  <si>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</si>
  <si>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</si>
  <si>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</si>
  <si>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</si>
  <si>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</si>
  <si>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</si>
  <si>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</si>
  <si>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</si>
  <si>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</si>
  <si>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</si>
  <si>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</si>
  <si>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</si>
  <si>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</si>
  <si>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</si>
  <si>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</si>
  <si>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</si>
  <si>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</si>
  <si>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</si>
  <si>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</si>
  <si>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</si>
  <si>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</si>
  <si>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</si>
  <si>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</si>
  <si>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</si>
  <si>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</si>
  <si>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</si>
  <si>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</si>
  <si>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</si>
  <si>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</si>
  <si>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</si>
  <si>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</si>
  <si>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</si>
  <si>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</si>
  <si>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</si>
  <si>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</si>
  <si>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</si>
  <si>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</si>
  <si>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</si>
  <si>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</si>
  <si>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</si>
  <si>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</si>
  <si>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</si>
  <si>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</si>
  <si>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</si>
  <si>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</si>
  <si>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</si>
  <si>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</si>
  <si>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ПП2020РД-1.2-61.17-АР, изм.3, л.22</t>
  </si>
  <si>
    <t>АИР 1.2-61.17-АР/23</t>
  </si>
  <si>
    <t>Керамогранит GT007M 600х600х10 MR Темно-серый, герметик для наружных работ</t>
  </si>
  <si>
    <t xml:space="preserve">Керамогранит матовый профи 600х600х10 темно-серый - GT007M - 30,06 м2, полиуретановый герметик Masterfix-PU </t>
  </si>
  <si>
    <t>600 мл серый - 2 шт.</t>
  </si>
  <si>
    <t xml:space="preserve">Паспорт качества №05-1711 от 17.11.2023 г., сертификат </t>
  </si>
  <si>
    <t>соответствия РОСС RU.32001.04ИБФ1.ОСП20.18536 с 01.04.2022 г. по 31.03.2025 г., паспорт удостоверения качества</t>
  </si>
  <si>
    <t>ТУ 23.31.10-001-61313475-2019, ТУ 2257-001-46288087-2009</t>
  </si>
  <si>
    <t>№б/н на партию №1527/9799 от 24.11.2023 г., сертификат соответствия № РОСС RU.HB65.H01745/21 с 15.06.2021 г. по 14.06.2024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</si>
</sst>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9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2" fillId="2" borderId="0" xfId="1" applyFont="1" applyFill="1" applyAlignment="1">
      <alignment horizontal="left" wrapText="1"/>
    </xf>
    <xf numFmtId="0" fontId="9" fillId="2" borderId="0" xfId="1" applyFont="1" applyFill="1" applyAlignment="1">
      <alignment horizontal="left"/>
    </xf>
    <xf numFmtId="0" fontId="2" fillId="2" borderId="0" xfId="1" applyFont="1" applyFill="1" applyAlignment="1">
      <alignment horizontal="left" wrapText="1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9" fillId="4" borderId="0" xfId="1" applyFont="1" applyFill="1" applyAlignment="1">
      <alignment horizontal="left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14" fontId="7" fillId="5" borderId="1" xfId="1" applyNumberFormat="1" applyFont="1" applyFill="1" applyBorder="1" applyAlignment="1">
      <alignment horizontal="left" wrapText="1"/>
    </xf>
    <xf numFmtId="14" fontId="7" fillId="5" borderId="3" xfId="1" applyNumberFormat="1" applyFont="1" applyFill="1" applyBorder="1" applyAlignment="1">
      <alignment horizontal="left" wrapText="1"/>
    </xf>
    <xf numFmtId="14" fontId="11" fillId="4" borderId="1" xfId="1" applyNumberFormat="1" applyFont="1" applyFill="1" applyBorder="1" applyAlignment="1">
      <alignment horizontal="left" wrapText="1"/>
    </xf>
    <xf numFmtId="0" fontId="11" fillId="4" borderId="1" xfId="1" applyFont="1" applyFill="1" applyBorder="1" applyAlignment="1"/>
    <xf numFmtId="14" fontId="11" fillId="3" borderId="1" xfId="1" applyNumberFormat="1" applyFont="1" applyFill="1" applyBorder="1" applyAlignment="1">
      <alignment horizontal="left" vertical="top" wrapText="1"/>
    </xf>
    <xf numFmtId="14" fontId="7" fillId="4" borderId="1" xfId="1" applyNumberFormat="1" applyFont="1" applyFill="1" applyBorder="1" applyAlignment="1">
      <alignment horizontal="center"/>
    </xf>
    <xf numFmtId="14" fontId="4" fillId="5" borderId="3" xfId="1" applyNumberFormat="1" applyFont="1" applyFill="1" applyBorder="1" applyAlignment="1">
      <alignment horizontal="left" wrapText="1"/>
    </xf>
    <xf numFmtId="0" fontId="2" fillId="0" borderId="0" xfId="1" applyFont="1" applyAlignment="1">
      <alignment horizontal="center"/>
    </xf>
  </cellXfs>
  <cellStyles count="3">
    <cellStyle name="Гиперссылка" xfId="2" builtinId="8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24</xdr:row>
      <xdr:rowOff>114300</xdr:rowOff>
    </xdr:from>
    <xdr:to>
      <xdr:col>85</xdr:col>
      <xdr:colOff>114300</xdr:colOff>
      <xdr:row>26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29</xdr:row>
      <xdr:rowOff>114300</xdr:rowOff>
    </xdr:from>
    <xdr:to>
      <xdr:col>85</xdr:col>
      <xdr:colOff>123825</xdr:colOff>
      <xdr:row>33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39</xdr:row>
      <xdr:rowOff>171450</xdr:rowOff>
    </xdr:from>
    <xdr:to>
      <xdr:col>85</xdr:col>
      <xdr:colOff>123825</xdr:colOff>
      <xdr:row>44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57</xdr:row>
      <xdr:rowOff>323850</xdr:rowOff>
    </xdr:from>
    <xdr:to>
      <xdr:col>85</xdr:col>
      <xdr:colOff>104775</xdr:colOff>
      <xdr:row>59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3">
    <tabColor rgb="FFD9FFDA"/>
    <pageSetUpPr fitToPage="1"/>
  </sheetPr>
  <dimension ref="A1:WYW246"/>
  <sheetViews>
    <sheetView tabSelected="1" view="pageBreakPreview" topLeftCell="A39" zoomScaleNormal="100" zoomScaleSheetLayoutView="100" workbookViewId="0">
      <selection activeCell="A51" sqref="A51:XFD51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0.77734375" style="3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81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86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2" t="s">
        <v>4</v>
      </c>
      <c r="B3" s="42"/>
      <c r="C3" s="42"/>
      <c r="D3" s="42"/>
      <c r="E3" s="42"/>
      <c r="F3" s="72" t="s">
        <v>5</v>
      </c>
      <c r="G3" s="72"/>
      <c r="H3" s="72"/>
      <c r="I3" s="73" t="s">
        <v>6</v>
      </c>
      <c r="J3" s="73"/>
      <c r="K3" s="73"/>
      <c r="AK3" s="7"/>
      <c r="AL3" s="7"/>
      <c r="AM3" s="7"/>
      <c r="AN3" s="7"/>
      <c r="AP3" s="21" t="s">
        <v>85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82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83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2"/>
      <c r="B6" s="42"/>
      <c r="C6" s="42"/>
      <c r="D6" s="42"/>
      <c r="E6" s="42"/>
      <c r="F6" s="72"/>
      <c r="G6" s="72"/>
      <c r="H6" s="72"/>
      <c r="I6" s="73"/>
      <c r="J6" s="73"/>
      <c r="K6" s="73"/>
      <c r="AE6" s="3"/>
      <c r="AF6" s="3"/>
      <c r="AG6" s="3"/>
      <c r="AH6" s="3"/>
      <c r="AI6" s="3"/>
      <c r="AJ6" s="75" t="s">
        <v>84</v>
      </c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CM6" s="6"/>
      <c r="CN6" s="6"/>
      <c r="CO6" s="6"/>
      <c r="CP6" s="6"/>
      <c r="CQ6" s="6"/>
      <c r="CR6" s="6"/>
    </row>
    <row r="7" spans="1:96" x14ac:dyDescent="0.25">
      <c r="G7" s="76"/>
      <c r="H7" s="76"/>
      <c r="I7" s="73"/>
      <c r="J7" s="73"/>
      <c r="K7" s="73"/>
      <c r="L7" s="73"/>
      <c r="M7" s="73"/>
      <c r="N7" s="73"/>
      <c r="O7" s="73"/>
      <c r="AD7" s="3"/>
      <c r="AE7" s="3"/>
      <c r="AF7" s="3"/>
      <c r="AG7" s="3"/>
      <c r="AH7" s="3"/>
      <c r="AI7" s="3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7" t="s">
        <v>108</v>
      </c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BT9" s="1"/>
    </row>
    <row r="10" spans="1:96" ht="15" customHeight="1" x14ac:dyDescent="0.25">
      <c r="A10" s="74" t="s">
        <v>50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</row>
    <row r="11" spans="1:96" ht="15" customHeight="1" x14ac:dyDescent="0.25">
      <c r="A11" s="96" t="s">
        <v>109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CG11" s="40"/>
    </row>
    <row r="12" spans="1:96" x14ac:dyDescent="0.25">
      <c r="A12" s="68" t="s">
        <v>51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1">
        <v>45259</v>
      </c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67" t="s">
        <v>91</v>
      </c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10"/>
      <c r="BH15" s="10"/>
      <c r="BI15" s="10"/>
      <c r="BJ15" s="69" t="s">
        <v>90</v>
      </c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CJ15" s="1" t="s">
        <v>99</v>
      </c>
    </row>
    <row r="16" spans="1:96" ht="15" customHeight="1" x14ac:dyDescent="0.25">
      <c r="T16" s="66" t="s">
        <v>13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22"/>
      <c r="BL16" s="22"/>
      <c r="BM16" s="22"/>
      <c r="BN16" s="22"/>
      <c r="BO16" s="22"/>
      <c r="BP16" s="22"/>
      <c r="BQ16" s="22"/>
      <c r="BR16" s="22"/>
      <c r="BS16" s="22"/>
      <c r="BT16" s="22"/>
    </row>
    <row r="17" spans="1:102" x14ac:dyDescent="0.25">
      <c r="A17" s="1" t="s">
        <v>14</v>
      </c>
      <c r="T17" s="67" t="s">
        <v>104</v>
      </c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9" t="s">
        <v>105</v>
      </c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CG17" s="13"/>
      <c r="CJ17" s="1" t="s">
        <v>98</v>
      </c>
    </row>
    <row r="18" spans="1:102" x14ac:dyDescent="0.25">
      <c r="T18" s="66" t="s">
        <v>13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23"/>
      <c r="BL18" s="23"/>
      <c r="BM18" s="23"/>
      <c r="BN18" s="23"/>
      <c r="BO18" s="23"/>
      <c r="BP18" s="23"/>
      <c r="BQ18" s="23"/>
      <c r="BR18" s="23"/>
      <c r="BS18" s="23"/>
      <c r="BT18" s="23"/>
    </row>
    <row r="19" spans="1:102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0" t="s">
        <v>100</v>
      </c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69" t="s">
        <v>101</v>
      </c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CI19" s="1" t="s">
        <v>102</v>
      </c>
    </row>
    <row r="20" spans="1:102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66" t="s">
        <v>13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2" ht="15" customHeight="1" x14ac:dyDescent="0.25">
      <c r="A21" s="1" t="s">
        <v>16</v>
      </c>
      <c r="N21" s="24"/>
      <c r="O21" s="45" t="s">
        <v>106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1" t="s">
        <v>17</v>
      </c>
      <c r="BR21" s="8"/>
      <c r="BS21" s="8"/>
      <c r="BT21" s="8"/>
      <c r="BV21" s="3">
        <f>AD21</f>
        <v>0</v>
      </c>
      <c r="CI21" s="78" t="s">
        <v>95</v>
      </c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</row>
    <row r="22" spans="1:102" x14ac:dyDescent="0.25">
      <c r="E22" s="65" t="s">
        <v>54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</row>
    <row r="23" spans="1:102" x14ac:dyDescent="0.25">
      <c r="D23" s="91" t="s">
        <v>110</v>
      </c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CG23" s="40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</row>
    <row r="24" spans="1:102" x14ac:dyDescent="0.25">
      <c r="D24" s="92" t="s">
        <v>111</v>
      </c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CG24" s="40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</row>
    <row r="25" spans="1:102" s="2" customFormat="1" ht="12" customHeight="1" x14ac:dyDescent="0.25">
      <c r="A25" s="84" t="s">
        <v>55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2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</row>
    <row r="26" spans="1:102" ht="13.8" x14ac:dyDescent="0.3">
      <c r="A26" s="7" t="s">
        <v>18</v>
      </c>
      <c r="R26" s="19"/>
      <c r="S26" s="85" t="s">
        <v>107</v>
      </c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W26" s="3" t="str">
        <f>S26</f>
        <v>ПП2020РД-1.2-61.17-АР, изм.3, л.22</v>
      </c>
      <c r="CI26" s="78" t="s">
        <v>92</v>
      </c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</row>
    <row r="27" spans="1:102" s="2" customFormat="1" ht="15" customHeight="1" x14ac:dyDescent="0.25">
      <c r="P27" s="62">
        <v>0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2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</row>
    <row r="28" spans="1:102" x14ac:dyDescent="0.25">
      <c r="A28" s="7" t="s">
        <v>19</v>
      </c>
      <c r="R28" s="86" t="s">
        <v>62</v>
      </c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X28" s="3" t="str">
        <f>R28</f>
        <v>Этап I.II. Служебное здание АС</v>
      </c>
    </row>
    <row r="29" spans="1:102" ht="12.75" customHeight="1" x14ac:dyDescent="0.25">
      <c r="A29" s="81" t="s">
        <v>20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</row>
    <row r="30" spans="1:102" ht="12.75" customHeight="1" x14ac:dyDescent="0.25">
      <c r="D30" s="1" t="s">
        <v>21</v>
      </c>
      <c r="AF30" s="2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CI30" s="1" t="s">
        <v>96</v>
      </c>
    </row>
    <row r="31" spans="1:102" s="2" customFormat="1" hidden="1" x14ac:dyDescent="0.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2" s="2" customFormat="1" hidden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11">
        <f>A32</f>
        <v>0</v>
      </c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2"/>
    </row>
    <row r="33" spans="1:103" ht="12.75" customHeight="1" x14ac:dyDescent="0.3">
      <c r="A33" s="1" t="s">
        <v>22</v>
      </c>
      <c r="AH33" s="93" t="s">
        <v>112</v>
      </c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32"/>
      <c r="BV33" s="32"/>
      <c r="BZ33" s="3" t="str">
        <f>AH33</f>
        <v xml:space="preserve">Паспорт качества №05-1711 от 17.11.2023 г., сертификат </v>
      </c>
      <c r="CI33" s="78" t="s">
        <v>93</v>
      </c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</row>
    <row r="34" spans="1:103" ht="13.8" x14ac:dyDescent="0.3">
      <c r="A34" s="94" t="s">
        <v>113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</row>
    <row r="35" spans="1:103" ht="13.8" x14ac:dyDescent="0.3">
      <c r="A35" s="87" t="s">
        <v>115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</row>
    <row r="36" spans="1:103" ht="15" customHeight="1" x14ac:dyDescent="0.25">
      <c r="A36" s="66" t="s">
        <v>23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</row>
    <row r="37" spans="1:103" ht="12.75" customHeight="1" x14ac:dyDescent="0.25">
      <c r="A37" s="82" t="s">
        <v>78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</row>
    <row r="38" spans="1:103" s="2" customFormat="1" x14ac:dyDescent="0.25">
      <c r="A38" s="24" t="s">
        <v>79</v>
      </c>
      <c r="B38" s="31"/>
      <c r="C38" s="31"/>
      <c r="D38" s="90" t="str">
        <f>D23</f>
        <v xml:space="preserve">Керамогранит матовый профи 600х600х10 темно-серый - GT007M - 30,06 м2, полиуретановый герметик Masterfix-PU </v>
      </c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</row>
    <row r="39" spans="1:103" s="2" customFormat="1" x14ac:dyDescent="0.25">
      <c r="A39" s="98"/>
      <c r="B39" s="98"/>
      <c r="C39" s="98"/>
      <c r="D39" s="90" t="str">
        <f>D24</f>
        <v>600 мл серый - 2 шт.</v>
      </c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</row>
    <row r="40" spans="1:103" ht="17.25" customHeight="1" x14ac:dyDescent="0.25">
      <c r="D40" s="13"/>
      <c r="E40" s="13"/>
      <c r="F40" s="13"/>
      <c r="G40" s="13"/>
      <c r="H40" s="13"/>
      <c r="I40" s="57" t="s">
        <v>24</v>
      </c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</row>
    <row r="41" spans="1:103" s="2" customFormat="1" hidden="1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11"/>
      <c r="BV41" s="11"/>
      <c r="BW41" s="11"/>
      <c r="BX41" s="11"/>
      <c r="BY41" s="11">
        <f>A41</f>
        <v>0</v>
      </c>
      <c r="BZ41" s="11"/>
      <c r="CA41" s="11"/>
      <c r="CB41" s="11"/>
      <c r="CC41" s="11"/>
      <c r="CD41" s="11"/>
      <c r="CE41" s="11"/>
      <c r="CF41" s="11"/>
      <c r="CG41" s="12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</row>
    <row r="42" spans="1:103" s="2" customFormat="1" hidden="1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11">
        <f>A42</f>
        <v>0</v>
      </c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</row>
    <row r="43" spans="1:103" s="2" customFormat="1" hidden="1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</row>
    <row r="44" spans="1:103" x14ac:dyDescent="0.25">
      <c r="A44" s="1" t="s">
        <v>25</v>
      </c>
      <c r="X44" s="14"/>
      <c r="Y44" s="60" t="s">
        <v>49</v>
      </c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CB44" s="3" t="str">
        <f>Y44</f>
        <v>-</v>
      </c>
      <c r="CI44" s="78" t="s">
        <v>94</v>
      </c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</row>
    <row r="45" spans="1:10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5"/>
      <c r="Y45" s="81" t="s">
        <v>26</v>
      </c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</row>
    <row r="46" spans="1:103" ht="15" customHeight="1" x14ac:dyDescent="0.3">
      <c r="A46" s="1" t="s">
        <v>27</v>
      </c>
      <c r="AF46" s="80" t="s">
        <v>28</v>
      </c>
      <c r="AG46" s="80"/>
      <c r="AH46" s="80"/>
      <c r="AI46" s="80"/>
      <c r="AJ46" s="80"/>
      <c r="AK46" s="80"/>
      <c r="AL46" s="80"/>
      <c r="AM46" s="80"/>
      <c r="AN46" s="80"/>
      <c r="AO46" s="80"/>
      <c r="AQ46" s="1" t="s">
        <v>29</v>
      </c>
      <c r="AV46" s="88" t="s">
        <v>30</v>
      </c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</row>
    <row r="47" spans="1:103" ht="13.8" x14ac:dyDescent="0.25">
      <c r="A47" s="7" t="s">
        <v>31</v>
      </c>
      <c r="M47" s="89" t="str">
        <f>S26</f>
        <v>ПП2020РД-1.2-61.17-АР, изм.3, л.22</v>
      </c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CC47" s="3" t="str">
        <f>M47</f>
        <v>ПП2020РД-1.2-61.17-АР, изм.3, л.22</v>
      </c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</row>
    <row r="48" spans="1:103" ht="13.5" customHeight="1" x14ac:dyDescent="0.25">
      <c r="D48" s="7" t="s">
        <v>32</v>
      </c>
      <c r="W48" s="33"/>
      <c r="X48" s="95" t="str">
        <f>AH33</f>
        <v xml:space="preserve">Паспорт качества №05-1711 от 17.11.2023 г., сертификат </v>
      </c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CD48" s="3">
        <f>W48</f>
        <v>0</v>
      </c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</row>
    <row r="49" spans="1:16221" ht="13.8" x14ac:dyDescent="0.3">
      <c r="A49" s="55" t="str">
        <f>A34</f>
        <v>соответствия РОСС RU.32001.04ИБФ1.ОСП20.18536 с 01.04.2022 г. по 31.03.2025 г., паспорт удостоверения качества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</row>
    <row r="50" spans="1:16221" ht="13.8" x14ac:dyDescent="0.3">
      <c r="A50" s="54" t="str">
        <f>A35</f>
        <v>№б/н на партию №1527/9799 от 24.11.2023 г., сертификат соответствия № РОСС RU.HB65.H01745/21 с 15.06.2021 г. по 14.06.2024 г.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</row>
    <row r="51" spans="1:16221" ht="10.199999999999999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62" t="s">
        <v>33</v>
      </c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</row>
    <row r="52" spans="1:16221" s="2" customFormat="1" ht="12.75" hidden="1" customHeight="1" x14ac:dyDescent="0.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11"/>
      <c r="BV52" s="11"/>
      <c r="BW52" s="11"/>
      <c r="BX52" s="11"/>
      <c r="BY52" s="11">
        <f>A52</f>
        <v>0</v>
      </c>
      <c r="BZ52" s="11"/>
      <c r="CA52" s="11"/>
      <c r="CB52" s="11"/>
      <c r="CC52" s="11"/>
      <c r="CD52" s="11"/>
      <c r="CE52" s="11"/>
      <c r="CF52" s="11"/>
      <c r="CG52" s="12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</row>
    <row r="53" spans="1:16221" s="2" customFormat="1" ht="12.75" hidden="1" customHeight="1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11">
        <f>A53</f>
        <v>0</v>
      </c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</row>
    <row r="54" spans="1:16221" s="2" customFormat="1" ht="13.2" hidden="1" customHeight="1" x14ac:dyDescent="0.2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11">
        <f>A54</f>
        <v>0</v>
      </c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2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</row>
    <row r="55" spans="1:16221" s="4" customFormat="1" x14ac:dyDescent="0.25">
      <c r="A55" s="1" t="s">
        <v>34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11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H55" s="1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</row>
    <row r="56" spans="1:16221" s="4" customFormat="1" ht="15" customHeight="1" x14ac:dyDescent="0.3">
      <c r="B56" s="1"/>
      <c r="C56" s="1"/>
      <c r="D56" s="1" t="s">
        <v>35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4"/>
      <c r="X56" s="34"/>
      <c r="Y56" s="34"/>
      <c r="Z56" s="34"/>
      <c r="AA56" s="56" t="s">
        <v>36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H56" s="1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</row>
    <row r="57" spans="1:16221" s="4" customFormat="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64" t="s">
        <v>37</v>
      </c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</row>
    <row r="58" spans="1:16221" s="4" customFormat="1" ht="13.8" x14ac:dyDescent="0.25">
      <c r="A58" s="7" t="s">
        <v>38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"/>
      <c r="V58" s="20"/>
      <c r="W58" s="63" t="str">
        <f>S26</f>
        <v>ПП2020РД-1.2-61.17-АР, изм.3, л.22</v>
      </c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>
        <f>V58</f>
        <v>0</v>
      </c>
      <c r="CF58" s="3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ht="13.2" customHeight="1" x14ac:dyDescent="0.3">
      <c r="A59" s="1" t="s">
        <v>39</v>
      </c>
      <c r="B59" s="1"/>
      <c r="C59" s="1"/>
      <c r="D59" s="1"/>
      <c r="E59" s="1"/>
      <c r="F59" s="1"/>
      <c r="G59" s="1"/>
      <c r="H59" s="1"/>
      <c r="I59" s="1"/>
      <c r="J59" s="1"/>
      <c r="K59" s="1"/>
      <c r="M59" s="35"/>
      <c r="N59" s="41" t="s">
        <v>114</v>
      </c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 t="str">
        <f>N59</f>
        <v>ТУ 23.31.10-001-61313475-2019, ТУ 2257-001-46288087-2009</v>
      </c>
      <c r="CH59" s="1"/>
      <c r="CI59" s="78" t="s">
        <v>97</v>
      </c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3.8" hidden="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38" customFormat="1" ht="22.8" customHeight="1" x14ac:dyDescent="0.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6.5" customHeight="1" x14ac:dyDescent="0.25">
      <c r="A62" s="1" t="s">
        <v>40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x14ac:dyDescent="0.25">
      <c r="A63" s="1" t="s">
        <v>12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2" t="str">
        <f>BJ15</f>
        <v>Кострова Н.Л.</v>
      </c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1"/>
      <c r="AP63" s="1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1"/>
      <c r="BG63" s="1"/>
      <c r="BH63" s="47">
        <f>AE13</f>
        <v>45259</v>
      </c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1" t="s">
        <v>80</v>
      </c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1"/>
      <c r="AP64" s="1"/>
      <c r="AQ64" s="51" t="s">
        <v>41</v>
      </c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1"/>
      <c r="BG64" s="1"/>
      <c r="BH64" s="53" t="s">
        <v>42</v>
      </c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17"/>
      <c r="BU64" s="17"/>
      <c r="BV64" s="17"/>
      <c r="BW64" s="17"/>
      <c r="BX64" s="17"/>
      <c r="BY64" s="3"/>
      <c r="BZ64" s="3"/>
      <c r="CA64" s="3"/>
      <c r="CB64" s="3"/>
      <c r="CC64" s="3"/>
      <c r="CD64" s="3"/>
      <c r="CE64" s="3"/>
      <c r="CF64" s="3"/>
      <c r="CH64" s="1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 t="s">
        <v>43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44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2" t="str">
        <f>BJ17</f>
        <v>Халыгов Э. А.</v>
      </c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1"/>
      <c r="AP66" s="1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1"/>
      <c r="BG66" s="1"/>
      <c r="BH66" s="47">
        <f>BH63</f>
        <v>45259</v>
      </c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1" t="s">
        <v>80</v>
      </c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1"/>
      <c r="AP67" s="1"/>
      <c r="AQ67" s="51" t="s">
        <v>41</v>
      </c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1"/>
      <c r="BG67" s="1"/>
      <c r="BH67" s="53" t="s">
        <v>42</v>
      </c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45" t="str">
        <f>BJ19</f>
        <v>Тюкин Е.В.</v>
      </c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1"/>
      <c r="AP69" s="1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1"/>
      <c r="BG69" s="1"/>
      <c r="BH69" s="47">
        <f>BH63</f>
        <v>45259</v>
      </c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ht="27.6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1" t="s">
        <v>80</v>
      </c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1"/>
      <c r="AP70" s="1"/>
      <c r="AQ70" s="51" t="s">
        <v>41</v>
      </c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1"/>
      <c r="BG70" s="1"/>
      <c r="BH70" s="51" t="s">
        <v>42</v>
      </c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ht="18" customHeight="1" x14ac:dyDescent="0.25">
      <c r="A71" s="49" t="s">
        <v>103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</row>
    <row r="72" spans="1:16221" ht="12.75" customHeight="1" x14ac:dyDescent="0.25">
      <c r="AL72" s="8"/>
      <c r="AM72" s="8"/>
      <c r="AN72" s="8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H72" s="43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</row>
    <row r="73" spans="1:16221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</row>
    <row r="74" spans="1:1622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8" spans="1:1622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162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16221" x14ac:dyDescent="0.25"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246" spans="7:16" ht="409.6" x14ac:dyDescent="0.25">
      <c r="G246" s="1" t="s">
        <v>46</v>
      </c>
      <c r="N246" s="18" t="s">
        <v>47</v>
      </c>
      <c r="P246" s="1" t="s">
        <v>48</v>
      </c>
    </row>
  </sheetData>
  <dataConsolidate/>
  <mergeCells count="92">
    <mergeCell ref="D23:BT23"/>
    <mergeCell ref="D39:BT39"/>
    <mergeCell ref="A39:C39"/>
    <mergeCell ref="D24:BT24"/>
    <mergeCell ref="AH33:BT33"/>
    <mergeCell ref="X48:BT48"/>
    <mergeCell ref="AV46:CE46"/>
    <mergeCell ref="M47:BT47"/>
    <mergeCell ref="D38:BT38"/>
    <mergeCell ref="AF46:AO46"/>
    <mergeCell ref="Y45:BT45"/>
    <mergeCell ref="A37:BT37"/>
    <mergeCell ref="A25:BT25"/>
    <mergeCell ref="S26:BT26"/>
    <mergeCell ref="R28:BT28"/>
    <mergeCell ref="A34:BT34"/>
    <mergeCell ref="A29:BT29"/>
    <mergeCell ref="A36:BT36"/>
    <mergeCell ref="P27:BT27"/>
    <mergeCell ref="A31:BT31"/>
    <mergeCell ref="A32:BT32"/>
    <mergeCell ref="A35:BT35"/>
    <mergeCell ref="CI21:CW25"/>
    <mergeCell ref="CI59:CW64"/>
    <mergeCell ref="CI44:CW47"/>
    <mergeCell ref="CI26:CX27"/>
    <mergeCell ref="CI48:CY56"/>
    <mergeCell ref="CI33:CY42"/>
    <mergeCell ref="A3:E3"/>
    <mergeCell ref="F3:H3"/>
    <mergeCell ref="I3:K3"/>
    <mergeCell ref="A10:BT10"/>
    <mergeCell ref="AJ6:BT7"/>
    <mergeCell ref="A6:E6"/>
    <mergeCell ref="F6:H6"/>
    <mergeCell ref="I6:K6"/>
    <mergeCell ref="G7:H7"/>
    <mergeCell ref="I7:O7"/>
    <mergeCell ref="AE9:AT9"/>
    <mergeCell ref="A11:BT11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I40:BT40"/>
    <mergeCell ref="A41:BT41"/>
    <mergeCell ref="A42:BT42"/>
    <mergeCell ref="A43:BT43"/>
    <mergeCell ref="Y44:BT44"/>
    <mergeCell ref="X67:AN67"/>
    <mergeCell ref="AQ67:BE67"/>
    <mergeCell ref="BH67:BS67"/>
    <mergeCell ref="A49:BT49"/>
    <mergeCell ref="AA56:BT56"/>
    <mergeCell ref="A50:BT50"/>
    <mergeCell ref="V51:BT51"/>
    <mergeCell ref="W58:BT58"/>
    <mergeCell ref="A52:BT52"/>
    <mergeCell ref="A53:BT53"/>
    <mergeCell ref="A54:BT54"/>
    <mergeCell ref="J57:BT57"/>
    <mergeCell ref="X64:AN64"/>
    <mergeCell ref="AQ64:BE64"/>
    <mergeCell ref="BH64:BS64"/>
    <mergeCell ref="X66:AN66"/>
    <mergeCell ref="AQ66:BE66"/>
    <mergeCell ref="BH66:BS66"/>
    <mergeCell ref="N59:BT59"/>
    <mergeCell ref="AQ72:BE72"/>
    <mergeCell ref="BH72:BS72"/>
    <mergeCell ref="AQ73:BE73"/>
    <mergeCell ref="BH73:BS73"/>
    <mergeCell ref="X69:AN69"/>
    <mergeCell ref="AQ69:BE69"/>
    <mergeCell ref="BH69:BS69"/>
    <mergeCell ref="A71:AK71"/>
    <mergeCell ref="A60:BT60"/>
    <mergeCell ref="X70:AN70"/>
    <mergeCell ref="AQ70:BE70"/>
    <mergeCell ref="BH70:BS70"/>
    <mergeCell ref="X63:AN63"/>
    <mergeCell ref="AQ63:BE63"/>
    <mergeCell ref="BH63:BS63"/>
  </mergeCells>
  <dataValidations count="10">
    <dataValidation type="list" allowBlank="1" showInputMessage="1" showErrorMessage="1" sqref="T15:BF15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>
      <formula1>"Андреев А.А.,Тюкин Е.В."</formula1>
    </dataValidation>
    <dataValidation type="list" allowBlank="1" showInputMessage="1" showErrorMessage="1" sqref="T19:BI19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>
      <formula1>"Гуня С.В.,Тишаков В.В.,Кострова Н.Л.,Сорокин М.О.,Журавлев Ю.С.."</formula1>
    </dataValidation>
    <dataValidation type="list" showInputMessage="1" showErrorMessage="1" sqref="G7:H7">
      <formula1>"1,2"</formula1>
    </dataValidation>
    <dataValidation type="list" allowBlank="1" showInputMessage="1" showErrorMessage="1" sqref="F6:H6 F3:H3">
      <formula1>"I.I,I.II,II,III,IV,V,V.I,V.II"</formula1>
    </dataValidation>
    <dataValidation type="list" allowBlank="1" showInputMessage="1" showErrorMessage="1" sqref="N21">
      <formula1>"выборочный,сплошной"</formula1>
    </dataValidation>
    <dataValidation type="list" errorStyle="information" allowBlank="1" showInputMessage="1" sqref="O21:BP21">
      <formula1>"выборочный,сплошной"</formula1>
    </dataValidation>
    <dataValidation type="list" allowBlank="1" showInputMessage="1" showErrorMessage="1" sqref="T17:BI17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rowBreaks count="1" manualBreakCount="1">
    <brk id="71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>
          <x14:formula1>
            <xm:f>'Лист общих данных'!$A$6:$A$15</xm:f>
          </x14:formula1>
          <xm:sqref>R28:BT28</xm:sqref>
        </x14:dataValidation>
        <x14:dataValidation type="list" errorStyle="information" allowBlank="1" showInputMessage="1">
          <x14:formula1>
            <xm:f>'Лист общих данных'!#REF!</xm:f>
          </x14:formula1>
          <xm:sqref>S26:BT26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5" customWidth="1"/>
    <col min="2" max="2" width="48.109375" style="25" customWidth="1"/>
    <col min="3" max="16384" width="9.109375" style="25"/>
  </cols>
  <sheetData>
    <row r="2" spans="1:2" x14ac:dyDescent="0.25">
      <c r="A2" s="25" t="s">
        <v>52</v>
      </c>
    </row>
    <row r="3" spans="1:2" x14ac:dyDescent="0.25">
      <c r="A3" s="25" t="s">
        <v>53</v>
      </c>
    </row>
    <row r="5" spans="1:2" x14ac:dyDescent="0.25">
      <c r="A5" s="26" t="s">
        <v>56</v>
      </c>
      <c r="B5" s="26" t="s">
        <v>57</v>
      </c>
    </row>
    <row r="6" spans="1:2" x14ac:dyDescent="0.25">
      <c r="A6" s="27" t="s">
        <v>58</v>
      </c>
      <c r="B6" s="25" t="s">
        <v>68</v>
      </c>
    </row>
    <row r="7" spans="1:2" ht="27.6" x14ac:dyDescent="0.25">
      <c r="A7" s="27" t="s">
        <v>59</v>
      </c>
      <c r="B7" s="25" t="s">
        <v>69</v>
      </c>
    </row>
    <row r="8" spans="1:2" x14ac:dyDescent="0.25">
      <c r="A8" s="27" t="s">
        <v>60</v>
      </c>
      <c r="B8" s="25" t="s">
        <v>70</v>
      </c>
    </row>
    <row r="9" spans="1:2" ht="27.6" x14ac:dyDescent="0.25">
      <c r="A9" s="27" t="s">
        <v>61</v>
      </c>
      <c r="B9" s="29" t="s">
        <v>71</v>
      </c>
    </row>
    <row r="10" spans="1:2" x14ac:dyDescent="0.25">
      <c r="A10" s="27" t="s">
        <v>62</v>
      </c>
      <c r="B10" s="25" t="s">
        <v>72</v>
      </c>
    </row>
    <row r="11" spans="1:2" x14ac:dyDescent="0.25">
      <c r="A11" s="27" t="s">
        <v>63</v>
      </c>
      <c r="B11" s="25" t="s">
        <v>73</v>
      </c>
    </row>
    <row r="12" spans="1:2" x14ac:dyDescent="0.25">
      <c r="A12" s="27" t="s">
        <v>64</v>
      </c>
      <c r="B12" s="25" t="s">
        <v>74</v>
      </c>
    </row>
    <row r="13" spans="1:2" ht="27.6" x14ac:dyDescent="0.25">
      <c r="A13" s="27" t="s">
        <v>65</v>
      </c>
      <c r="B13" s="28" t="s">
        <v>75</v>
      </c>
    </row>
    <row r="14" spans="1:2" ht="27.6" x14ac:dyDescent="0.25">
      <c r="A14" s="27" t="s">
        <v>66</v>
      </c>
      <c r="B14" s="30" t="s">
        <v>76</v>
      </c>
    </row>
    <row r="15" spans="1:2" ht="27.6" x14ac:dyDescent="0.25">
      <c r="A15" s="27" t="s">
        <v>67</v>
      </c>
      <c r="B15" s="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Дом</cp:lastModifiedBy>
  <cp:lastPrinted>2025-03-18T11:08:44Z</cp:lastPrinted>
  <dcterms:created xsi:type="dcterms:W3CDTF">2023-09-19T09:44:50Z</dcterms:created>
  <dcterms:modified xsi:type="dcterms:W3CDTF">2025-03-18T12:30:27Z</dcterms:modified>
</cp:coreProperties>
</file>