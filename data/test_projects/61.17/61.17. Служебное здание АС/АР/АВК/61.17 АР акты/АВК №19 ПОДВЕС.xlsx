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E3BBEE95-B168-4C34-823D-1CC7EF4AAA6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перекрытие'!$A$1:$CC$67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1" l="1"/>
  <c r="M44" i="1" l="1"/>
  <c r="CC44" i="1" s="1"/>
  <c r="D36" i="1"/>
  <c r="X65" i="1"/>
  <c r="X59" i="1"/>
  <c r="X45" i="1"/>
  <c r="W54" i="1"/>
  <c r="BH59" i="1"/>
  <c r="BH65" i="1" s="1"/>
  <c r="X62" i="1"/>
  <c r="CF55" i="1"/>
  <c r="CE54" i="1"/>
  <c r="BU50" i="1"/>
  <c r="BU49" i="1"/>
  <c r="BY48" i="1"/>
  <c r="CD45" i="1"/>
  <c r="CB41" i="1"/>
  <c r="BU40" i="1"/>
  <c r="BU39" i="1"/>
  <c r="BY38" i="1"/>
  <c r="BZ32" i="1"/>
  <c r="BU31" i="1"/>
  <c r="BU30" i="1"/>
  <c r="BX27" i="1"/>
  <c r="BW25" i="1"/>
  <c r="BV21" i="1"/>
  <c r="BU12" i="1"/>
  <c r="BU11" i="1"/>
  <c r="BH62" i="1" l="1"/>
</calcChain>
</file>

<file path=xl/sharedStrings.xml><?xml version="1.0" encoding="utf-8"?>
<sst xmlns="http://schemas.openxmlformats.org/spreadsheetml/2006/main" count="126" uniqueCount="115">
  <si>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</si>
  <si>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</si>
  <si>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</si>
  <si>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</si>
  <si>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</si>
  <si>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</si>
  <si>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</si>
  <si>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</si>
  <si>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</si>
  <si>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</si>
  <si>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</si>
  <si>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</si>
  <si>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</si>
  <si>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</si>
  <si>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</si>
  <si>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</si>
  <si>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</si>
  <si>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</si>
  <si>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</si>
  <si>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</si>
  <si>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</si>
  <si>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</si>
  <si>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</si>
  <si>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</si>
  <si>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</si>
  <si>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</si>
  <si>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</si>
  <si>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</si>
  <si>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</si>
  <si>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</si>
  <si>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</si>
  <si>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</si>
  <si>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</si>
  <si>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</si>
  <si>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</si>
  <si>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</si>
  <si>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</si>
  <si>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</si>
  <si>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</si>
  <si>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</si>
  <si>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</si>
  <si>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</si>
  <si>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</si>
  <si>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</si>
  <si>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</si>
  <si>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</si>
  <si>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</si>
  <si>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</si>
  <si>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</si>
  <si>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</si>
  <si>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</si>
  <si>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</si>
  <si>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</si>
  <si>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</si>
  <si>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</si>
  <si>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</si>
  <si>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</si>
  <si>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</si>
  <si>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</si>
  <si>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</si>
  <si>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</si>
  <si>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</si>
  <si>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</si>
  <si>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</si>
  <si>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</si>
  <si>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</si>
  <si>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</si>
  <si>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</si>
  <si>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</si>
  <si>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</si>
  <si>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</si>
  <si>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</si>
  <si>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</si>
  <si>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</si>
  <si>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</si>
  <si>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</si>
  <si>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</si>
  <si>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</si>
  <si>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</si>
  <si>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</si>
  <si>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</si>
  <si>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</si>
  <si>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</si>
  <si>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</si>
  <si>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</si>
  <si>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</si>
  <si>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</si>
  <si>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</si>
  <si>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</si>
  <si>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</si>
  <si>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</si>
  <si>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</si>
  <si>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</si>
  <si>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</si>
  <si>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</si>
  <si>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</si>
  <si>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</si>
  <si>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</si>
  <si>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</si>
  <si>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</si>
  <si>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</si>
  <si>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</si>
  <si>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</si>
  <si>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</si>
  <si>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</si>
  <si>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</si>
  <si>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</si>
  <si>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</si>
  <si>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АИР 1.2-61.17-АР/19</t>
  </si>
  <si>
    <t>ПП2020РД-1.2-61.17-АР, изм.3, л.5, л.6</t>
  </si>
  <si>
    <t>Подвес прямой 47х17</t>
  </si>
  <si>
    <t>Подвес прямой 47х17 - 354 шт.</t>
  </si>
  <si>
    <t xml:space="preserve">паспорт б/н от 20.10.2023, сертификат соответствия </t>
  </si>
  <si>
    <t>№ССБК RU.ПБ31.Н00058 с 23.09.2022 по 22.09.2025, экспертное заключение №77.42.03.П.003652.12.19 от 02.12.2019</t>
  </si>
  <si>
    <t>ТУ 25.11.23-003-29095323-2019, ГОСТ 30244-94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</si>
</sst>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9" fillId="2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9" fillId="4" borderId="0" xfId="1" applyFont="1" applyFill="1" applyAlignment="1">
      <alignment horizontal="left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14" fontId="7" fillId="5" borderId="1" xfId="1" applyNumberFormat="1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36</xdr:row>
      <xdr:rowOff>171450</xdr:rowOff>
    </xdr:from>
    <xdr:to>
      <xdr:col>85</xdr:col>
      <xdr:colOff>123825</xdr:colOff>
      <xdr:row>41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53</xdr:row>
      <xdr:rowOff>323850</xdr:rowOff>
    </xdr:from>
    <xdr:to>
      <xdr:col>85</xdr:col>
      <xdr:colOff>104775</xdr:colOff>
      <xdr:row>55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2"/>
  <sheetViews>
    <sheetView tabSelected="1" view="pageBreakPreview" topLeftCell="A42" zoomScaleNormal="100" zoomScaleSheetLayoutView="100" workbookViewId="0">
      <selection activeCell="N57" sqref="N57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1" t="s">
        <v>4</v>
      </c>
      <c r="B3" s="41"/>
      <c r="C3" s="41"/>
      <c r="D3" s="41"/>
      <c r="E3" s="41"/>
      <c r="F3" s="70" t="s">
        <v>5</v>
      </c>
      <c r="G3" s="70"/>
      <c r="H3" s="70"/>
      <c r="I3" s="71" t="s">
        <v>6</v>
      </c>
      <c r="J3" s="71"/>
      <c r="K3" s="71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1"/>
      <c r="B6" s="41"/>
      <c r="C6" s="41"/>
      <c r="D6" s="41"/>
      <c r="E6" s="41"/>
      <c r="F6" s="70"/>
      <c r="G6" s="70"/>
      <c r="H6" s="70"/>
      <c r="I6" s="71"/>
      <c r="J6" s="71"/>
      <c r="K6" s="71"/>
      <c r="AE6" s="3"/>
      <c r="AF6" s="3"/>
      <c r="AG6" s="3"/>
      <c r="AH6" s="3"/>
      <c r="AI6" s="3"/>
      <c r="AJ6" s="74" t="s">
        <v>84</v>
      </c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CM6" s="6"/>
      <c r="CN6" s="6"/>
      <c r="CO6" s="6"/>
      <c r="CP6" s="6"/>
      <c r="CQ6" s="6"/>
      <c r="CR6" s="6"/>
    </row>
    <row r="7" spans="1:96" x14ac:dyDescent="0.25">
      <c r="G7" s="75"/>
      <c r="H7" s="75"/>
      <c r="I7" s="71"/>
      <c r="J7" s="71"/>
      <c r="K7" s="71"/>
      <c r="L7" s="71"/>
      <c r="M7" s="71"/>
      <c r="N7" s="71"/>
      <c r="O7" s="71"/>
      <c r="AD7" s="3"/>
      <c r="AE7" s="3"/>
      <c r="AF7" s="3"/>
      <c r="AG7" s="3"/>
      <c r="AH7" s="3"/>
      <c r="AI7" s="3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6" t="s">
        <v>108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BT9" s="1"/>
    </row>
    <row r="10" spans="1:96" ht="15" customHeight="1" x14ac:dyDescent="0.25">
      <c r="A10" s="72" t="s">
        <v>50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</row>
    <row r="11" spans="1:96" x14ac:dyDescent="0.25">
      <c r="A11" s="73" t="s">
        <v>110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3" t="str">
        <f>A11</f>
        <v>Подвес прямой 47х17</v>
      </c>
      <c r="CI11" s="1" t="s">
        <v>98</v>
      </c>
    </row>
    <row r="12" spans="1:96" x14ac:dyDescent="0.25">
      <c r="A12" s="66" t="s">
        <v>51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69">
        <v>45232</v>
      </c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65" t="s">
        <v>91</v>
      </c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10"/>
      <c r="BH15" s="10"/>
      <c r="BI15" s="10"/>
      <c r="BJ15" s="67" t="s">
        <v>90</v>
      </c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CJ15" s="1" t="s">
        <v>100</v>
      </c>
    </row>
    <row r="16" spans="1:96" ht="15" customHeight="1" x14ac:dyDescent="0.25">
      <c r="T16" s="64" t="s">
        <v>13</v>
      </c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103" x14ac:dyDescent="0.25">
      <c r="A17" s="1" t="s">
        <v>14</v>
      </c>
      <c r="T17" s="65" t="s">
        <v>105</v>
      </c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7" t="s">
        <v>106</v>
      </c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CG17" s="13"/>
      <c r="CJ17" s="1" t="s">
        <v>99</v>
      </c>
    </row>
    <row r="18" spans="1:103" x14ac:dyDescent="0.25">
      <c r="T18" s="64" t="s">
        <v>13</v>
      </c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8" t="s">
        <v>101</v>
      </c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7" t="s">
        <v>102</v>
      </c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CI19" s="1" t="s">
        <v>103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4" t="s">
        <v>13</v>
      </c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4"/>
      <c r="O21" s="44" t="s">
        <v>107</v>
      </c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1" t="s">
        <v>17</v>
      </c>
      <c r="BR21" s="8"/>
      <c r="BS21" s="8"/>
      <c r="BT21" s="8"/>
      <c r="BV21" s="3">
        <f>AD21</f>
        <v>0</v>
      </c>
      <c r="CI21" s="77" t="s">
        <v>95</v>
      </c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</row>
    <row r="22" spans="1:103" x14ac:dyDescent="0.25">
      <c r="E22" s="63" t="s">
        <v>54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</row>
    <row r="23" spans="1:103" s="2" customFormat="1" x14ac:dyDescent="0.25">
      <c r="B23" s="32"/>
      <c r="C23" s="32"/>
      <c r="D23" s="92" t="s">
        <v>111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</row>
    <row r="24" spans="1:103" s="2" customFormat="1" ht="12" customHeight="1" x14ac:dyDescent="0.25">
      <c r="A24" s="83" t="s">
        <v>55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</row>
    <row r="25" spans="1:103" ht="13.8" x14ac:dyDescent="0.3">
      <c r="A25" s="7" t="s">
        <v>18</v>
      </c>
      <c r="R25" s="19"/>
      <c r="S25" s="84" t="s">
        <v>109</v>
      </c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W25" s="3" t="str">
        <f>S25</f>
        <v>ПП2020РД-1.2-61.17-АР, изм.3, л.5, л.6</v>
      </c>
      <c r="CI25" s="77" t="s">
        <v>92</v>
      </c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</row>
    <row r="26" spans="1:103" s="2" customFormat="1" ht="15" customHeight="1" x14ac:dyDescent="0.25"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</row>
    <row r="27" spans="1:103" x14ac:dyDescent="0.25">
      <c r="A27" s="7" t="s">
        <v>19</v>
      </c>
      <c r="R27" s="85" t="s">
        <v>62</v>
      </c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X27" s="3" t="str">
        <f>R27</f>
        <v>Этап I.II. Служебное здание АС</v>
      </c>
    </row>
    <row r="28" spans="1:103" ht="12.75" customHeight="1" x14ac:dyDescent="0.25">
      <c r="A28" s="80" t="s">
        <v>20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</row>
    <row r="29" spans="1:103" ht="12.75" customHeight="1" x14ac:dyDescent="0.25">
      <c r="D29" s="1" t="s">
        <v>21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22</v>
      </c>
      <c r="AH32" s="87" t="s">
        <v>112</v>
      </c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33"/>
      <c r="BV32" s="33"/>
      <c r="BZ32" s="3" t="str">
        <f>AH32</f>
        <v xml:space="preserve">паспорт б/н от 20.10.2023, сертификат соответствия </v>
      </c>
      <c r="CI32" s="77" t="s">
        <v>93</v>
      </c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</row>
    <row r="33" spans="1:103" ht="13.8" x14ac:dyDescent="0.3">
      <c r="A33" s="86" t="s">
        <v>113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</row>
    <row r="34" spans="1:103" ht="15" customHeight="1" x14ac:dyDescent="0.25">
      <c r="A34" s="64" t="s">
        <v>23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</row>
    <row r="35" spans="1:103" ht="12.75" customHeight="1" x14ac:dyDescent="0.25">
      <c r="A35" s="81" t="s">
        <v>78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</row>
    <row r="36" spans="1:103" s="2" customFormat="1" x14ac:dyDescent="0.25">
      <c r="A36" s="24" t="s">
        <v>79</v>
      </c>
      <c r="B36" s="31"/>
      <c r="C36" s="31"/>
      <c r="D36" s="91" t="str">
        <f>D23</f>
        <v>Подвес прямой 47х17 - 354 шт.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2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</row>
    <row r="37" spans="1:103" ht="17.25" customHeight="1" x14ac:dyDescent="0.25">
      <c r="D37" s="13"/>
      <c r="E37" s="13"/>
      <c r="F37" s="13"/>
      <c r="G37" s="13"/>
      <c r="H37" s="13"/>
      <c r="I37" s="55" t="s">
        <v>24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</row>
    <row r="38" spans="1:103" s="2" customFormat="1" hidden="1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11"/>
      <c r="BV38" s="11"/>
      <c r="BW38" s="11"/>
      <c r="BX38" s="11"/>
      <c r="BY38" s="11">
        <f>A38</f>
        <v>0</v>
      </c>
      <c r="BZ38" s="11"/>
      <c r="CA38" s="11"/>
      <c r="CB38" s="11"/>
      <c r="CC38" s="11"/>
      <c r="CD38" s="11"/>
      <c r="CE38" s="11"/>
      <c r="CF38" s="11"/>
      <c r="CG38" s="12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</row>
    <row r="39" spans="1:103" s="2" customFormat="1" hidden="1" x14ac:dyDescent="0.2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11">
        <f>A39</f>
        <v>0</v>
      </c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</row>
    <row r="40" spans="1:103" s="2" customFormat="1" hidden="1" x14ac:dyDescent="0.2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11">
        <f>A40</f>
        <v>0</v>
      </c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</row>
    <row r="41" spans="1:103" x14ac:dyDescent="0.25">
      <c r="A41" s="1" t="s">
        <v>25</v>
      </c>
      <c r="X41" s="14"/>
      <c r="Y41" s="58" t="s">
        <v>49</v>
      </c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CB41" s="3" t="str">
        <f>Y41</f>
        <v>-</v>
      </c>
      <c r="CI41" s="77" t="s">
        <v>94</v>
      </c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</row>
    <row r="42" spans="1:103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15"/>
      <c r="Y42" s="80" t="s">
        <v>26</v>
      </c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</row>
    <row r="43" spans="1:103" ht="15" customHeight="1" x14ac:dyDescent="0.3">
      <c r="A43" s="1" t="s">
        <v>27</v>
      </c>
      <c r="AF43" s="79" t="s">
        <v>28</v>
      </c>
      <c r="AG43" s="79"/>
      <c r="AH43" s="79"/>
      <c r="AI43" s="79"/>
      <c r="AJ43" s="79"/>
      <c r="AK43" s="79"/>
      <c r="AL43" s="79"/>
      <c r="AM43" s="79"/>
      <c r="AN43" s="79"/>
      <c r="AO43" s="79"/>
      <c r="AQ43" s="1" t="s">
        <v>29</v>
      </c>
      <c r="AV43" s="89" t="s">
        <v>30</v>
      </c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</row>
    <row r="44" spans="1:103" ht="13.8" x14ac:dyDescent="0.25">
      <c r="A44" s="7" t="s">
        <v>31</v>
      </c>
      <c r="M44" s="90" t="str">
        <f>S25</f>
        <v>ПП2020РД-1.2-61.17-АР, изм.3, л.5, л.6</v>
      </c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CC44" s="3" t="str">
        <f>M44</f>
        <v>ПП2020РД-1.2-61.17-АР, изм.3, л.5, л.6</v>
      </c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</row>
    <row r="45" spans="1:103" ht="13.5" customHeight="1" x14ac:dyDescent="0.25">
      <c r="D45" s="7" t="s">
        <v>32</v>
      </c>
      <c r="W45" s="34"/>
      <c r="X45" s="88" t="str">
        <f>AH32</f>
        <v xml:space="preserve">паспорт б/н от 20.10.2023, сертификат соответствия </v>
      </c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CD45" s="3">
        <f>W45</f>
        <v>0</v>
      </c>
      <c r="CI45" s="77"/>
      <c r="CJ45" s="77"/>
      <c r="CK45" s="77"/>
      <c r="CL45" s="77"/>
      <c r="CM45" s="77"/>
      <c r="CN45" s="77"/>
      <c r="CO45" s="77"/>
      <c r="CP45" s="77"/>
      <c r="CQ45" s="77"/>
      <c r="CR45" s="77"/>
      <c r="CS45" s="77"/>
      <c r="CT45" s="77"/>
      <c r="CU45" s="77"/>
      <c r="CV45" s="77"/>
      <c r="CW45" s="77"/>
      <c r="CX45" s="77"/>
      <c r="CY45" s="77"/>
    </row>
    <row r="46" spans="1:103" ht="13.8" x14ac:dyDescent="0.3">
      <c r="A46" s="53" t="str">
        <f>A33</f>
        <v>№ССБК RU.ПБ31.Н00058 с 23.09.2022 по 22.09.2025, экспертное заключение №77.42.03.П.003652.12.19 от 02.12.2019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</row>
    <row r="47" spans="1:103" ht="9.6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60" t="s">
        <v>33</v>
      </c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CI47" s="77"/>
      <c r="CJ47" s="77"/>
      <c r="CK47" s="77"/>
      <c r="CL47" s="77"/>
      <c r="CM47" s="77"/>
      <c r="CN47" s="77"/>
      <c r="CO47" s="77"/>
      <c r="CP47" s="77"/>
      <c r="CQ47" s="77"/>
      <c r="CR47" s="77"/>
      <c r="CS47" s="77"/>
      <c r="CT47" s="77"/>
      <c r="CU47" s="77"/>
      <c r="CV47" s="77"/>
      <c r="CW47" s="77"/>
      <c r="CX47" s="77"/>
      <c r="CY47" s="77"/>
    </row>
    <row r="48" spans="1:103" s="2" customFormat="1" ht="12.75" hidden="1" customHeight="1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11"/>
      <c r="BV48" s="11"/>
      <c r="BW48" s="11"/>
      <c r="BX48" s="11"/>
      <c r="BY48" s="11">
        <f>A48</f>
        <v>0</v>
      </c>
      <c r="BZ48" s="11"/>
      <c r="CA48" s="11"/>
      <c r="CB48" s="11"/>
      <c r="CC48" s="11"/>
      <c r="CD48" s="11"/>
      <c r="CE48" s="11"/>
      <c r="CF48" s="11"/>
      <c r="CG48" s="12"/>
      <c r="CI48" s="77"/>
      <c r="CJ48" s="77"/>
      <c r="CK48" s="77"/>
      <c r="CL48" s="77"/>
      <c r="CM48" s="77"/>
      <c r="CN48" s="77"/>
      <c r="CO48" s="77"/>
      <c r="CP48" s="77"/>
      <c r="CQ48" s="77"/>
      <c r="CR48" s="77"/>
      <c r="CS48" s="77"/>
      <c r="CT48" s="77"/>
      <c r="CU48" s="77"/>
      <c r="CV48" s="77"/>
      <c r="CW48" s="77"/>
      <c r="CX48" s="77"/>
      <c r="CY48" s="77"/>
    </row>
    <row r="49" spans="1:16221" s="2" customFormat="1" ht="12.75" hidden="1" customHeight="1" x14ac:dyDescent="0.2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11">
        <f>A49</f>
        <v>0</v>
      </c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  <c r="CI49" s="77"/>
      <c r="CJ49" s="77"/>
      <c r="CK49" s="77"/>
      <c r="CL49" s="77"/>
      <c r="CM49" s="77"/>
      <c r="CN49" s="77"/>
      <c r="CO49" s="77"/>
      <c r="CP49" s="77"/>
      <c r="CQ49" s="77"/>
      <c r="CR49" s="77"/>
      <c r="CS49" s="77"/>
      <c r="CT49" s="77"/>
      <c r="CU49" s="77"/>
      <c r="CV49" s="77"/>
      <c r="CW49" s="77"/>
      <c r="CX49" s="77"/>
      <c r="CY49" s="77"/>
    </row>
    <row r="50" spans="1:16221" s="2" customFormat="1" ht="12.75" hidden="1" customHeight="1" x14ac:dyDescent="0.2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11">
        <f>A50</f>
        <v>0</v>
      </c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  <c r="CI50" s="77"/>
      <c r="CJ50" s="77"/>
      <c r="CK50" s="77"/>
      <c r="CL50" s="77"/>
      <c r="CM50" s="77"/>
      <c r="CN50" s="77"/>
      <c r="CO50" s="77"/>
      <c r="CP50" s="77"/>
      <c r="CQ50" s="77"/>
      <c r="CR50" s="77"/>
      <c r="CS50" s="77"/>
      <c r="CT50" s="77"/>
      <c r="CU50" s="77"/>
      <c r="CV50" s="77"/>
      <c r="CW50" s="77"/>
      <c r="CX50" s="77"/>
      <c r="CY50" s="77"/>
    </row>
    <row r="51" spans="1:16221" s="4" customFormat="1" x14ac:dyDescent="0.25">
      <c r="A51" s="1" t="s">
        <v>34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11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H51" s="1"/>
      <c r="CI51" s="77"/>
      <c r="CJ51" s="77"/>
      <c r="CK51" s="77"/>
      <c r="CL51" s="77"/>
      <c r="CM51" s="77"/>
      <c r="CN51" s="77"/>
      <c r="CO51" s="77"/>
      <c r="CP51" s="77"/>
      <c r="CQ51" s="77"/>
      <c r="CR51" s="77"/>
      <c r="CS51" s="77"/>
      <c r="CT51" s="77"/>
      <c r="CU51" s="77"/>
      <c r="CV51" s="77"/>
      <c r="CW51" s="77"/>
      <c r="CX51" s="77"/>
      <c r="CY51" s="77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</row>
    <row r="52" spans="1:16221" s="4" customFormat="1" ht="15" customHeight="1" x14ac:dyDescent="0.3">
      <c r="B52" s="1"/>
      <c r="C52" s="1"/>
      <c r="D52" s="1" t="s">
        <v>35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5"/>
      <c r="X52" s="35"/>
      <c r="Y52" s="35"/>
      <c r="Z52" s="35"/>
      <c r="AA52" s="54" t="s">
        <v>36</v>
      </c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H52" s="1"/>
      <c r="CI52" s="77"/>
      <c r="CJ52" s="77"/>
      <c r="CK52" s="77"/>
      <c r="CL52" s="77"/>
      <c r="CM52" s="77"/>
      <c r="CN52" s="77"/>
      <c r="CO52" s="77"/>
      <c r="CP52" s="77"/>
      <c r="CQ52" s="77"/>
      <c r="CR52" s="77"/>
      <c r="CS52" s="77"/>
      <c r="CT52" s="77"/>
      <c r="CU52" s="77"/>
      <c r="CV52" s="77"/>
      <c r="CW52" s="77"/>
      <c r="CX52" s="77"/>
      <c r="CY52" s="77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</row>
    <row r="53" spans="1:16221" s="4" customFormat="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62" t="s">
        <v>37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</row>
    <row r="54" spans="1:16221" s="4" customFormat="1" ht="13.8" x14ac:dyDescent="0.25">
      <c r="A54" s="7" t="s">
        <v>38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2"/>
      <c r="V54" s="20"/>
      <c r="W54" s="61" t="str">
        <f>S25</f>
        <v>ПП2020РД-1.2-61.17-АР, изм.3, л.5, л.6</v>
      </c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>
        <f>V54</f>
        <v>0</v>
      </c>
      <c r="CF54" s="3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</row>
    <row r="55" spans="1:16221" s="4" customFormat="1" ht="13.2" customHeight="1" x14ac:dyDescent="0.3">
      <c r="A55" s="1" t="s">
        <v>39</v>
      </c>
      <c r="B55" s="1"/>
      <c r="C55" s="1"/>
      <c r="D55" s="1"/>
      <c r="E55" s="1"/>
      <c r="F55" s="1"/>
      <c r="G55" s="1"/>
      <c r="H55" s="1"/>
      <c r="I55" s="1"/>
      <c r="J55" s="1"/>
      <c r="K55" s="1"/>
      <c r="M55" s="36"/>
      <c r="N55" s="40" t="s">
        <v>114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 t="str">
        <f>N55</f>
        <v>ТУ 25.11.23-003-29095323-2019, ГОСТ 30244-94</v>
      </c>
      <c r="CH55" s="1"/>
      <c r="CI55" s="77" t="s">
        <v>97</v>
      </c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3.8" hidden="1" x14ac:dyDescent="0.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77"/>
      <c r="CJ56" s="77"/>
      <c r="CK56" s="77"/>
      <c r="CL56" s="77"/>
      <c r="CM56" s="77"/>
      <c r="CN56" s="77"/>
      <c r="CO56" s="77"/>
      <c r="CP56" s="77"/>
      <c r="CQ56" s="77"/>
      <c r="CR56" s="77"/>
      <c r="CS56" s="77"/>
      <c r="CT56" s="77"/>
      <c r="CU56" s="77"/>
      <c r="CV56" s="77"/>
      <c r="CW56" s="77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20.399999999999999" customHeight="1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H57" s="1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6.5" customHeight="1" x14ac:dyDescent="0.25">
      <c r="A58" s="1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H58" s="1"/>
      <c r="CI58" s="77"/>
      <c r="CJ58" s="77"/>
      <c r="CK58" s="77"/>
      <c r="CL58" s="77"/>
      <c r="CM58" s="77"/>
      <c r="CN58" s="77"/>
      <c r="CO58" s="77"/>
      <c r="CP58" s="77"/>
      <c r="CQ58" s="77"/>
      <c r="CR58" s="77"/>
      <c r="CS58" s="77"/>
      <c r="CT58" s="77"/>
      <c r="CU58" s="77"/>
      <c r="CV58" s="77"/>
      <c r="CW58" s="77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x14ac:dyDescent="0.25">
      <c r="A59" s="1" t="s">
        <v>12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1" t="str">
        <f>BJ15</f>
        <v>Кострова Н.Л.</v>
      </c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1"/>
      <c r="AP59" s="1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1"/>
      <c r="BG59" s="1"/>
      <c r="BH59" s="46">
        <f>AE13</f>
        <v>45232</v>
      </c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0" t="s">
        <v>80</v>
      </c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1"/>
      <c r="AP60" s="1"/>
      <c r="AQ60" s="50" t="s">
        <v>41</v>
      </c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1"/>
      <c r="BG60" s="1"/>
      <c r="BH60" s="52" t="s">
        <v>42</v>
      </c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17"/>
      <c r="BU60" s="17"/>
      <c r="BV60" s="17"/>
      <c r="BW60" s="17"/>
      <c r="BX60" s="17"/>
      <c r="BY60" s="3"/>
      <c r="BZ60" s="3"/>
      <c r="CA60" s="3"/>
      <c r="CB60" s="3"/>
      <c r="CC60" s="3"/>
      <c r="CD60" s="3"/>
      <c r="CE60" s="3"/>
      <c r="CF60" s="3"/>
      <c r="CH60" s="1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x14ac:dyDescent="0.25">
      <c r="A61" s="1" t="s">
        <v>43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 t="s">
        <v>44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1" t="str">
        <f>BJ17</f>
        <v>Халыгов Э. А.</v>
      </c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1"/>
      <c r="AP62" s="1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1"/>
      <c r="BG62" s="1"/>
      <c r="BH62" s="46">
        <f>BH59</f>
        <v>45232</v>
      </c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0" t="s">
        <v>80</v>
      </c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1"/>
      <c r="AP63" s="1"/>
      <c r="AQ63" s="50" t="s">
        <v>41</v>
      </c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1"/>
      <c r="BG63" s="1"/>
      <c r="BH63" s="52" t="s">
        <v>42</v>
      </c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40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45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44" t="str">
        <f>BJ19</f>
        <v>Тюкин Е.В.</v>
      </c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1"/>
      <c r="AP65" s="1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1"/>
      <c r="BG65" s="1"/>
      <c r="BH65" s="46">
        <f>BH59</f>
        <v>45232</v>
      </c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0" t="s">
        <v>80</v>
      </c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1"/>
      <c r="AP66" s="1"/>
      <c r="AQ66" s="50" t="s">
        <v>41</v>
      </c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1"/>
      <c r="BG66" s="1"/>
      <c r="BH66" s="50" t="s">
        <v>42</v>
      </c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x14ac:dyDescent="0.25">
      <c r="A67" s="48" t="s">
        <v>104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</row>
    <row r="68" spans="1:16221" ht="12.75" customHeight="1" x14ac:dyDescent="0.25">
      <c r="AL68" s="8"/>
      <c r="AM68" s="8"/>
      <c r="AN68" s="8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H68" s="42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</row>
    <row r="69" spans="1:1622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</row>
    <row r="70" spans="1:1622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</row>
    <row r="74" spans="1:1622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1622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16221" x14ac:dyDescent="0.25"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162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242" spans="7:16" ht="409.6" x14ac:dyDescent="0.25">
      <c r="G242" s="1" t="s">
        <v>46</v>
      </c>
      <c r="N242" s="18" t="s">
        <v>47</v>
      </c>
      <c r="P242" s="1" t="s">
        <v>48</v>
      </c>
    </row>
  </sheetData>
  <dataConsolidate/>
  <mergeCells count="87">
    <mergeCell ref="D23:BT23"/>
    <mergeCell ref="AH32:BT32"/>
    <mergeCell ref="X45:BT45"/>
    <mergeCell ref="AV43:CE43"/>
    <mergeCell ref="M44:BT44"/>
    <mergeCell ref="D36:BT36"/>
    <mergeCell ref="AF43:AO43"/>
    <mergeCell ref="Y42:BT42"/>
    <mergeCell ref="A35:BT35"/>
    <mergeCell ref="A24:BT24"/>
    <mergeCell ref="S25:BT25"/>
    <mergeCell ref="R27:BT27"/>
    <mergeCell ref="A33:BT33"/>
    <mergeCell ref="A28:BT28"/>
    <mergeCell ref="A34:BT34"/>
    <mergeCell ref="P26:BT26"/>
    <mergeCell ref="A30:BT30"/>
    <mergeCell ref="A31:BT31"/>
    <mergeCell ref="CI21:CW24"/>
    <mergeCell ref="CI55:CW60"/>
    <mergeCell ref="CI41:CW44"/>
    <mergeCell ref="CI25:CX26"/>
    <mergeCell ref="CI45:CY52"/>
    <mergeCell ref="CI32:CY39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I37:BT37"/>
    <mergeCell ref="A38:BT38"/>
    <mergeCell ref="A39:BT39"/>
    <mergeCell ref="A40:BT40"/>
    <mergeCell ref="Y41:BT41"/>
    <mergeCell ref="X63:AN63"/>
    <mergeCell ref="AQ63:BE63"/>
    <mergeCell ref="BH63:BS63"/>
    <mergeCell ref="A46:BT46"/>
    <mergeCell ref="AA52:BT52"/>
    <mergeCell ref="V47:BT47"/>
    <mergeCell ref="W54:BT54"/>
    <mergeCell ref="A48:BT48"/>
    <mergeCell ref="A49:BT49"/>
    <mergeCell ref="A50:BT50"/>
    <mergeCell ref="J53:BT53"/>
    <mergeCell ref="X60:AN60"/>
    <mergeCell ref="AQ60:BE60"/>
    <mergeCell ref="BH60:BS60"/>
    <mergeCell ref="X62:AN62"/>
    <mergeCell ref="AQ62:BE62"/>
    <mergeCell ref="BH62:BS62"/>
    <mergeCell ref="N55:BT55"/>
    <mergeCell ref="AQ68:BE68"/>
    <mergeCell ref="BH68:BS68"/>
    <mergeCell ref="AQ69:BE69"/>
    <mergeCell ref="BH69:BS69"/>
    <mergeCell ref="X65:AN65"/>
    <mergeCell ref="AQ65:BE65"/>
    <mergeCell ref="BH65:BS65"/>
    <mergeCell ref="A67:AK67"/>
    <mergeCell ref="A56:BT56"/>
    <mergeCell ref="X66:AN66"/>
    <mergeCell ref="AQ66:BE66"/>
    <mergeCell ref="BH66:BS66"/>
    <mergeCell ref="X59:AN59"/>
    <mergeCell ref="AQ59:BE59"/>
    <mergeCell ref="BH59:BS59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2024-11-15T14:47:23Z</cp:lastPrinted>
  <dcterms:created xsi:type="dcterms:W3CDTF">2023-09-19T09:44:50Z</dcterms:created>
  <dcterms:modified xsi:type="dcterms:W3CDTF">2025-07-08T14:32:42Z</dcterms:modified>
</cp:coreProperties>
</file>