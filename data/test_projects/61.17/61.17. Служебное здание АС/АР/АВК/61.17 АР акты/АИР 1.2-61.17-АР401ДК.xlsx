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нна\61.17\"/>
    </mc:Choice>
  </mc:AlternateContent>
  <xr:revisionPtr revIDLastSave="0" documentId="13_ncr:1_{77671850-A111-4F37-8098-CA0C9E42A9A4}" xr6:coauthVersionLast="47" xr6:coauthVersionMax="47" xr10:uidLastSave="{00000000-0000-0000-0000-000000000000}"/>
  <bookViews>
    <workbookView xWindow="20430" yWindow="1785" windowWidth="20130" windowHeight="21000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перекрытие'!$A$1:$BY$75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30" i="1" l="1"/>
  <c r="BU31" i="1"/>
  <c r="D40" i="1" l="1"/>
  <c r="A50" i="1" l="1"/>
  <c r="M48" i="1" l="1"/>
  <c r="CC48" i="1" s="1"/>
  <c r="X72" i="1"/>
  <c r="X66" i="1"/>
  <c r="A52" i="1"/>
  <c r="A53" i="1"/>
  <c r="A54" i="1"/>
  <c r="A51" i="1"/>
  <c r="X49" i="1"/>
  <c r="W62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X27" i="1"/>
  <c r="BW25" i="1"/>
  <c r="BV21" i="1"/>
  <c r="BU12" i="1"/>
  <c r="BU11" i="1"/>
  <c r="BH69" i="1" l="1"/>
</calcChain>
</file>

<file path=xl/sharedStrings.xml><?xml version="1.0" encoding="utf-8"?>
<sst xmlns="http://schemas.openxmlformats.org/spreadsheetml/2006/main" count="126" uniqueCount="114">
  <si>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</si>
  <si>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</si>
  <si>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</si>
  <si>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</si>
  <si>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</si>
  <si>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</si>
  <si>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</si>
  <si>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</si>
  <si>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</si>
  <si>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</si>
  <si>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</si>
  <si>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</si>
  <si>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</si>
  <si>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</si>
  <si>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</si>
  <si>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</si>
  <si>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</si>
  <si>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</si>
  <si>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</si>
  <si>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</si>
  <si>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</si>
  <si>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</si>
  <si>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</si>
  <si>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</si>
  <si>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</si>
  <si>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</si>
  <si>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</si>
  <si>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</si>
  <si>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</si>
  <si>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</si>
  <si>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</si>
  <si>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</si>
  <si>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</si>
  <si>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</si>
  <si>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</si>
  <si>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</si>
  <si>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</si>
  <si>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</si>
  <si>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</si>
  <si>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</si>
  <si>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</si>
  <si>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</si>
  <si>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</si>
  <si>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</si>
  <si>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</si>
  <si>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</si>
  <si>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</si>
  <si>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</si>
  <si>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</si>
  <si>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</si>
  <si>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</si>
  <si>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</si>
  <si>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</si>
  <si>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</si>
  <si>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</si>
  <si>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</si>
  <si>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</si>
  <si>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</si>
  <si>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</si>
  <si>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</si>
  <si>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</si>
  <si>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</si>
  <si>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</si>
  <si>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</si>
  <si>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</si>
  <si>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</si>
  <si>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</si>
  <si>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</si>
  <si>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</si>
  <si>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</si>
  <si>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</si>
  <si>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</si>
  <si>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</si>
  <si>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</si>
  <si>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</si>
  <si>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</si>
  <si>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</si>
  <si>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</si>
  <si>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</si>
  <si>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</si>
  <si>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</si>
  <si>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</si>
  <si>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</si>
  <si>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</si>
  <si>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</si>
  <si>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</si>
  <si>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</si>
  <si>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</si>
  <si>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</si>
  <si>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</si>
  <si>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</si>
  <si>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</si>
  <si>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</si>
  <si>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</si>
  <si>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</si>
  <si>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</si>
  <si>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</si>
  <si>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</si>
  <si>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</si>
  <si>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</si>
  <si>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сплошной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</si>
  <si>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</si>
  <si>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</si>
  <si>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</si>
  <si>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</si>
  <si>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</si>
  <si>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</si>
  <si>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</si>
  <si>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ГОСТ 475-2016.</t>
  </si>
  <si>
    <t>АИР 1.2-61.17-АР/401ДК</t>
  </si>
  <si>
    <t>Кострова Н.Л.</t>
  </si>
  <si>
    <t>Паспорт №223 на партию 223 от 13.12.2023г.</t>
  </si>
  <si>
    <t>Полотно дверное глухое "Гефест", экошпон NOCE ORO, кромка ABS (замок 1885Р, отверстие под ручку и цилиндр) 800 x 2000 правая; 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800 x 2000 левая;      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700 x 2000 левая;     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900 x 2000 правая;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900 x 2000 левая;</t>
  </si>
  <si>
    <t xml:space="preserve"> Полотно дверное глухое «Гефест» 800х2000, экошпон NOCE, Кромка ABS (замок 1885Р, отверстие под ручку и цилиндр) ПРАВАЯ - 5 шт;                                                                                                                                                                                                Полотно дверное глухое «Гефест» 800х2000, экошпон NOCE, Кромка ABS (замок 1885Р, отверстие под ручку и цилиндр) ЛЕВАЯ - 2 шт;                                                                                                                                                                                                   Полотно дверное глухое «Гефест» 700х2000, экошпон NOCE, Кромка ABS (замок 1885Р, отверстие под ручку и цилиндр) ЛЕВАЯ - 1 шт;                                                                                                                                                                                                            Полотно дверное глухое «Гефест» 900х2000, экошпон NOCE, Кромка ABS (замок 1885Р, отверстие под ручку и цилиндр) ПРАВАЯ- 2 шт;                                                                                                                                                                                                       Полотно дверное глухое «Гефест» 900х2000, экошпон NOCE, Кромка ABS (замок 1885Р, отверстие под ручку и цилиндр) ЛЕВАЯ - 10 шт.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</si>
</sst>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4" fontId="4" fillId="2" borderId="0" xfId="1" applyNumberFormat="1" applyFont="1" applyFill="1" applyAlignment="1">
      <alignment horizontal="left" wrapText="1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 wrapText="1"/>
    </xf>
    <xf numFmtId="0" fontId="13" fillId="2" borderId="0" xfId="1" applyFont="1" applyFill="1" applyAlignment="1">
      <alignment horizontal="center" vertical="top"/>
    </xf>
    <xf numFmtId="0" fontId="13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top"/>
    </xf>
    <xf numFmtId="0" fontId="11" fillId="4" borderId="1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5" x14ac:dyDescent="0.25"/>
  <cols>
    <col min="1" max="1" width="63.5703125" customWidth="1"/>
    <col min="2" max="2" width="22.5703125" customWidth="1"/>
  </cols>
  <sheetData>
    <row r="2" spans="1:1" x14ac:dyDescent="0.25">
      <c r="A2" t="s">
        <v>88</v>
      </c>
    </row>
    <row r="3" spans="1:1" x14ac:dyDescent="0.25">
      <c r="A3" t="s">
        <v>89</v>
      </c>
    </row>
    <row r="4" spans="1:1" x14ac:dyDescent="0.25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9"/>
  <sheetViews>
    <sheetView tabSelected="1" view="pageBreakPreview" topLeftCell="A4" zoomScaleNormal="100" zoomScaleSheetLayoutView="100" workbookViewId="0">
      <selection activeCell="D23" sqref="D23:BT23"/>
    </sheetView>
  </sheetViews>
  <sheetFormatPr defaultRowHeight="12.75" x14ac:dyDescent="0.2"/>
  <cols>
    <col min="1" max="7" width="1.42578125" style="1" customWidth="1"/>
    <col min="8" max="8" width="1.85546875" style="1" customWidth="1"/>
    <col min="9" max="19" width="1.42578125" style="1" customWidth="1"/>
    <col min="20" max="20" width="2.140625" style="1" customWidth="1"/>
    <col min="21" max="30" width="1.42578125" style="1" customWidth="1"/>
    <col min="31" max="31" width="1.85546875" style="1" customWidth="1"/>
    <col min="32" max="35" width="1.42578125" style="1" customWidth="1"/>
    <col min="36" max="36" width="2" style="1" customWidth="1"/>
    <col min="37" max="37" width="1.85546875" style="1" customWidth="1"/>
    <col min="38" max="68" width="1.42578125" style="1" customWidth="1"/>
    <col min="69" max="69" width="1.28515625" style="1" customWidth="1"/>
    <col min="70" max="71" width="1.42578125" style="1" customWidth="1"/>
    <col min="72" max="72" width="2.85546875" style="3" customWidth="1"/>
    <col min="73" max="73" width="88.5703125" style="3" hidden="1" customWidth="1"/>
    <col min="74" max="74" width="64.85546875" style="3" hidden="1" customWidth="1"/>
    <col min="75" max="75" width="75.85546875" style="3" hidden="1" customWidth="1"/>
    <col min="76" max="76" width="63.140625" style="3" hidden="1" customWidth="1"/>
    <col min="77" max="77" width="110.42578125" style="3" hidden="1" customWidth="1"/>
    <col min="78" max="78" width="50.140625" style="3" hidden="1" customWidth="1"/>
    <col min="79" max="79" width="74.7109375" style="3" hidden="1" customWidth="1"/>
    <col min="80" max="80" width="71.28515625" style="3" hidden="1" customWidth="1"/>
    <col min="81" max="81" width="84.7109375" style="3" hidden="1" customWidth="1"/>
    <col min="82" max="82" width="67.7109375" style="3" hidden="1" customWidth="1"/>
    <col min="83" max="83" width="65.28515625" style="3" hidden="1" customWidth="1"/>
    <col min="84" max="84" width="16.140625" style="3" hidden="1" customWidth="1"/>
    <col min="85" max="85" width="15.7109375" style="4" customWidth="1"/>
    <col min="86" max="93" width="2.7109375" style="1" customWidth="1"/>
    <col min="94" max="256" width="9.140625" style="1"/>
    <col min="257" max="332" width="1.28515625" style="1" customWidth="1"/>
    <col min="333" max="349" width="2.7109375" style="1" customWidth="1"/>
    <col min="350" max="512" width="9.140625" style="1"/>
    <col min="513" max="588" width="1.28515625" style="1" customWidth="1"/>
    <col min="589" max="605" width="2.7109375" style="1" customWidth="1"/>
    <col min="606" max="768" width="9.140625" style="1"/>
    <col min="769" max="844" width="1.28515625" style="1" customWidth="1"/>
    <col min="845" max="861" width="2.7109375" style="1" customWidth="1"/>
    <col min="862" max="1024" width="9.140625" style="1"/>
    <col min="1025" max="1100" width="1.28515625" style="1" customWidth="1"/>
    <col min="1101" max="1117" width="2.7109375" style="1" customWidth="1"/>
    <col min="1118" max="1280" width="9.140625" style="1"/>
    <col min="1281" max="1356" width="1.28515625" style="1" customWidth="1"/>
    <col min="1357" max="1373" width="2.7109375" style="1" customWidth="1"/>
    <col min="1374" max="1536" width="9.140625" style="1"/>
    <col min="1537" max="1612" width="1.28515625" style="1" customWidth="1"/>
    <col min="1613" max="1629" width="2.7109375" style="1" customWidth="1"/>
    <col min="1630" max="1792" width="9.140625" style="1"/>
    <col min="1793" max="1868" width="1.28515625" style="1" customWidth="1"/>
    <col min="1869" max="1885" width="2.7109375" style="1" customWidth="1"/>
    <col min="1886" max="2048" width="9.140625" style="1"/>
    <col min="2049" max="2124" width="1.28515625" style="1" customWidth="1"/>
    <col min="2125" max="2141" width="2.7109375" style="1" customWidth="1"/>
    <col min="2142" max="2304" width="9.140625" style="1"/>
    <col min="2305" max="2380" width="1.28515625" style="1" customWidth="1"/>
    <col min="2381" max="2397" width="2.7109375" style="1" customWidth="1"/>
    <col min="2398" max="2560" width="9.140625" style="1"/>
    <col min="2561" max="2636" width="1.28515625" style="1" customWidth="1"/>
    <col min="2637" max="2653" width="2.7109375" style="1" customWidth="1"/>
    <col min="2654" max="2816" width="9.140625" style="1"/>
    <col min="2817" max="2892" width="1.28515625" style="1" customWidth="1"/>
    <col min="2893" max="2909" width="2.7109375" style="1" customWidth="1"/>
    <col min="2910" max="3072" width="9.140625" style="1"/>
    <col min="3073" max="3148" width="1.28515625" style="1" customWidth="1"/>
    <col min="3149" max="3165" width="2.7109375" style="1" customWidth="1"/>
    <col min="3166" max="3328" width="9.140625" style="1"/>
    <col min="3329" max="3404" width="1.28515625" style="1" customWidth="1"/>
    <col min="3405" max="3421" width="2.7109375" style="1" customWidth="1"/>
    <col min="3422" max="3584" width="9.140625" style="1"/>
    <col min="3585" max="3660" width="1.28515625" style="1" customWidth="1"/>
    <col min="3661" max="3677" width="2.7109375" style="1" customWidth="1"/>
    <col min="3678" max="3840" width="9.140625" style="1"/>
    <col min="3841" max="3916" width="1.28515625" style="1" customWidth="1"/>
    <col min="3917" max="3933" width="2.7109375" style="1" customWidth="1"/>
    <col min="3934" max="4096" width="9.140625" style="1"/>
    <col min="4097" max="4172" width="1.28515625" style="1" customWidth="1"/>
    <col min="4173" max="4189" width="2.7109375" style="1" customWidth="1"/>
    <col min="4190" max="4352" width="9.140625" style="1"/>
    <col min="4353" max="4428" width="1.28515625" style="1" customWidth="1"/>
    <col min="4429" max="4445" width="2.7109375" style="1" customWidth="1"/>
    <col min="4446" max="4608" width="9.140625" style="1"/>
    <col min="4609" max="4684" width="1.28515625" style="1" customWidth="1"/>
    <col min="4685" max="4701" width="2.7109375" style="1" customWidth="1"/>
    <col min="4702" max="4864" width="9.140625" style="1"/>
    <col min="4865" max="4940" width="1.28515625" style="1" customWidth="1"/>
    <col min="4941" max="4957" width="2.7109375" style="1" customWidth="1"/>
    <col min="4958" max="5120" width="9.140625" style="1"/>
    <col min="5121" max="5196" width="1.28515625" style="1" customWidth="1"/>
    <col min="5197" max="5213" width="2.7109375" style="1" customWidth="1"/>
    <col min="5214" max="5376" width="9.140625" style="1"/>
    <col min="5377" max="5452" width="1.28515625" style="1" customWidth="1"/>
    <col min="5453" max="5469" width="2.7109375" style="1" customWidth="1"/>
    <col min="5470" max="5632" width="9.140625" style="1"/>
    <col min="5633" max="5708" width="1.28515625" style="1" customWidth="1"/>
    <col min="5709" max="5725" width="2.7109375" style="1" customWidth="1"/>
    <col min="5726" max="5888" width="9.140625" style="1"/>
    <col min="5889" max="5964" width="1.28515625" style="1" customWidth="1"/>
    <col min="5965" max="5981" width="2.7109375" style="1" customWidth="1"/>
    <col min="5982" max="6144" width="9.140625" style="1"/>
    <col min="6145" max="6220" width="1.28515625" style="1" customWidth="1"/>
    <col min="6221" max="6237" width="2.7109375" style="1" customWidth="1"/>
    <col min="6238" max="6400" width="9.140625" style="1"/>
    <col min="6401" max="6476" width="1.28515625" style="1" customWidth="1"/>
    <col min="6477" max="6493" width="2.7109375" style="1" customWidth="1"/>
    <col min="6494" max="6656" width="9.140625" style="1"/>
    <col min="6657" max="6732" width="1.28515625" style="1" customWidth="1"/>
    <col min="6733" max="6749" width="2.7109375" style="1" customWidth="1"/>
    <col min="6750" max="6912" width="9.140625" style="1"/>
    <col min="6913" max="6988" width="1.28515625" style="1" customWidth="1"/>
    <col min="6989" max="7005" width="2.7109375" style="1" customWidth="1"/>
    <col min="7006" max="7168" width="9.140625" style="1"/>
    <col min="7169" max="7244" width="1.28515625" style="1" customWidth="1"/>
    <col min="7245" max="7261" width="2.7109375" style="1" customWidth="1"/>
    <col min="7262" max="7424" width="9.140625" style="1"/>
    <col min="7425" max="7500" width="1.28515625" style="1" customWidth="1"/>
    <col min="7501" max="7517" width="2.7109375" style="1" customWidth="1"/>
    <col min="7518" max="7680" width="9.140625" style="1"/>
    <col min="7681" max="7756" width="1.28515625" style="1" customWidth="1"/>
    <col min="7757" max="7773" width="2.7109375" style="1" customWidth="1"/>
    <col min="7774" max="7936" width="9.140625" style="1"/>
    <col min="7937" max="8012" width="1.28515625" style="1" customWidth="1"/>
    <col min="8013" max="8029" width="2.7109375" style="1" customWidth="1"/>
    <col min="8030" max="8192" width="9.140625" style="1"/>
    <col min="8193" max="8268" width="1.28515625" style="1" customWidth="1"/>
    <col min="8269" max="8285" width="2.7109375" style="1" customWidth="1"/>
    <col min="8286" max="8448" width="9.140625" style="1"/>
    <col min="8449" max="8524" width="1.28515625" style="1" customWidth="1"/>
    <col min="8525" max="8541" width="2.7109375" style="1" customWidth="1"/>
    <col min="8542" max="8704" width="9.140625" style="1"/>
    <col min="8705" max="8780" width="1.28515625" style="1" customWidth="1"/>
    <col min="8781" max="8797" width="2.7109375" style="1" customWidth="1"/>
    <col min="8798" max="8960" width="9.140625" style="1"/>
    <col min="8961" max="9036" width="1.28515625" style="1" customWidth="1"/>
    <col min="9037" max="9053" width="2.7109375" style="1" customWidth="1"/>
    <col min="9054" max="9216" width="9.140625" style="1"/>
    <col min="9217" max="9292" width="1.28515625" style="1" customWidth="1"/>
    <col min="9293" max="9309" width="2.7109375" style="1" customWidth="1"/>
    <col min="9310" max="9472" width="9.140625" style="1"/>
    <col min="9473" max="9548" width="1.28515625" style="1" customWidth="1"/>
    <col min="9549" max="9565" width="2.7109375" style="1" customWidth="1"/>
    <col min="9566" max="9728" width="9.140625" style="1"/>
    <col min="9729" max="9804" width="1.28515625" style="1" customWidth="1"/>
    <col min="9805" max="9821" width="2.7109375" style="1" customWidth="1"/>
    <col min="9822" max="9984" width="9.140625" style="1"/>
    <col min="9985" max="10060" width="1.28515625" style="1" customWidth="1"/>
    <col min="10061" max="10077" width="2.7109375" style="1" customWidth="1"/>
    <col min="10078" max="10240" width="9.140625" style="1"/>
    <col min="10241" max="10316" width="1.28515625" style="1" customWidth="1"/>
    <col min="10317" max="10333" width="2.7109375" style="1" customWidth="1"/>
    <col min="10334" max="10496" width="9.140625" style="1"/>
    <col min="10497" max="10572" width="1.28515625" style="1" customWidth="1"/>
    <col min="10573" max="10589" width="2.7109375" style="1" customWidth="1"/>
    <col min="10590" max="10752" width="9.140625" style="1"/>
    <col min="10753" max="10828" width="1.28515625" style="1" customWidth="1"/>
    <col min="10829" max="10845" width="2.7109375" style="1" customWidth="1"/>
    <col min="10846" max="11008" width="9.140625" style="1"/>
    <col min="11009" max="11084" width="1.28515625" style="1" customWidth="1"/>
    <col min="11085" max="11101" width="2.7109375" style="1" customWidth="1"/>
    <col min="11102" max="11264" width="9.140625" style="1"/>
    <col min="11265" max="11340" width="1.28515625" style="1" customWidth="1"/>
    <col min="11341" max="11357" width="2.7109375" style="1" customWidth="1"/>
    <col min="11358" max="11520" width="9.140625" style="1"/>
    <col min="11521" max="11596" width="1.28515625" style="1" customWidth="1"/>
    <col min="11597" max="11613" width="2.7109375" style="1" customWidth="1"/>
    <col min="11614" max="11776" width="9.140625" style="1"/>
    <col min="11777" max="11852" width="1.28515625" style="1" customWidth="1"/>
    <col min="11853" max="11869" width="2.7109375" style="1" customWidth="1"/>
    <col min="11870" max="12032" width="9.140625" style="1"/>
    <col min="12033" max="12108" width="1.28515625" style="1" customWidth="1"/>
    <col min="12109" max="12125" width="2.7109375" style="1" customWidth="1"/>
    <col min="12126" max="12288" width="9.140625" style="1"/>
    <col min="12289" max="12364" width="1.28515625" style="1" customWidth="1"/>
    <col min="12365" max="12381" width="2.7109375" style="1" customWidth="1"/>
    <col min="12382" max="12544" width="9.140625" style="1"/>
    <col min="12545" max="12620" width="1.28515625" style="1" customWidth="1"/>
    <col min="12621" max="12637" width="2.7109375" style="1" customWidth="1"/>
    <col min="12638" max="12800" width="9.140625" style="1"/>
    <col min="12801" max="12876" width="1.28515625" style="1" customWidth="1"/>
    <col min="12877" max="12893" width="2.7109375" style="1" customWidth="1"/>
    <col min="12894" max="13056" width="9.140625" style="1"/>
    <col min="13057" max="13132" width="1.28515625" style="1" customWidth="1"/>
    <col min="13133" max="13149" width="2.7109375" style="1" customWidth="1"/>
    <col min="13150" max="13312" width="9.140625" style="1"/>
    <col min="13313" max="13388" width="1.28515625" style="1" customWidth="1"/>
    <col min="13389" max="13405" width="2.7109375" style="1" customWidth="1"/>
    <col min="13406" max="13568" width="9.140625" style="1"/>
    <col min="13569" max="13644" width="1.28515625" style="1" customWidth="1"/>
    <col min="13645" max="13661" width="2.7109375" style="1" customWidth="1"/>
    <col min="13662" max="13824" width="9.140625" style="1"/>
    <col min="13825" max="13900" width="1.28515625" style="1" customWidth="1"/>
    <col min="13901" max="13917" width="2.7109375" style="1" customWidth="1"/>
    <col min="13918" max="14080" width="9.140625" style="1"/>
    <col min="14081" max="14156" width="1.28515625" style="1" customWidth="1"/>
    <col min="14157" max="14173" width="2.7109375" style="1" customWidth="1"/>
    <col min="14174" max="14336" width="9.140625" style="1"/>
    <col min="14337" max="14412" width="1.28515625" style="1" customWidth="1"/>
    <col min="14413" max="14429" width="2.7109375" style="1" customWidth="1"/>
    <col min="14430" max="14592" width="9.140625" style="1"/>
    <col min="14593" max="14668" width="1.28515625" style="1" customWidth="1"/>
    <col min="14669" max="14685" width="2.7109375" style="1" customWidth="1"/>
    <col min="14686" max="14848" width="9.140625" style="1"/>
    <col min="14849" max="14924" width="1.28515625" style="1" customWidth="1"/>
    <col min="14925" max="14941" width="2.7109375" style="1" customWidth="1"/>
    <col min="14942" max="15104" width="9.140625" style="1"/>
    <col min="15105" max="15180" width="1.28515625" style="1" customWidth="1"/>
    <col min="15181" max="15197" width="2.7109375" style="1" customWidth="1"/>
    <col min="15198" max="15360" width="9.140625" style="1"/>
    <col min="15361" max="15436" width="1.28515625" style="1" customWidth="1"/>
    <col min="15437" max="15453" width="2.7109375" style="1" customWidth="1"/>
    <col min="15454" max="15616" width="9.140625" style="1"/>
    <col min="15617" max="15692" width="1.28515625" style="1" customWidth="1"/>
    <col min="15693" max="15709" width="2.7109375" style="1" customWidth="1"/>
    <col min="15710" max="15872" width="9.140625" style="1"/>
    <col min="15873" max="15948" width="1.28515625" style="1" customWidth="1"/>
    <col min="15949" max="15965" width="2.7109375" style="1" customWidth="1"/>
    <col min="15966" max="16128" width="9.140625" style="1"/>
    <col min="16129" max="16204" width="1.28515625" style="1" customWidth="1"/>
    <col min="16205" max="16221" width="2.7109375" style="1" customWidth="1"/>
    <col min="16222" max="16384" width="9.140625" style="1"/>
  </cols>
  <sheetData>
    <row r="1" spans="1:96" ht="15" customHeight="1" x14ac:dyDescent="0.2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">
      <c r="A3" s="62" t="s">
        <v>4</v>
      </c>
      <c r="B3" s="62"/>
      <c r="C3" s="62"/>
      <c r="D3" s="62"/>
      <c r="E3" s="62"/>
      <c r="F3" s="63" t="s">
        <v>5</v>
      </c>
      <c r="G3" s="63"/>
      <c r="H3" s="63"/>
      <c r="I3" s="64" t="s">
        <v>6</v>
      </c>
      <c r="J3" s="64"/>
      <c r="K3" s="64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">
      <c r="A6" s="62"/>
      <c r="B6" s="62"/>
      <c r="C6" s="62"/>
      <c r="D6" s="62"/>
      <c r="E6" s="62"/>
      <c r="F6" s="63"/>
      <c r="G6" s="63"/>
      <c r="H6" s="63"/>
      <c r="I6" s="64"/>
      <c r="J6" s="64"/>
      <c r="K6" s="64"/>
      <c r="AE6" s="3"/>
      <c r="AF6" s="3"/>
      <c r="AG6" s="3"/>
      <c r="AH6" s="3"/>
      <c r="AI6" s="3"/>
      <c r="AJ6" s="66" t="s">
        <v>85</v>
      </c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CM6" s="6"/>
      <c r="CN6" s="6"/>
      <c r="CO6" s="6"/>
      <c r="CP6" s="6"/>
      <c r="CQ6" s="6"/>
      <c r="CR6" s="6"/>
    </row>
    <row r="7" spans="1:96" x14ac:dyDescent="0.2">
      <c r="G7" s="67"/>
      <c r="H7" s="67"/>
      <c r="I7" s="64"/>
      <c r="J7" s="64"/>
      <c r="K7" s="64"/>
      <c r="L7" s="64"/>
      <c r="M7" s="64"/>
      <c r="N7" s="64"/>
      <c r="O7" s="64"/>
      <c r="AD7" s="3"/>
      <c r="AE7" s="3"/>
      <c r="AF7" s="3"/>
      <c r="AG7" s="3"/>
      <c r="AH7" s="3"/>
      <c r="AI7" s="3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CM7" s="6"/>
      <c r="CN7" s="6"/>
      <c r="CO7" s="6"/>
      <c r="CP7" s="6"/>
      <c r="CQ7" s="6"/>
      <c r="CR7" s="6"/>
    </row>
    <row r="8" spans="1:96" x14ac:dyDescent="0.2">
      <c r="AJ8" s="7" t="s">
        <v>7</v>
      </c>
    </row>
    <row r="9" spans="1:96" ht="15" customHeight="1" x14ac:dyDescent="0.2">
      <c r="Z9" s="8" t="s">
        <v>8</v>
      </c>
      <c r="AE9" s="68" t="s">
        <v>109</v>
      </c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BT9" s="1"/>
    </row>
    <row r="10" spans="1:96" ht="15" customHeight="1" x14ac:dyDescent="0.2">
      <c r="A10" s="65" t="s">
        <v>51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</row>
    <row r="11" spans="1:96" ht="136.5" customHeight="1" x14ac:dyDescent="0.2">
      <c r="A11" s="41" t="s">
        <v>112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3" t="str">
        <f>A11</f>
        <v>Полотно дверное глухое "Гефест", экошпон NOCE ORO, кромка ABS (замок 1885Р, отверстие под ручку и цилиндр) 800 x 2000 правая; 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800 x 2000 левая;      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700 x 2000 левая;     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900 x 2000 правая;                                                                                                                                                                                                                            Полотно дверное глухое "Гефест", экошпон NOCE ORO, кромка ABS (замок 1885Р, отверстие под ручку и цилиндр) 900 x 2000 левая;</v>
      </c>
      <c r="CI11" s="1" t="s">
        <v>98</v>
      </c>
    </row>
    <row r="12" spans="1:96" x14ac:dyDescent="0.2">
      <c r="A12" s="69" t="s">
        <v>52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3" t="str">
        <f>A12</f>
        <v>на соответствие техдокументации</v>
      </c>
    </row>
    <row r="13" spans="1:96" x14ac:dyDescent="0.2">
      <c r="AA13" s="8" t="s">
        <v>9</v>
      </c>
      <c r="AE13" s="72">
        <v>45275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9"/>
      <c r="AV13" s="9"/>
      <c r="AW13" s="9"/>
      <c r="AX13" s="9"/>
      <c r="AY13" s="9"/>
    </row>
    <row r="14" spans="1:96" x14ac:dyDescent="0.2">
      <c r="A14" s="1" t="s">
        <v>10</v>
      </c>
      <c r="AE14" s="1" t="s">
        <v>11</v>
      </c>
    </row>
    <row r="15" spans="1:96" x14ac:dyDescent="0.2">
      <c r="A15" s="1" t="s">
        <v>12</v>
      </c>
      <c r="T15" s="73" t="s">
        <v>91</v>
      </c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10"/>
      <c r="BH15" s="10"/>
      <c r="BI15" s="10"/>
      <c r="BJ15" s="70" t="s">
        <v>110</v>
      </c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CJ15" s="1" t="s">
        <v>101</v>
      </c>
    </row>
    <row r="16" spans="1:96" ht="15" customHeight="1" x14ac:dyDescent="0.2">
      <c r="T16" s="49" t="s">
        <v>13</v>
      </c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">
      <c r="A17" s="1" t="s">
        <v>14</v>
      </c>
      <c r="T17" s="73" t="s">
        <v>106</v>
      </c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0" t="s">
        <v>107</v>
      </c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CG17" s="13"/>
      <c r="CJ17" s="1" t="s">
        <v>99</v>
      </c>
    </row>
    <row r="18" spans="1:103" x14ac:dyDescent="0.2">
      <c r="T18" s="49" t="s">
        <v>13</v>
      </c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1" t="s">
        <v>102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0" t="s">
        <v>103</v>
      </c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CI19" s="1" t="s">
        <v>104</v>
      </c>
    </row>
    <row r="20" spans="1:103" x14ac:dyDescent="0.2">
      <c r="J20" s="7"/>
      <c r="K20" s="7"/>
      <c r="L20" s="7"/>
      <c r="M20" s="7"/>
      <c r="N20" s="7"/>
      <c r="O20" s="7"/>
      <c r="P20" s="7"/>
      <c r="Q20" s="7"/>
      <c r="R20" s="7"/>
      <c r="S20" s="7"/>
      <c r="T20" s="49" t="s">
        <v>13</v>
      </c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">
      <c r="A21" s="1" t="s">
        <v>16</v>
      </c>
      <c r="N21" s="25"/>
      <c r="O21" s="75" t="s">
        <v>100</v>
      </c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" t="s">
        <v>17</v>
      </c>
      <c r="BR21" s="8"/>
      <c r="BS21" s="8"/>
      <c r="BT21" s="8"/>
      <c r="BV21" s="3">
        <f>AD21</f>
        <v>0</v>
      </c>
      <c r="CI21" s="60" t="s">
        <v>95</v>
      </c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</row>
    <row r="22" spans="1:103" x14ac:dyDescent="0.2">
      <c r="E22" s="74" t="s">
        <v>55</v>
      </c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</row>
    <row r="23" spans="1:103" s="2" customFormat="1" ht="128.25" customHeight="1" x14ac:dyDescent="0.2">
      <c r="B23" s="33"/>
      <c r="C23" s="33"/>
      <c r="D23" s="41" t="s">
        <v>113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</row>
    <row r="24" spans="1:103" s="2" customFormat="1" ht="12" customHeight="1" x14ac:dyDescent="0.2">
      <c r="A24" s="44" t="s">
        <v>56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</row>
    <row r="25" spans="1:103" ht="16.5" customHeight="1" x14ac:dyDescent="0.25">
      <c r="A25" s="7" t="s">
        <v>18</v>
      </c>
      <c r="R25" s="20"/>
      <c r="S25" s="45" t="s">
        <v>73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W25" s="3" t="str">
        <f>S25</f>
        <v>ПП2020РД-1.2-61.17-КМ1 изм. 1</v>
      </c>
      <c r="CI25" s="60" t="s">
        <v>92</v>
      </c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</row>
    <row r="26" spans="1:103" s="2" customFormat="1" ht="15" customHeight="1" x14ac:dyDescent="0.2">
      <c r="P26" s="52" t="s">
        <v>19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</row>
    <row r="27" spans="1:103" x14ac:dyDescent="0.2">
      <c r="A27" s="7" t="s">
        <v>20</v>
      </c>
      <c r="R27" s="46" t="s">
        <v>63</v>
      </c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X27" s="3" t="str">
        <f>R27</f>
        <v>Этап I.II. Служебное здание АС</v>
      </c>
    </row>
    <row r="28" spans="1:103" ht="12.75" customHeight="1" x14ac:dyDescent="0.2">
      <c r="A28" s="48" t="s">
        <v>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</row>
    <row r="29" spans="1:103" x14ac:dyDescent="0.2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">
      <c r="A32" s="1" t="s">
        <v>23</v>
      </c>
      <c r="AH32" s="42" t="s">
        <v>111</v>
      </c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34"/>
      <c r="BV32" s="34"/>
      <c r="BZ32" s="3" t="str">
        <f>AH32</f>
        <v>Паспорт №223 на партию 223 от 13.12.2023г.</v>
      </c>
      <c r="CI32" s="60" t="s">
        <v>93</v>
      </c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</row>
    <row r="33" spans="1:103" ht="13.5" hidden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</row>
    <row r="34" spans="1:103" ht="12.75" hidden="1" customHeigh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</row>
    <row r="35" spans="1:103" ht="12.75" hidden="1" customHeight="1" x14ac:dyDescent="0.2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</row>
    <row r="36" spans="1:103" ht="12.75" hidden="1" customHeight="1" x14ac:dyDescent="0.2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</row>
    <row r="37" spans="1:103" ht="13.5" hidden="1" x14ac:dyDescent="0.2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</row>
    <row r="38" spans="1:103" ht="15" customHeight="1" x14ac:dyDescent="0.2">
      <c r="A38" s="49" t="s">
        <v>24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</row>
    <row r="39" spans="1:103" ht="12.75" customHeight="1" x14ac:dyDescent="0.2">
      <c r="A39" s="55" t="s">
        <v>79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</row>
    <row r="40" spans="1:103" s="2" customFormat="1" ht="135" customHeight="1" x14ac:dyDescent="0.2">
      <c r="A40" s="25" t="s">
        <v>80</v>
      </c>
      <c r="B40" s="32"/>
      <c r="C40" s="32"/>
      <c r="D40" s="59" t="str">
        <f>D23</f>
        <v xml:space="preserve"> Полотно дверное глухое «Гефест» 800х2000, экошпон NOCE, Кромка ABS (замок 1885Р, отверстие под ручку и цилиндр) ПРАВАЯ - 5 шт;                                                                                                                                                                                                Полотно дверное глухое «Гефест» 800х2000, экошпон NOCE, Кромка ABS (замок 1885Р, отверстие под ручку и цилиндр) ЛЕВАЯ - 2 шт;                                                                                                                                                                                                   Полотно дверное глухое «Гефест» 700х2000, экошпон NOCE, Кромка ABS (замок 1885Р, отверстие под ручку и цилиндр) ЛЕВАЯ - 1 шт;                                                                                                                                                                                                            Полотно дверное глухое «Гефест» 900х2000, экошпон NOCE, Кромка ABS (замок 1885Р, отверстие под ручку и цилиндр) ПРАВАЯ- 2 шт;                                                                                                                                                                                                       Полотно дверное глухое «Гефест» 900х2000, экошпон NOCE, Кромка ABS (замок 1885Р, отверстие под ручку и цилиндр) ЛЕВАЯ - 10 шт.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</row>
    <row r="41" spans="1:103" ht="17.25" customHeight="1" x14ac:dyDescent="0.2">
      <c r="D41" s="13"/>
      <c r="E41" s="13"/>
      <c r="F41" s="13"/>
      <c r="G41" s="13"/>
      <c r="H41" s="13"/>
      <c r="I41" s="76" t="s">
        <v>25</v>
      </c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</row>
    <row r="42" spans="1:103" s="2" customFormat="1" hidden="1" x14ac:dyDescent="0.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</row>
    <row r="43" spans="1:103" s="2" customFormat="1" hidden="1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</row>
    <row r="44" spans="1:103" s="2" customFormat="1" hidden="1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">
      <c r="A45" s="1" t="s">
        <v>26</v>
      </c>
      <c r="X45" s="14"/>
      <c r="Y45" s="78" t="s">
        <v>50</v>
      </c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CB45" s="3" t="str">
        <f>Y45</f>
        <v>-</v>
      </c>
      <c r="CI45" s="60" t="s">
        <v>94</v>
      </c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</row>
    <row r="46" spans="1:103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48" t="s">
        <v>27</v>
      </c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</row>
    <row r="47" spans="1:103" ht="15" customHeight="1" x14ac:dyDescent="0.25">
      <c r="A47" s="1" t="s">
        <v>28</v>
      </c>
      <c r="AF47" s="54" t="s">
        <v>29</v>
      </c>
      <c r="AG47" s="54"/>
      <c r="AH47" s="54"/>
      <c r="AI47" s="54"/>
      <c r="AJ47" s="54"/>
      <c r="AK47" s="54"/>
      <c r="AL47" s="54"/>
      <c r="AM47" s="54"/>
      <c r="AN47" s="54"/>
      <c r="AO47" s="54"/>
      <c r="AQ47" s="1" t="s">
        <v>30</v>
      </c>
      <c r="AV47" s="57" t="s">
        <v>31</v>
      </c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</row>
    <row r="48" spans="1:103" ht="13.5" x14ac:dyDescent="0.2">
      <c r="A48" s="7" t="s">
        <v>32</v>
      </c>
      <c r="M48" s="58" t="str">
        <f>S25</f>
        <v>ПП2020РД-1.2-61.17-КМ1 изм. 1</v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CC48" s="3" t="str">
        <f>M48</f>
        <v>ПП2020РД-1.2-61.17-КМ1 изм. 1</v>
      </c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</row>
    <row r="49" spans="1:16221" ht="13.5" customHeight="1" x14ac:dyDescent="0.2">
      <c r="D49" s="7" t="s">
        <v>33</v>
      </c>
      <c r="W49" s="35"/>
      <c r="X49" s="43" t="str">
        <f>AH32</f>
        <v>Паспорт №223 на партию 223 от 13.12.2023г.</v>
      </c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CD49" s="3">
        <f>W49</f>
        <v>0</v>
      </c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</row>
    <row r="50" spans="1:16221" ht="13.5" hidden="1" x14ac:dyDescent="0.25">
      <c r="A50" s="83">
        <f>A33</f>
        <v>0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</row>
    <row r="51" spans="1:16221" ht="13.5" hidden="1" customHeight="1" x14ac:dyDescent="0.25">
      <c r="A51" s="82">
        <f>A34</f>
        <v>0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</row>
    <row r="52" spans="1:16221" ht="13.5" hidden="1" customHeight="1" x14ac:dyDescent="0.25">
      <c r="A52" s="82">
        <f t="shared" ref="A52:A54" si="0">A35</f>
        <v>0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</row>
    <row r="53" spans="1:16221" ht="13.5" hidden="1" customHeight="1" x14ac:dyDescent="0.25">
      <c r="A53" s="82">
        <f t="shared" si="0"/>
        <v>0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</row>
    <row r="54" spans="1:16221" ht="13.5" hidden="1" customHeight="1" x14ac:dyDescent="0.25">
      <c r="A54" s="82">
        <f t="shared" si="0"/>
        <v>0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</row>
    <row r="55" spans="1:16221" ht="13.5" customHeight="1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52" t="s">
        <v>34</v>
      </c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</row>
    <row r="56" spans="1:16221" s="2" customFormat="1" ht="12.75" hidden="1" customHeight="1" x14ac:dyDescent="0.2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</row>
    <row r="57" spans="1:16221" s="2" customFormat="1" ht="12.75" hidden="1" customHeight="1" x14ac:dyDescent="0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</row>
    <row r="58" spans="1:16221" s="2" customFormat="1" ht="12.75" hidden="1" customHeight="1" x14ac:dyDescent="0.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</row>
    <row r="59" spans="1:16221" s="4" customFormat="1" x14ac:dyDescent="0.2">
      <c r="A59" s="1" t="s">
        <v>35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25">
      <c r="B60" s="1"/>
      <c r="C60" s="1"/>
      <c r="D60" s="1" t="s">
        <v>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  <c r="X60" s="36"/>
      <c r="Y60" s="36"/>
      <c r="Z60" s="36"/>
      <c r="AA60" s="84" t="s">
        <v>37</v>
      </c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86" t="s">
        <v>38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3.5" x14ac:dyDescent="0.2">
      <c r="A62" s="7" t="s">
        <v>39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1"/>
      <c r="W62" s="85" t="str">
        <f>S25</f>
        <v>ПП2020РД-1.2-61.17-КМ1 изм. 1</v>
      </c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25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M63" s="37"/>
      <c r="N63" s="47" t="s">
        <v>108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 t="str">
        <f>N63</f>
        <v>ГОСТ 475-2016.</v>
      </c>
      <c r="CH63" s="1"/>
      <c r="CI63" s="60" t="s">
        <v>97</v>
      </c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">
      <c r="A66" s="1" t="s">
        <v>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87" t="str">
        <f>BJ15</f>
        <v>Кострова Н.Л.</v>
      </c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1"/>
      <c r="AP66" s="1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1"/>
      <c r="BG66" s="1"/>
      <c r="BH66" s="89">
        <f>AE13</f>
        <v>45275</v>
      </c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80" t="s">
        <v>81</v>
      </c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1"/>
      <c r="AP67" s="1"/>
      <c r="AQ67" s="80" t="s">
        <v>42</v>
      </c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1"/>
      <c r="BG67" s="1"/>
      <c r="BH67" s="81" t="s">
        <v>43</v>
      </c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18"/>
      <c r="BU67" s="18"/>
      <c r="BV67" s="18"/>
      <c r="BW67" s="18"/>
      <c r="BX67" s="18"/>
      <c r="BY67" s="3"/>
      <c r="BZ67" s="3"/>
      <c r="CA67" s="3"/>
      <c r="CB67" s="3"/>
      <c r="CC67" s="3"/>
      <c r="CD67" s="3"/>
      <c r="CE67" s="3"/>
      <c r="CF67" s="3"/>
      <c r="CH67" s="1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87" t="str">
        <f>BJ17</f>
        <v>Халыгов Э. А.</v>
      </c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1"/>
      <c r="AP69" s="1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1"/>
      <c r="BG69" s="1"/>
      <c r="BH69" s="89">
        <f>BH66</f>
        <v>45275</v>
      </c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80" t="s">
        <v>81</v>
      </c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1"/>
      <c r="AP70" s="1"/>
      <c r="AQ70" s="80" t="s">
        <v>42</v>
      </c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1"/>
      <c r="BG70" s="1"/>
      <c r="BH70" s="81" t="s">
        <v>43</v>
      </c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">
      <c r="A72" s="1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75" t="str">
        <f>BJ19</f>
        <v>Тюкин Е.В.</v>
      </c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1"/>
      <c r="AP72" s="1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1"/>
      <c r="BG72" s="1"/>
      <c r="BH72" s="89">
        <f>BH66</f>
        <v>45275</v>
      </c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80" t="s">
        <v>81</v>
      </c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1"/>
      <c r="AP73" s="1"/>
      <c r="AQ73" s="80" t="s">
        <v>42</v>
      </c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1"/>
      <c r="BG73" s="1"/>
      <c r="BH73" s="80" t="s">
        <v>43</v>
      </c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ht="19.5" customHeight="1" x14ac:dyDescent="0.2">
      <c r="A74" s="93" t="s">
        <v>105</v>
      </c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</row>
    <row r="75" spans="1:16221" ht="12.75" customHeight="1" x14ac:dyDescent="0.2">
      <c r="AL75" s="8"/>
      <c r="AM75" s="8"/>
      <c r="AN75" s="8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H75" s="91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</row>
    <row r="76" spans="1:1622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</row>
    <row r="77" spans="1:1622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81" spans="1:8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5" x14ac:dyDescent="0.2">
      <c r="G249" s="1" t="s">
        <v>47</v>
      </c>
      <c r="N249" s="19" t="s">
        <v>48</v>
      </c>
      <c r="P249" s="1" t="s">
        <v>49</v>
      </c>
    </row>
  </sheetData>
  <dataConsolidate/>
  <mergeCells count="94">
    <mergeCell ref="AQ75:BE75"/>
    <mergeCell ref="BH75:BS75"/>
    <mergeCell ref="AQ76:BE76"/>
    <mergeCell ref="BH76:BS76"/>
    <mergeCell ref="X72:AN72"/>
    <mergeCell ref="AQ72:BE72"/>
    <mergeCell ref="BH72:BS72"/>
    <mergeCell ref="A74:AK74"/>
    <mergeCell ref="X73:AN73"/>
    <mergeCell ref="AQ73:BE73"/>
    <mergeCell ref="BH73:BS73"/>
    <mergeCell ref="BH67:BS67"/>
    <mergeCell ref="X69:AN69"/>
    <mergeCell ref="AQ69:BE69"/>
    <mergeCell ref="BH69:BS69"/>
    <mergeCell ref="N63:BT63"/>
    <mergeCell ref="X66:AN66"/>
    <mergeCell ref="AQ66:BE66"/>
    <mergeCell ref="BH66:BS66"/>
    <mergeCell ref="X67:AN67"/>
    <mergeCell ref="X70:AN70"/>
    <mergeCell ref="AQ70:BE70"/>
    <mergeCell ref="BH70:BS70"/>
    <mergeCell ref="A54:BT54"/>
    <mergeCell ref="A50:BT50"/>
    <mergeCell ref="AA60:BT60"/>
    <mergeCell ref="A51:BT51"/>
    <mergeCell ref="V55:BT55"/>
    <mergeCell ref="W62:BT62"/>
    <mergeCell ref="A56:BT56"/>
    <mergeCell ref="A57:BT57"/>
    <mergeCell ref="A58:BT58"/>
    <mergeCell ref="J61:BT61"/>
    <mergeCell ref="A52:BT52"/>
    <mergeCell ref="A53:BT53"/>
    <mergeCell ref="AQ67:BE67"/>
    <mergeCell ref="E22:BT22"/>
    <mergeCell ref="T18:BJ18"/>
    <mergeCell ref="T20:BJ20"/>
    <mergeCell ref="T17:BI17"/>
    <mergeCell ref="O21:BP2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CI21:CW24"/>
    <mergeCell ref="CI63:CW67"/>
    <mergeCell ref="CI45:CW48"/>
    <mergeCell ref="CI25:CX26"/>
    <mergeCell ref="CI49:CY60"/>
    <mergeCell ref="CI32:CY43"/>
    <mergeCell ref="AF47:AO47"/>
    <mergeCell ref="Y46:BT46"/>
    <mergeCell ref="A39:BT39"/>
    <mergeCell ref="AV47:CE47"/>
    <mergeCell ref="M48:BT48"/>
    <mergeCell ref="D40:BT40"/>
    <mergeCell ref="I41:BT41"/>
    <mergeCell ref="A42:BT42"/>
    <mergeCell ref="A43:BT43"/>
    <mergeCell ref="A44:BT44"/>
    <mergeCell ref="Y45:BT45"/>
    <mergeCell ref="A31:BT31"/>
    <mergeCell ref="A30:BT30"/>
    <mergeCell ref="D23:BT23"/>
    <mergeCell ref="AH32:BT32"/>
    <mergeCell ref="X49:BT49"/>
    <mergeCell ref="A24:BT24"/>
    <mergeCell ref="S25:BT25"/>
    <mergeCell ref="R27:BT27"/>
    <mergeCell ref="A33:BT33"/>
    <mergeCell ref="A28:BT28"/>
    <mergeCell ref="A38:BT38"/>
    <mergeCell ref="A37:BT37"/>
    <mergeCell ref="P26:BT26"/>
    <mergeCell ref="A36:BT36"/>
    <mergeCell ref="A34:BT34"/>
    <mergeCell ref="A35:BT35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7" fitToHeight="0" orientation="portrait" blackAndWhite="1" r:id="rId1"/>
  <rowBreaks count="1" manualBreakCount="1">
    <brk id="48" max="76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40625" defaultRowHeight="15" x14ac:dyDescent="0.25"/>
  <cols>
    <col min="1" max="1" width="47" style="26" customWidth="1"/>
    <col min="2" max="2" width="48.140625" style="26" customWidth="1"/>
    <col min="3" max="16384" width="9.14062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30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30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30" x14ac:dyDescent="0.25">
      <c r="A13" s="28" t="s">
        <v>66</v>
      </c>
      <c r="B13" s="29" t="s">
        <v>76</v>
      </c>
    </row>
    <row r="14" spans="1:2" ht="45" x14ac:dyDescent="0.25">
      <c r="A14" s="28" t="s">
        <v>67</v>
      </c>
      <c r="B14" s="31" t="s">
        <v>77</v>
      </c>
    </row>
    <row r="15" spans="1:2" ht="30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2025-04-01T07:09:18Z</cp:lastPrinted>
  <dcterms:created xsi:type="dcterms:W3CDTF">2023-09-19T09:44:50Z</dcterms:created>
  <dcterms:modified xsi:type="dcterms:W3CDTF">2025-04-01T07:19:38Z</dcterms:modified>
</cp:coreProperties>
</file>