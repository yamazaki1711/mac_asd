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5"/>
  <workbookPr/>
  <mc:AlternateContent xmlns:mc="http://schemas.openxmlformats.org/markup-compatibility/2006">
    <mc:Choice Requires="x15">
      <x15ac:absPath xmlns:x15ac="http://schemas.microsoft.com/office/spreadsheetml/2010/11/ac" url="Z:\Стажеры\Лиза\АР\61.17\двери\"/>
    </mc:Choice>
  </mc:AlternateContent>
  <xr:revisionPtr revIDLastSave="0" documentId="13_ncr:1_{CE3383A8-0D79-4291-8A40-C0213DF666D8}" xr6:coauthVersionLast="47" xr6:coauthVersionMax="47" xr10:uidLastSave="{00000000-0000-0000-0000-000000000000}"/>
  <bookViews>
    <workbookView xWindow="-108" yWindow="-108" windowWidth="23256" windowHeight="12576" tabRatio="747" activeTab="1" xr2:uid="{00000000-000D-0000-FFFF-FFFF00000000}"/>
  </bookViews>
  <sheets>
    <sheet name="подписанты" sheetId="8" r:id="rId1"/>
    <sheet name="№15.1 козырек" sheetId="22" r:id="rId2"/>
    <sheet name="Лист общих данных" sheetId="2" state="hidden" r:id="rId3"/>
  </sheets>
  <definedNames>
    <definedName name="_xlnm.Print_Area" localSheetId="1">'№15.1 козырек'!$A$1:$BT$92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22" l="1"/>
  <c r="A55" i="22"/>
  <c r="A56" i="22"/>
  <c r="A53" i="22"/>
  <c r="D52" i="22"/>
  <c r="A71" i="22"/>
  <c r="A64" i="22"/>
  <c r="A65" i="22"/>
  <c r="A66" i="22"/>
  <c r="A67" i="22"/>
  <c r="A68" i="22"/>
  <c r="A69" i="22"/>
  <c r="A70" i="22"/>
  <c r="A63" i="22"/>
  <c r="AA62" i="22"/>
  <c r="BW18" i="22" l="1"/>
  <c r="X87" i="22"/>
  <c r="X84" i="22"/>
  <c r="BH81" i="22"/>
  <c r="BH87" i="22" s="1"/>
  <c r="X81" i="22"/>
  <c r="Y76" i="22"/>
  <c r="Q61" i="22"/>
  <c r="S24" i="22"/>
  <c r="S22" i="22"/>
  <c r="S20" i="22"/>
  <c r="BH84" i="22" l="1"/>
</calcChain>
</file>

<file path=xl/sharedStrings.xml><?xml version="1.0" encoding="utf-8"?>
<sst xmlns="http://schemas.openxmlformats.org/spreadsheetml/2006/main" count="160" uniqueCount="137">
  <si>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</si>
  <si>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</si>
  <si>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</si>
  <si>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</si>
  <si>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</si>
  <si>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</si>
  <si>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</si>
  <si>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</si>
  <si>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</si>
  <si>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</si>
  <si>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</si>
  <si>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</si>
  <si>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</si>
  <si>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</si>
  <si>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</si>
  <si>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</si>
  <si>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</si>
  <si>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</si>
  <si>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</si>
  <si>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</si>
  <si>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</si>
  <si>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</si>
  <si>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</si>
  <si>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</si>
  <si>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</si>
  <si>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</si>
  <si>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</si>
  <si>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</si>
  <si>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</si>
  <si>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</si>
  <si>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</si>
  <si>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</si>
  <si>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</si>
  <si>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</si>
  <si>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</si>
  <si>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</si>
  <si>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</si>
  <si>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</si>
  <si>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</si>
  <si>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</si>
  <si>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</si>
  <si>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</si>
  <si>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</si>
  <si>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</si>
  <si>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</si>
  <si>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</si>
  <si>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</si>
  <si>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</si>
  <si>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</si>
  <si>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</si>
  <si>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</si>
  <si>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</si>
  <si>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</si>
  <si>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</si>
  <si>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</si>
  <si>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</si>
  <si>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</si>
  <si>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</si>
  <si>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</si>
  <si>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</si>
  <si>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</si>
  <si>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</si>
  <si>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</si>
  <si>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</si>
  <si>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</si>
  <si>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</si>
  <si>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</si>
  <si>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</si>
  <si>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</si>
  <si>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</si>
  <si>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</si>
  <si>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</si>
  <si>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</si>
  <si>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</si>
  <si>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</si>
  <si>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</si>
  <si>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</si>
  <si>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</si>
  <si>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</si>
  <si>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</si>
  <si>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</si>
  <si>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</si>
  <si>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</si>
  <si>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</si>
  <si>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</si>
  <si>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</si>
  <si>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</si>
  <si>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</si>
  <si>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</si>
  <si>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</si>
  <si>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</si>
  <si>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</si>
  <si>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</si>
  <si>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</si>
  <si>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</si>
  <si>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</si>
  <si>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</si>
  <si>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Объемы материала не указываются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</si>
  <si>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</si>
  <si>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</si>
  <si>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</si>
  <si>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</si>
  <si>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</si>
  <si>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</si>
  <si>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</si>
  <si>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</si>
  <si>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</si>
  <si>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</si>
  <si>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</si>
  <si>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</si>
  <si>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</si>
  <si>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-</t>
  </si>
  <si>
    <t>ВК произведен 
в соответствия 
с требованиями НТД</t>
  </si>
  <si>
    <t>АИР 1.2-61.17-АР/400ДП</t>
  </si>
  <si>
    <t>ПП2020РД-1.2-61.17-АР, изм.3, л. 11.</t>
  </si>
  <si>
    <t>сплошной</t>
  </si>
  <si>
    <t xml:space="preserve">Дверь противопожарная EI60 стальная однопольная, глухая, тип ДПС-1-60 с доводчиком, фиксатором и ограничителем 980 х 2050 правая; </t>
  </si>
  <si>
    <t>Дверь противопожарная EI60 стальная однопольная, глухая, тип ДПС-1-60 с доводчиком, фиксатором и ограничителем 980 х 2050 левая;</t>
  </si>
  <si>
    <t>Дверь противопожарная EI60 стальная однопольная, глухая, тип ДПС-1-60 с доводчиком, фиксатором и ограничителем 1060 х 2050 правая;</t>
  </si>
  <si>
    <t>Дверь противопожарная EI60 стальная однопольная, глухая, тип ДПС-1-60 с доводчиком, фиксатором и ограничителем 880 х 2050 правая;</t>
  </si>
  <si>
    <t>Дверь противопожарная EI60 стальная двупольная, глухая, тип ДПС-2-60 с доводчиком, фиксатором и ограничителем 2260 х 2050 двойная.</t>
  </si>
  <si>
    <t xml:space="preserve">паспорт и инструкция по монтажу б/н (зав.№ 1800) от 20.11.2023, </t>
  </si>
  <si>
    <t xml:space="preserve">паспорт и инструкция по монтажу б/н (зав.№ 1799) от 20.11.2023, паспорт и инструкция по монтажу б/н (зав.№ 1809) от </t>
  </si>
  <si>
    <t xml:space="preserve">(зав.№ 1804) от 20.11.2023, паспорт и инструкция по монтажу б/н (зав.№ 1806) от 20.11.2023, паспорт и инструкция по </t>
  </si>
  <si>
    <t xml:space="preserve">монтажу б/н (зав.№ 1796) от 20.11.2023, паспорт и инструкция по монтажу б/н (зав.№ 1799) от 20.11.2023, паспорт и </t>
  </si>
  <si>
    <t>инструкция по монтажу б/н (зав.№ 1805) от 20.11.2023, паспорт и инструкция по монтажу б/н (зав.№ 1802) от 20.11.2023,</t>
  </si>
  <si>
    <t xml:space="preserve">паспорт и инструкция по монтажу б/н (зав.№ 1801) от 20.11.2023, паспорт и инструкция по монтажу б/н (зав.№ 1797) от </t>
  </si>
  <si>
    <t xml:space="preserve">20.11.2023, паспорт и инструкция по монтажу б/н (зав.№ 1808) от 20.11.2023, паспорт и инструкция по монтажу б/н </t>
  </si>
  <si>
    <t xml:space="preserve">20.11.2023, паспорт и инструкция по монтажу б/н (зав.№ 1798) от 20.11.2023, паспорт и инструкция по монтажу б/н </t>
  </si>
  <si>
    <t xml:space="preserve">(зав.№ 1808) от 20.11.2023, сертификат соответствия № ЕАЭС RU C-RU.ПБ58.В.00196/21 с 31.03.2021 по 30.03.2026,  </t>
  </si>
  <si>
    <t>паспорт б/н от 05.09.2023, сетрификат соответствия № 04ИДЮ128.CN.С02559 с 03.04.2023 по 02.04.2026.</t>
  </si>
  <si>
    <t>ТУ 25.12.10-003-04400363-2020,ТР ЕАЭС 043/2017, ГОСТ Р 56177-2014, ГОСТ 538-2014</t>
  </si>
  <si>
    <t>Двери противопожарные стальные однопольные глухие и со светопрозрачным заполнением до 25% типов ДПС-1(2)-60 
980 х 2050 правая  - 1 шт;</t>
  </si>
  <si>
    <t>Двери противопожарные стальные однопольные глухие и со светопрозрачным заполнением до 25% типов ДПС-1(2)-60 
980 х 2050 левая  - 8 шт;</t>
  </si>
  <si>
    <t>Двери противопожарные стальные однопольные глухие и со светопрозрачным заполнением до 25% типов ДПС-1(2)-60 
1060 х 2050 правая - 3 шт;</t>
  </si>
  <si>
    <t>Двери противопожарные стальные двупольные глухие и со светопрозрачным заполнением до 25% типов ДПС-1(2)-60 
2260 х 2050 двойная - 1 шт.</t>
  </si>
  <si>
    <t>Двери противопожарные стальные однопольные глухие и со светопрозрачным заполнением до 25% типов ДПС-1(2)-60 
880 х 2050 правая - 1 шт;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</si>
</sst>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dddd"/>
    <numFmt numFmtId="166" formatCode="[$-F800]dddd\,\ mmmm\ dd\,\ yyyy"/>
  </numFmts>
  <fonts count="20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b/>
      <sz val="10"/>
      <name val="Times New Roman"/>
      <family val="1"/>
      <charset val="204"/>
    </font>
    <font>
      <b/>
      <i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7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0" fontId="11" fillId="2" borderId="0" xfId="1" applyFont="1" applyFill="1" applyAlignment="1">
      <alignment vertical="top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wrapText="1"/>
    </xf>
    <xf numFmtId="0" fontId="13" fillId="2" borderId="0" xfId="1" applyFont="1" applyFill="1"/>
    <xf numFmtId="0" fontId="13" fillId="2" borderId="0" xfId="1" applyFont="1" applyFill="1" applyAlignment="1">
      <alignment horizontal="center"/>
    </xf>
    <xf numFmtId="0" fontId="11" fillId="2" borderId="0" xfId="1" applyFont="1" applyFill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0" borderId="0" xfId="1" applyFont="1"/>
    <xf numFmtId="0" fontId="14" fillId="2" borderId="0" xfId="1" applyFont="1" applyFill="1" applyAlignment="1">
      <alignment wrapText="1"/>
    </xf>
    <xf numFmtId="14" fontId="13" fillId="0" borderId="0" xfId="1" applyNumberFormat="1" applyFont="1" applyAlignment="1">
      <alignment vertical="center" wrapText="1"/>
    </xf>
    <xf numFmtId="0" fontId="13" fillId="2" borderId="0" xfId="1" applyFont="1" applyFill="1" applyAlignment="1">
      <alignment horizontal="center" vertical="top"/>
    </xf>
    <xf numFmtId="0" fontId="10" fillId="2" borderId="0" xfId="1" applyFont="1" applyFill="1" applyAlignment="1">
      <alignment vertical="top" wrapText="1"/>
    </xf>
    <xf numFmtId="0" fontId="13" fillId="2" borderId="0" xfId="1" applyFont="1" applyFill="1" applyAlignment="1">
      <alignment vertical="top"/>
    </xf>
    <xf numFmtId="0" fontId="12" fillId="2" borderId="0" xfId="1" applyFont="1" applyFill="1" applyAlignment="1">
      <alignment wrapText="1"/>
    </xf>
    <xf numFmtId="0" fontId="13" fillId="2" borderId="0" xfId="1" applyFont="1" applyFill="1" applyAlignment="1">
      <alignment wrapText="1"/>
    </xf>
    <xf numFmtId="0" fontId="11" fillId="2" borderId="0" xfId="1" applyFont="1" applyFill="1" applyAlignment="1">
      <alignment horizontal="center" wrapText="1"/>
    </xf>
    <xf numFmtId="0" fontId="11" fillId="2" borderId="0" xfId="1" applyFont="1" applyFill="1" applyAlignment="1">
      <alignment horizontal="center" vertical="top" wrapText="1"/>
    </xf>
    <xf numFmtId="0" fontId="15" fillId="2" borderId="2" xfId="1" applyFont="1" applyFill="1" applyBorder="1" applyAlignment="1">
      <alignment vertical="top"/>
    </xf>
    <xf numFmtId="164" fontId="10" fillId="2" borderId="0" xfId="1" applyNumberFormat="1" applyFont="1" applyFill="1" applyAlignment="1">
      <alignment vertical="center" wrapText="1"/>
    </xf>
    <xf numFmtId="164" fontId="10" fillId="2" borderId="0" xfId="1" applyNumberFormat="1" applyFont="1" applyFill="1" applyAlignment="1">
      <alignment vertical="top" wrapText="1"/>
    </xf>
    <xf numFmtId="0" fontId="15" fillId="2" borderId="0" xfId="1" applyFont="1" applyFill="1"/>
    <xf numFmtId="14" fontId="10" fillId="2" borderId="0" xfId="1" applyNumberFormat="1" applyFont="1" applyFill="1" applyAlignment="1">
      <alignment vertical="top" wrapText="1"/>
    </xf>
    <xf numFmtId="0" fontId="6" fillId="2" borderId="0" xfId="1" applyFont="1" applyFill="1" applyAlignment="1">
      <alignment horizontal="left" wrapText="1"/>
    </xf>
    <xf numFmtId="0" fontId="4" fillId="0" borderId="0" xfId="0" applyFont="1"/>
    <xf numFmtId="0" fontId="17" fillId="0" borderId="0" xfId="1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/>
    <xf numFmtId="0" fontId="17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" fillId="2" borderId="0" xfId="1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wrapText="1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 vertical="top" wrapText="1"/>
    </xf>
    <xf numFmtId="14" fontId="13" fillId="0" borderId="0" xfId="1" applyNumberFormat="1" applyFont="1" applyAlignment="1">
      <alignment vertical="top" wrapText="1"/>
    </xf>
    <xf numFmtId="14" fontId="13" fillId="2" borderId="0" xfId="1" applyNumberFormat="1" applyFont="1" applyFill="1" applyAlignment="1">
      <alignment vertical="top" wrapText="1"/>
    </xf>
    <xf numFmtId="0" fontId="13" fillId="3" borderId="1" xfId="1" applyFont="1" applyFill="1" applyBorder="1" applyAlignment="1">
      <alignment horizontal="left"/>
    </xf>
    <xf numFmtId="0" fontId="19" fillId="4" borderId="3" xfId="1" applyFont="1" applyFill="1" applyBorder="1" applyAlignment="1">
      <alignment horizontal="left"/>
    </xf>
    <xf numFmtId="0" fontId="13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4" fontId="11" fillId="2" borderId="0" xfId="1" applyNumberFormat="1" applyFont="1" applyFill="1" applyAlignment="1">
      <alignment horizontal="center"/>
    </xf>
    <xf numFmtId="0" fontId="11" fillId="2" borderId="0" xfId="1" applyFont="1" applyFill="1" applyAlignment="1">
      <alignment horizontal="center" vertical="top"/>
    </xf>
    <xf numFmtId="0" fontId="11" fillId="3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14" fontId="11" fillId="3" borderId="1" xfId="1" applyNumberFormat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 vertical="top"/>
    </xf>
    <xf numFmtId="164" fontId="11" fillId="3" borderId="1" xfId="1" applyNumberFormat="1" applyFont="1" applyFill="1" applyBorder="1" applyAlignment="1">
      <alignment horizontal="center"/>
    </xf>
    <xf numFmtId="0" fontId="13" fillId="4" borderId="1" xfId="1" applyFont="1" applyFill="1" applyBorder="1" applyAlignment="1">
      <alignment horizontal="left" wrapText="1"/>
    </xf>
    <xf numFmtId="0" fontId="15" fillId="2" borderId="0" xfId="1" applyFont="1" applyFill="1" applyAlignment="1">
      <alignment horizontal="center" vertical="top"/>
    </xf>
    <xf numFmtId="0" fontId="10" fillId="3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0" fillId="3" borderId="0" xfId="1" applyFont="1" applyFill="1" applyAlignment="1">
      <alignment horizontal="left" vertical="top" wrapText="1"/>
    </xf>
    <xf numFmtId="14" fontId="13" fillId="3" borderId="1" xfId="1" applyNumberFormat="1" applyFont="1" applyFill="1" applyBorder="1" applyAlignment="1">
      <alignment horizontal="left" vertical="top" wrapText="1"/>
    </xf>
    <xf numFmtId="0" fontId="15" fillId="2" borderId="0" xfId="1" applyFont="1" applyFill="1" applyAlignment="1">
      <alignment horizontal="left" vertical="top"/>
    </xf>
    <xf numFmtId="0" fontId="10" fillId="3" borderId="0" xfId="1" applyFont="1" applyFill="1" applyAlignment="1">
      <alignment horizontal="left"/>
    </xf>
    <xf numFmtId="0" fontId="15" fillId="2" borderId="0" xfId="1" applyFont="1" applyFill="1" applyAlignment="1">
      <alignment horizontal="right" vertical="top" wrapText="1"/>
    </xf>
    <xf numFmtId="164" fontId="10" fillId="3" borderId="0" xfId="1" applyNumberFormat="1" applyFont="1" applyFill="1" applyAlignment="1">
      <alignment horizontal="left" vertical="top" wrapText="1"/>
    </xf>
    <xf numFmtId="0" fontId="10" fillId="5" borderId="0" xfId="1" applyFont="1" applyFill="1" applyAlignment="1">
      <alignment horizontal="left" vertical="top"/>
    </xf>
    <xf numFmtId="0" fontId="19" fillId="4" borderId="1" xfId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11" fillId="2" borderId="0" xfId="1" applyFont="1" applyFill="1" applyAlignment="1">
      <alignment horizontal="left" vertical="center"/>
    </xf>
    <xf numFmtId="14" fontId="13" fillId="3" borderId="1" xfId="1" applyNumberFormat="1" applyFont="1" applyFill="1" applyBorder="1" applyAlignment="1">
      <alignment horizontal="left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horizontal="left" vertical="top"/>
    </xf>
    <xf numFmtId="0" fontId="10" fillId="4" borderId="0" xfId="1" applyFont="1" applyFill="1" applyAlignment="1">
      <alignment horizontal="left" vertical="top" wrapText="1"/>
    </xf>
    <xf numFmtId="0" fontId="15" fillId="2" borderId="0" xfId="1" applyFont="1" applyFill="1" applyAlignment="1">
      <alignment horizontal="center" vertical="center"/>
    </xf>
    <xf numFmtId="14" fontId="13" fillId="4" borderId="1" xfId="1" applyNumberFormat="1" applyFont="1" applyFill="1" applyBorder="1" applyAlignment="1">
      <alignment horizontal="left" vertical="center" wrapText="1"/>
    </xf>
    <xf numFmtId="14" fontId="13" fillId="2" borderId="0" xfId="1" applyNumberFormat="1" applyFont="1" applyFill="1" applyAlignment="1">
      <alignment horizontal="center" wrapText="1"/>
    </xf>
    <xf numFmtId="166" fontId="13" fillId="4" borderId="1" xfId="1" applyNumberFormat="1" applyFont="1" applyFill="1" applyBorder="1" applyAlignment="1">
      <alignment horizontal="center"/>
    </xf>
    <xf numFmtId="0" fontId="11" fillId="3" borderId="0" xfId="1" applyFont="1" applyFill="1" applyAlignment="1">
      <alignment horizontal="left" wrapText="1"/>
    </xf>
    <xf numFmtId="0" fontId="11" fillId="3" borderId="1" xfId="1" applyFont="1" applyFill="1" applyBorder="1" applyAlignment="1">
      <alignment horizontal="right"/>
    </xf>
    <xf numFmtId="0" fontId="11" fillId="3" borderId="1" xfId="1" applyFont="1" applyFill="1" applyBorder="1" applyAlignment="1">
      <alignment horizontal="left" wrapText="1"/>
    </xf>
    <xf numFmtId="0" fontId="11" fillId="3" borderId="1" xfId="1" applyFont="1" applyFill="1" applyBorder="1" applyAlignment="1">
      <alignment horizontal="right" vertical="center"/>
    </xf>
    <xf numFmtId="14" fontId="18" fillId="4" borderId="1" xfId="1" applyNumberFormat="1" applyFont="1" applyFill="1" applyBorder="1" applyAlignment="1">
      <alignment horizontal="left" vertical="center" wrapText="1"/>
    </xf>
    <xf numFmtId="49" fontId="12" fillId="2" borderId="0" xfId="1" applyNumberFormat="1" applyFont="1" applyFill="1" applyAlignment="1">
      <alignment horizontal="center" vertical="center"/>
    </xf>
    <xf numFmtId="0" fontId="12" fillId="2" borderId="0" xfId="1" applyFont="1" applyFill="1" applyAlignment="1">
      <alignment horizontal="left"/>
    </xf>
    <xf numFmtId="0" fontId="11" fillId="2" borderId="0" xfId="1" applyFont="1" applyFill="1" applyAlignment="1">
      <alignment horizontal="left" wrapText="1"/>
    </xf>
    <xf numFmtId="49" fontId="11" fillId="2" borderId="0" xfId="1" applyNumberFormat="1" applyFont="1" applyFill="1" applyAlignment="1">
      <alignment horizontal="center"/>
    </xf>
    <xf numFmtId="0" fontId="13" fillId="4" borderId="0" xfId="1" applyFont="1" applyFill="1" applyAlignment="1">
      <alignment horizontal="left"/>
    </xf>
    <xf numFmtId="0" fontId="13" fillId="0" borderId="0" xfId="1" applyFont="1" applyAlignment="1">
      <alignment horizontal="center"/>
    </xf>
    <xf numFmtId="14" fontId="18" fillId="4" borderId="3" xfId="1" applyNumberFormat="1" applyFont="1" applyFill="1" applyBorder="1" applyAlignment="1">
      <alignment horizontal="left" vertical="center" wrapText="1"/>
    </xf>
    <xf numFmtId="14" fontId="19" fillId="4" borderId="1" xfId="1" applyNumberFormat="1" applyFont="1" applyFill="1" applyBorder="1" applyAlignment="1">
      <alignment horizontal="left" vertical="top" wrapText="1"/>
    </xf>
    <xf numFmtId="14" fontId="13" fillId="4" borderId="3" xfId="1" applyNumberFormat="1" applyFont="1" applyFill="1" applyBorder="1" applyAlignment="1">
      <alignment horizontal="left" vertical="center" wrapText="1"/>
    </xf>
    <xf numFmtId="14" fontId="15" fillId="2" borderId="0" xfId="1" applyNumberFormat="1" applyFont="1" applyFill="1" applyAlignment="1">
      <alignment horizontal="center" vertical="top" wrapText="1"/>
    </xf>
    <xf numFmtId="0" fontId="16" fillId="0" borderId="0" xfId="1" applyFont="1" applyBorder="1" applyAlignment="1">
      <alignment horizontal="center" vertical="top"/>
    </xf>
    <xf numFmtId="14" fontId="13" fillId="3" borderId="1" xfId="1" applyNumberFormat="1" applyFont="1" applyFill="1" applyBorder="1" applyAlignment="1">
      <alignment horizontal="left" wrapText="1"/>
    </xf>
    <xf numFmtId="0" fontId="13" fillId="3" borderId="1" xfId="1" applyFont="1" applyFill="1" applyBorder="1" applyAlignment="1">
      <alignment horizontal="left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289560</xdr:colOff>
      <xdr:row>10</xdr:row>
      <xdr:rowOff>30480</xdr:rowOff>
    </xdr:from>
    <xdr:to>
      <xdr:col>75</xdr:col>
      <xdr:colOff>201930</xdr:colOff>
      <xdr:row>16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955280" y="1783080"/>
          <a:ext cx="113157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25</xdr:row>
      <xdr:rowOff>0</xdr:rowOff>
    </xdr:from>
    <xdr:to>
      <xdr:col>74</xdr:col>
      <xdr:colOff>521970</xdr:colOff>
      <xdr:row>26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65720" y="418338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33</xdr:row>
      <xdr:rowOff>0</xdr:rowOff>
    </xdr:from>
    <xdr:to>
      <xdr:col>74</xdr:col>
      <xdr:colOff>521970</xdr:colOff>
      <xdr:row>36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665720" y="5059680"/>
          <a:ext cx="1131570" cy="5638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39</xdr:row>
      <xdr:rowOff>0</xdr:rowOff>
    </xdr:from>
    <xdr:to>
      <xdr:col>74</xdr:col>
      <xdr:colOff>521970</xdr:colOff>
      <xdr:row>41</xdr:row>
      <xdr:rowOff>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665720" y="6111240"/>
          <a:ext cx="1131570" cy="3505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59</xdr:row>
      <xdr:rowOff>0</xdr:rowOff>
    </xdr:from>
    <xdr:to>
      <xdr:col>74</xdr:col>
      <xdr:colOff>521970</xdr:colOff>
      <xdr:row>60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665720" y="768858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75</xdr:row>
      <xdr:rowOff>0</xdr:rowOff>
    </xdr:from>
    <xdr:to>
      <xdr:col>74</xdr:col>
      <xdr:colOff>521970</xdr:colOff>
      <xdr:row>77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665720" y="9090660"/>
          <a:ext cx="113157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workbookViewId="0">
      <selection activeCell="B7" sqref="B7"/>
    </sheetView>
  </sheetViews>
  <sheetFormatPr defaultColWidth="8.77734375" defaultRowHeight="13.8" x14ac:dyDescent="0.25"/>
  <cols>
    <col min="1" max="1" width="27.109375" style="33" customWidth="1"/>
    <col min="2" max="2" width="21.6640625" style="33" customWidth="1"/>
    <col min="3" max="3" width="67.44140625" style="33" customWidth="1"/>
    <col min="4" max="5" width="10.109375" style="33" customWidth="1"/>
    <col min="6" max="6" width="44.77734375" style="33" customWidth="1"/>
    <col min="7" max="16384" width="8.77734375" style="33"/>
  </cols>
  <sheetData>
    <row r="2" spans="1:6" ht="29.55" customHeight="1" x14ac:dyDescent="0.25">
      <c r="A2" s="41" t="s">
        <v>10</v>
      </c>
      <c r="B2" s="42" t="s">
        <v>92</v>
      </c>
      <c r="C2" s="42" t="s">
        <v>91</v>
      </c>
      <c r="D2" s="40" t="s">
        <v>89</v>
      </c>
      <c r="E2" s="40" t="s">
        <v>90</v>
      </c>
    </row>
    <row r="3" spans="1:6" x14ac:dyDescent="0.25">
      <c r="A3" s="34" t="s">
        <v>12</v>
      </c>
      <c r="B3" s="33" t="s">
        <v>79</v>
      </c>
      <c r="C3" s="44" t="s">
        <v>80</v>
      </c>
      <c r="D3" s="36">
        <v>44927</v>
      </c>
      <c r="E3" s="36">
        <v>45306</v>
      </c>
    </row>
    <row r="4" spans="1:6" x14ac:dyDescent="0.25">
      <c r="A4" s="34" t="s">
        <v>12</v>
      </c>
      <c r="B4" s="33" t="s">
        <v>93</v>
      </c>
      <c r="C4" s="44" t="s">
        <v>94</v>
      </c>
      <c r="D4" s="36">
        <v>45306</v>
      </c>
      <c r="E4" s="36">
        <v>45657</v>
      </c>
    </row>
    <row r="5" spans="1:6" x14ac:dyDescent="0.25">
      <c r="A5" s="34" t="s">
        <v>14</v>
      </c>
      <c r="B5" s="33" t="s">
        <v>84</v>
      </c>
      <c r="C5" s="35" t="s">
        <v>83</v>
      </c>
      <c r="D5" s="36">
        <v>45166</v>
      </c>
      <c r="E5" s="36">
        <v>45657</v>
      </c>
    </row>
    <row r="6" spans="1:6" x14ac:dyDescent="0.25">
      <c r="A6" s="34" t="s">
        <v>14</v>
      </c>
      <c r="B6" s="33" t="s">
        <v>96</v>
      </c>
      <c r="C6" s="35" t="s">
        <v>95</v>
      </c>
      <c r="D6" s="36">
        <v>44927</v>
      </c>
      <c r="E6" s="36">
        <v>45166</v>
      </c>
    </row>
    <row r="7" spans="1:6" ht="27.6" x14ac:dyDescent="0.25">
      <c r="A7" s="34" t="s">
        <v>14</v>
      </c>
      <c r="B7" s="48" t="s">
        <v>109</v>
      </c>
      <c r="C7" s="35" t="s">
        <v>83</v>
      </c>
      <c r="D7" s="36">
        <v>45278</v>
      </c>
      <c r="E7" s="36">
        <v>45342</v>
      </c>
      <c r="F7" s="47" t="s">
        <v>110</v>
      </c>
    </row>
    <row r="8" spans="1:6" ht="41.4" x14ac:dyDescent="0.25">
      <c r="A8" s="37" t="s">
        <v>15</v>
      </c>
      <c r="B8" s="38" t="s">
        <v>82</v>
      </c>
      <c r="C8" s="45" t="s">
        <v>81</v>
      </c>
      <c r="D8" s="39">
        <v>44927</v>
      </c>
      <c r="E8" s="39">
        <v>45657</v>
      </c>
    </row>
    <row r="9" spans="1:6" ht="41.4" x14ac:dyDescent="0.25">
      <c r="A9" s="37" t="s">
        <v>15</v>
      </c>
      <c r="B9" s="33" t="s">
        <v>108</v>
      </c>
      <c r="C9" s="46" t="s">
        <v>107</v>
      </c>
    </row>
    <row r="11" spans="1:6" x14ac:dyDescent="0.25">
      <c r="A11" s="34"/>
    </row>
    <row r="12" spans="1:6" x14ac:dyDescent="0.25">
      <c r="A12" s="3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D92"/>
  <sheetViews>
    <sheetView tabSelected="1" view="pageBreakPreview" topLeftCell="A53" zoomScaleNormal="100" zoomScaleSheetLayoutView="100" workbookViewId="0">
      <selection activeCell="V79" sqref="V79"/>
    </sheetView>
  </sheetViews>
  <sheetFormatPr defaultColWidth="8.77734375" defaultRowHeight="13.8" x14ac:dyDescent="0.25"/>
  <cols>
    <col min="1" max="24" width="1.44140625" customWidth="1"/>
    <col min="25" max="25" width="0.77734375" customWidth="1"/>
    <col min="26" max="27" width="1.44140625" customWidth="1"/>
    <col min="28" max="28" width="0.77734375" customWidth="1"/>
    <col min="29" max="45" width="1.44140625" customWidth="1"/>
    <col min="46" max="46" width="2.6640625" customWidth="1"/>
    <col min="47" max="65" width="1.44140625" customWidth="1"/>
    <col min="66" max="66" width="1.109375" customWidth="1"/>
    <col min="67" max="67" width="0.44140625" hidden="1" customWidth="1"/>
    <col min="68" max="68" width="1.44140625" hidden="1" customWidth="1"/>
    <col min="69" max="69" width="0.44140625" customWidth="1"/>
    <col min="70" max="70" width="5.6640625" customWidth="1"/>
    <col min="71" max="71" width="8.33203125" customWidth="1"/>
    <col min="72" max="72" width="9.21875" customWidth="1"/>
    <col min="73" max="73" width="1.44140625" customWidth="1"/>
    <col min="75" max="75" width="16" bestFit="1" customWidth="1"/>
  </cols>
  <sheetData>
    <row r="1" spans="1:77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76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7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85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7" x14ac:dyDescent="0.25">
      <c r="A3" s="58" t="s">
        <v>4</v>
      </c>
      <c r="B3" s="58"/>
      <c r="C3" s="58"/>
      <c r="D3" s="58"/>
      <c r="E3" s="58"/>
      <c r="F3" s="94" t="s">
        <v>5</v>
      </c>
      <c r="G3" s="94"/>
      <c r="H3" s="94"/>
      <c r="I3" s="95" t="s">
        <v>6</v>
      </c>
      <c r="J3" s="95"/>
      <c r="K3" s="9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78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86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7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87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7" x14ac:dyDescent="0.25">
      <c r="A6" s="58"/>
      <c r="B6" s="58"/>
      <c r="C6" s="58"/>
      <c r="D6" s="58"/>
      <c r="E6" s="58"/>
      <c r="F6" s="94"/>
      <c r="G6" s="94"/>
      <c r="H6" s="94"/>
      <c r="I6" s="95"/>
      <c r="J6" s="95"/>
      <c r="K6" s="9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96" t="s">
        <v>77</v>
      </c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</row>
    <row r="7" spans="1:77" x14ac:dyDescent="0.25">
      <c r="A7" s="8"/>
      <c r="B7" s="8"/>
      <c r="C7" s="8"/>
      <c r="D7" s="8"/>
      <c r="E7" s="8"/>
      <c r="F7" s="8"/>
      <c r="G7" s="97"/>
      <c r="H7" s="97"/>
      <c r="I7" s="95"/>
      <c r="J7" s="95"/>
      <c r="K7" s="95"/>
      <c r="L7" s="95"/>
      <c r="M7" s="95"/>
      <c r="N7" s="95"/>
      <c r="O7" s="9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</row>
    <row r="8" spans="1:77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98" t="s">
        <v>113</v>
      </c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7" x14ac:dyDescent="0.25">
      <c r="A10" s="99" t="s">
        <v>45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</row>
    <row r="11" spans="1:77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7" x14ac:dyDescent="0.25">
      <c r="A12" s="93" t="s">
        <v>116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Y12" t="s">
        <v>97</v>
      </c>
    </row>
    <row r="13" spans="1:77" x14ac:dyDescent="0.25">
      <c r="A13" s="100" t="s">
        <v>117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</row>
    <row r="14" spans="1:77" x14ac:dyDescent="0.25">
      <c r="A14" s="100" t="s">
        <v>118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</row>
    <row r="15" spans="1:77" x14ac:dyDescent="0.25">
      <c r="A15" s="100" t="s">
        <v>119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</row>
    <row r="16" spans="1:77" x14ac:dyDescent="0.25">
      <c r="A16" s="100" t="s">
        <v>120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</row>
    <row r="17" spans="1:82" x14ac:dyDescent="0.25">
      <c r="A17" s="87" t="s">
        <v>46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</row>
    <row r="18" spans="1:8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3" t="s">
        <v>9</v>
      </c>
      <c r="AB18" s="8"/>
      <c r="AC18" s="8"/>
      <c r="AD18" s="8"/>
      <c r="AE18" s="88">
        <v>45270</v>
      </c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15"/>
      <c r="AV18" s="15"/>
      <c r="AW18" s="15"/>
      <c r="AX18" s="15"/>
      <c r="AY18" s="15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  <c r="BW18" s="51">
        <f>AE18</f>
        <v>45270</v>
      </c>
    </row>
    <row r="19" spans="1:82" x14ac:dyDescent="0.25">
      <c r="A19" s="8" t="s">
        <v>10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 t="s">
        <v>11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12"/>
    </row>
    <row r="20" spans="1:82" x14ac:dyDescent="0.25">
      <c r="A20" s="8" t="s">
        <v>12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9" t="str">
        <f>VLOOKUP(BJ20,подписанты!$B$3:$C$11,2,FALSE)</f>
        <v>Руководитель группы МТО АО «Газстройпроект»</v>
      </c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90" t="s">
        <v>79</v>
      </c>
      <c r="BK20" s="90"/>
      <c r="BL20" s="90"/>
      <c r="BM20" s="90"/>
      <c r="BN20" s="90"/>
      <c r="BO20" s="90"/>
      <c r="BP20" s="90"/>
      <c r="BQ20" s="90"/>
      <c r="BR20" s="90"/>
      <c r="BS20" s="90"/>
      <c r="BT20" s="90"/>
    </row>
    <row r="21" spans="1:8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64" t="s">
        <v>13</v>
      </c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27"/>
      <c r="BL21" s="27"/>
      <c r="BM21" s="27"/>
      <c r="BN21" s="27"/>
      <c r="BO21" s="27"/>
      <c r="BP21" s="16"/>
      <c r="BQ21" s="16"/>
      <c r="BR21" s="16"/>
      <c r="BS21" s="16"/>
      <c r="BT21" s="16"/>
    </row>
    <row r="22" spans="1:82" x14ac:dyDescent="0.25">
      <c r="A22" s="8" t="s">
        <v>14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1" t="str">
        <f>VLOOKUP(BJ22,подписанты!$B$3:$C$11,2,FALSE)</f>
        <v>Инженер отдела технического надзора АО «Газстройпроект»</v>
      </c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0" t="s">
        <v>84</v>
      </c>
      <c r="BK22" s="90"/>
      <c r="BL22" s="90"/>
      <c r="BM22" s="90"/>
      <c r="BN22" s="90"/>
      <c r="BO22" s="90"/>
      <c r="BP22" s="90"/>
      <c r="BQ22" s="90"/>
      <c r="BR22" s="90"/>
      <c r="BS22" s="90"/>
      <c r="BT22" s="90"/>
    </row>
    <row r="23" spans="1:8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67" t="s">
        <v>13</v>
      </c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4"/>
      <c r="BK23" s="16"/>
      <c r="BL23" s="16"/>
      <c r="BM23" s="16"/>
      <c r="BN23" s="16"/>
      <c r="BO23" s="16"/>
      <c r="BP23" s="16"/>
      <c r="BQ23" s="16"/>
      <c r="BR23" s="16"/>
      <c r="BS23" s="16"/>
      <c r="BT23" s="16"/>
    </row>
    <row r="24" spans="1:82" ht="40.049999999999997" customHeight="1" x14ac:dyDescent="0.25">
      <c r="A24" s="8" t="s">
        <v>15</v>
      </c>
      <c r="B24" s="8"/>
      <c r="C24" s="8"/>
      <c r="D24" s="8"/>
      <c r="E24" s="8"/>
      <c r="F24" s="8"/>
      <c r="G24" s="8"/>
      <c r="H24" s="8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89" t="str">
        <f>VLOOKUP(BJ24,подписанты!$B$3:$C$11,2,FALSE)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92" t="s">
        <v>108</v>
      </c>
      <c r="BK24" s="92"/>
      <c r="BL24" s="92"/>
      <c r="BM24" s="92"/>
      <c r="BN24" s="92"/>
      <c r="BO24" s="92"/>
      <c r="BP24" s="92"/>
      <c r="BQ24" s="92"/>
      <c r="BR24" s="92"/>
      <c r="BS24" s="92"/>
      <c r="BT24" s="92"/>
    </row>
    <row r="25" spans="1:82" x14ac:dyDescent="0.25">
      <c r="A25" s="8"/>
      <c r="B25" s="8"/>
      <c r="C25" s="8"/>
      <c r="D25" s="8"/>
      <c r="E25" s="8"/>
      <c r="F25" s="8"/>
      <c r="G25" s="8"/>
      <c r="H25" s="8"/>
      <c r="I25" s="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64" t="s">
        <v>13</v>
      </c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spans="1:82" x14ac:dyDescent="0.25">
      <c r="A26" s="8" t="s">
        <v>16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7"/>
      <c r="O26" s="61" t="s">
        <v>115</v>
      </c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8" t="s">
        <v>17</v>
      </c>
      <c r="BR26" s="13"/>
      <c r="BS26" s="13"/>
      <c r="BT26" s="13"/>
      <c r="BX26" s="78" t="s">
        <v>98</v>
      </c>
      <c r="BY26" s="78"/>
      <c r="BZ26" s="78"/>
      <c r="CA26" s="78"/>
      <c r="CB26" s="78"/>
      <c r="CC26" s="78"/>
      <c r="CD26" s="78"/>
    </row>
    <row r="27" spans="1:82" x14ac:dyDescent="0.25">
      <c r="A27" s="8"/>
      <c r="B27" s="8"/>
      <c r="C27" s="8"/>
      <c r="D27" s="8"/>
      <c r="E27" s="85" t="s">
        <v>49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X27" s="78"/>
      <c r="BY27" s="78"/>
      <c r="BZ27" s="78"/>
      <c r="CA27" s="78"/>
      <c r="CB27" s="78"/>
      <c r="CC27" s="78"/>
      <c r="CD27" s="78"/>
    </row>
    <row r="28" spans="1:82" ht="27.6" customHeight="1" x14ac:dyDescent="0.25">
      <c r="A28" s="86" t="s">
        <v>132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X28" s="78"/>
      <c r="BY28" s="78"/>
      <c r="BZ28" s="78"/>
      <c r="CA28" s="78"/>
      <c r="CB28" s="78"/>
      <c r="CC28" s="78"/>
      <c r="CD28" s="78"/>
    </row>
    <row r="29" spans="1:82" ht="27.6" customHeight="1" x14ac:dyDescent="0.25">
      <c r="A29" s="86" t="s">
        <v>133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X29" s="52"/>
      <c r="BY29" s="52"/>
      <c r="BZ29" s="52"/>
      <c r="CA29" s="52"/>
      <c r="CB29" s="52"/>
      <c r="CC29" s="52"/>
      <c r="CD29" s="52"/>
    </row>
    <row r="30" spans="1:82" ht="27.6" customHeight="1" x14ac:dyDescent="0.25">
      <c r="A30" s="102" t="s">
        <v>134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X30" s="52"/>
      <c r="BY30" s="52"/>
      <c r="BZ30" s="52"/>
      <c r="CA30" s="52"/>
      <c r="CB30" s="52"/>
      <c r="CC30" s="52"/>
      <c r="CD30" s="52"/>
    </row>
    <row r="31" spans="1:82" ht="28.8" customHeight="1" x14ac:dyDescent="0.25">
      <c r="A31" s="102" t="s">
        <v>136</v>
      </c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X31" s="52"/>
      <c r="BY31" s="52"/>
      <c r="BZ31" s="52"/>
      <c r="CA31" s="52"/>
      <c r="CB31" s="52"/>
      <c r="CC31" s="52"/>
      <c r="CD31" s="52"/>
    </row>
    <row r="32" spans="1:82" ht="27.6" customHeight="1" x14ac:dyDescent="0.25">
      <c r="A32" s="102" t="s">
        <v>135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X32" s="52"/>
      <c r="BY32" s="52"/>
      <c r="BZ32" s="52"/>
      <c r="CA32" s="52"/>
      <c r="CB32" s="52"/>
      <c r="CC32" s="52"/>
      <c r="CD32" s="52"/>
    </row>
    <row r="33" spans="1:82" x14ac:dyDescent="0.25">
      <c r="A33" s="103" t="s">
        <v>50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</row>
    <row r="34" spans="1:82" x14ac:dyDescent="0.25">
      <c r="A34" s="10" t="s">
        <v>18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18"/>
      <c r="S34" s="8"/>
      <c r="T34" s="21"/>
      <c r="U34" s="84" t="s">
        <v>114</v>
      </c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X34" s="78" t="s">
        <v>99</v>
      </c>
      <c r="BY34" s="78"/>
      <c r="BZ34" s="78"/>
      <c r="CA34" s="78"/>
      <c r="CB34" s="78"/>
      <c r="CC34" s="78"/>
    </row>
    <row r="35" spans="1:82" ht="0.6" customHeight="1" x14ac:dyDescent="0.2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X35" s="78"/>
      <c r="BY35" s="78"/>
      <c r="BZ35" s="78"/>
      <c r="CA35" s="78"/>
      <c r="CB35" s="78"/>
      <c r="CC35" s="78"/>
    </row>
    <row r="36" spans="1:82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72" t="s">
        <v>19</v>
      </c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X36" s="78"/>
      <c r="BY36" s="78"/>
      <c r="BZ36" s="78"/>
      <c r="CA36" s="78"/>
      <c r="CB36" s="78"/>
      <c r="CC36" s="78"/>
    </row>
    <row r="37" spans="1:82" x14ac:dyDescent="0.25">
      <c r="A37" s="10" t="s">
        <v>20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21"/>
      <c r="T37" s="21"/>
      <c r="U37" s="84" t="s">
        <v>57</v>
      </c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X37" s="78"/>
      <c r="BY37" s="78"/>
      <c r="BZ37" s="78"/>
      <c r="CA37" s="78"/>
      <c r="CB37" s="78"/>
      <c r="CC37" s="78"/>
    </row>
    <row r="38" spans="1:82" x14ac:dyDescent="0.25">
      <c r="A38" s="67" t="s">
        <v>21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</row>
    <row r="39" spans="1:82" x14ac:dyDescent="0.25">
      <c r="A39" s="8"/>
      <c r="B39" s="8"/>
      <c r="C39" s="8"/>
      <c r="D39" s="8" t="s">
        <v>22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</row>
    <row r="40" spans="1:82" ht="14.4" x14ac:dyDescent="0.25">
      <c r="A40" s="8" t="s">
        <v>23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4"/>
      <c r="AJ40" s="8"/>
      <c r="AK40" s="53"/>
      <c r="AL40" s="53"/>
      <c r="AM40" s="53"/>
      <c r="AN40" s="101" t="s">
        <v>121</v>
      </c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X40" s="43" t="s">
        <v>100</v>
      </c>
    </row>
    <row r="41" spans="1:82" ht="14.4" x14ac:dyDescent="0.3">
      <c r="A41" s="77" t="s">
        <v>122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X41" s="78" t="s">
        <v>101</v>
      </c>
      <c r="BY41" s="78"/>
      <c r="BZ41" s="78"/>
      <c r="CA41" s="78"/>
      <c r="CB41" s="78"/>
      <c r="CC41" s="78"/>
      <c r="CD41" s="78"/>
    </row>
    <row r="42" spans="1:82" ht="14.4" x14ac:dyDescent="0.3">
      <c r="A42" s="77" t="s">
        <v>127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X42" s="78"/>
      <c r="BY42" s="78"/>
      <c r="BZ42" s="78"/>
      <c r="CA42" s="78"/>
      <c r="CB42" s="78"/>
      <c r="CC42" s="78"/>
      <c r="CD42" s="78"/>
    </row>
    <row r="43" spans="1:82" ht="14.4" x14ac:dyDescent="0.3">
      <c r="A43" s="77" t="s">
        <v>123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X43" s="78"/>
      <c r="BY43" s="78"/>
      <c r="BZ43" s="78"/>
      <c r="CA43" s="78"/>
      <c r="CB43" s="78"/>
      <c r="CC43" s="78"/>
      <c r="CD43" s="78"/>
    </row>
    <row r="44" spans="1:82" ht="14.4" x14ac:dyDescent="0.3">
      <c r="A44" s="56" t="s">
        <v>124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X44" s="78"/>
      <c r="BY44" s="78"/>
      <c r="BZ44" s="78"/>
      <c r="CA44" s="78"/>
      <c r="CB44" s="78"/>
      <c r="CC44" s="78"/>
      <c r="CD44" s="78"/>
    </row>
    <row r="45" spans="1:82" ht="14.4" x14ac:dyDescent="0.3">
      <c r="A45" s="56" t="s">
        <v>125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X45" s="78"/>
      <c r="BY45" s="78"/>
      <c r="BZ45" s="78"/>
      <c r="CA45" s="78"/>
      <c r="CB45" s="78"/>
      <c r="CC45" s="78"/>
      <c r="CD45" s="78"/>
    </row>
    <row r="46" spans="1:82" ht="14.4" x14ac:dyDescent="0.3">
      <c r="A46" s="56" t="s">
        <v>126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X46" s="78"/>
      <c r="BY46" s="78"/>
      <c r="BZ46" s="78"/>
      <c r="CA46" s="78"/>
      <c r="CB46" s="78"/>
      <c r="CC46" s="78"/>
      <c r="CD46" s="78"/>
    </row>
    <row r="47" spans="1:82" ht="14.4" x14ac:dyDescent="0.3">
      <c r="A47" s="56" t="s">
        <v>128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X47" s="78"/>
      <c r="BY47" s="78"/>
      <c r="BZ47" s="78"/>
      <c r="CA47" s="78"/>
      <c r="CB47" s="78"/>
      <c r="CC47" s="78"/>
      <c r="CD47" s="78"/>
    </row>
    <row r="48" spans="1:82" ht="14.4" x14ac:dyDescent="0.3">
      <c r="A48" s="56" t="s">
        <v>129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X48" s="78"/>
      <c r="BY48" s="78"/>
      <c r="BZ48" s="78"/>
      <c r="CA48" s="78"/>
      <c r="CB48" s="78"/>
      <c r="CC48" s="78"/>
      <c r="CD48" s="78"/>
    </row>
    <row r="49" spans="1:82" ht="14.4" x14ac:dyDescent="0.3">
      <c r="A49" s="56" t="s">
        <v>130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X49" s="78"/>
      <c r="BY49" s="78"/>
      <c r="BZ49" s="78"/>
      <c r="CA49" s="78"/>
      <c r="CB49" s="78"/>
      <c r="CC49" s="78"/>
      <c r="CD49" s="78"/>
    </row>
    <row r="50" spans="1:82" x14ac:dyDescent="0.25">
      <c r="A50" s="64" t="s">
        <v>24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X50" s="78"/>
      <c r="BY50" s="78"/>
      <c r="BZ50" s="78"/>
      <c r="CA50" s="78"/>
      <c r="CB50" s="78"/>
      <c r="CC50" s="78"/>
      <c r="CD50" s="78"/>
    </row>
    <row r="51" spans="1:82" x14ac:dyDescent="0.25">
      <c r="A51" s="79" t="s">
        <v>73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X51" s="78"/>
      <c r="BY51" s="78"/>
      <c r="BZ51" s="78"/>
      <c r="CA51" s="78"/>
      <c r="CB51" s="78"/>
      <c r="CC51" s="78"/>
      <c r="CD51" s="78"/>
    </row>
    <row r="52" spans="1:82" ht="28.2" customHeight="1" x14ac:dyDescent="0.25">
      <c r="A52" s="17" t="s">
        <v>74</v>
      </c>
      <c r="B52" s="19"/>
      <c r="C52" s="19"/>
      <c r="D52" s="80" t="str">
        <f>A28</f>
        <v>Двери противопожарные стальные однопольные глухие и со светопрозрачным заполнением до 25% типов ДПС-1(2)-60 
980 х 2050 правая  - 1 шт;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X52" s="78"/>
      <c r="BY52" s="78"/>
      <c r="BZ52" s="78"/>
      <c r="CA52" s="78"/>
      <c r="CB52" s="78"/>
      <c r="CC52" s="78"/>
      <c r="CD52" s="78"/>
    </row>
    <row r="53" spans="1:82" ht="27.6" customHeight="1" x14ac:dyDescent="0.25">
      <c r="A53" s="105" t="str">
        <f>A29</f>
        <v>Двери противопожарные стальные однопольные глухие и со светопрозрачным заполнением до 25% типов ДПС-1(2)-60 
980 х 2050 левая  - 8 шт;</v>
      </c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X53" s="78"/>
      <c r="BY53" s="78"/>
      <c r="BZ53" s="78"/>
      <c r="CA53" s="78"/>
      <c r="CB53" s="78"/>
      <c r="CC53" s="78"/>
      <c r="CD53" s="78"/>
    </row>
    <row r="54" spans="1:82" ht="27" customHeight="1" x14ac:dyDescent="0.25">
      <c r="A54" s="105" t="str">
        <f t="shared" ref="A54:A56" si="0">A30</f>
        <v>Двери противопожарные стальные однопольные глухие и со светопрозрачным заполнением до 25% типов ДПС-1(2)-60 
1060 х 2050 правая - 3 шт;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X54" s="78"/>
      <c r="BY54" s="78"/>
      <c r="BZ54" s="78"/>
      <c r="CA54" s="78"/>
      <c r="CB54" s="78"/>
      <c r="CC54" s="78"/>
      <c r="CD54" s="78"/>
    </row>
    <row r="55" spans="1:82" ht="27.6" customHeight="1" x14ac:dyDescent="0.25">
      <c r="A55" s="105" t="str">
        <f t="shared" si="0"/>
        <v>Двери противопожарные стальные однопольные глухие и со светопрозрачным заполнением до 25% типов ДПС-1(2)-60 
880 х 2050 правая - 1 шт;</v>
      </c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X55" s="78"/>
      <c r="BY55" s="78"/>
      <c r="BZ55" s="78"/>
      <c r="CA55" s="78"/>
      <c r="CB55" s="78"/>
      <c r="CC55" s="78"/>
      <c r="CD55" s="78"/>
    </row>
    <row r="56" spans="1:82" ht="27" customHeight="1" x14ac:dyDescent="0.25">
      <c r="A56" s="105" t="str">
        <f t="shared" si="0"/>
        <v>Двери противопожарные стальные двупольные глухие и со светопрозрачным заполнением до 25% типов ДПС-1(2)-60 
2260 х 2050 двойная - 1 шт.</v>
      </c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X56" s="78"/>
      <c r="BY56" s="78"/>
      <c r="BZ56" s="78"/>
      <c r="CA56" s="78"/>
      <c r="CB56" s="78"/>
      <c r="CC56" s="78"/>
      <c r="CD56" s="78"/>
    </row>
    <row r="57" spans="1:82" x14ac:dyDescent="0.25">
      <c r="A57" s="8"/>
      <c r="B57" s="8"/>
      <c r="C57" s="8"/>
      <c r="D57" s="104" t="s">
        <v>25</v>
      </c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X57" s="78"/>
      <c r="BY57" s="78"/>
      <c r="BZ57" s="78"/>
      <c r="CA57" s="78"/>
      <c r="CB57" s="78"/>
      <c r="CC57" s="78"/>
      <c r="CD57" s="78"/>
    </row>
    <row r="58" spans="1:82" x14ac:dyDescent="0.25">
      <c r="A58" s="8" t="s">
        <v>26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49"/>
      <c r="Y58" s="81" t="s">
        <v>111</v>
      </c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X58" s="78"/>
      <c r="BY58" s="78"/>
      <c r="BZ58" s="78"/>
      <c r="CA58" s="78"/>
      <c r="CB58" s="78"/>
      <c r="CC58" s="78"/>
      <c r="CD58" s="78"/>
    </row>
    <row r="59" spans="1:8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20"/>
      <c r="Y59" s="67" t="s">
        <v>27</v>
      </c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</row>
    <row r="60" spans="1:82" x14ac:dyDescent="0.25">
      <c r="A60" s="8" t="s">
        <v>28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7"/>
      <c r="AG60" s="7"/>
      <c r="AH60" s="7"/>
      <c r="AI60" s="7"/>
      <c r="AJ60" s="68" t="s">
        <v>29</v>
      </c>
      <c r="AK60" s="68"/>
      <c r="AL60" s="68"/>
      <c r="AM60" s="68"/>
      <c r="AN60" s="68"/>
      <c r="AO60" s="68"/>
      <c r="AP60" s="68"/>
      <c r="AQ60" s="68"/>
      <c r="AR60" s="68"/>
      <c r="AS60" s="68"/>
      <c r="AT60" s="69" t="s">
        <v>88</v>
      </c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X60" t="s">
        <v>102</v>
      </c>
    </row>
    <row r="61" spans="1:82" x14ac:dyDescent="0.25">
      <c r="A61" s="10" t="s">
        <v>30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21"/>
      <c r="O61" s="21"/>
      <c r="P61" s="21"/>
      <c r="Q61" s="70" t="str">
        <f>U34</f>
        <v>ПП2020РД-1.2-61.17-АР, изм.3, л. 11.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X61" t="s">
        <v>103</v>
      </c>
    </row>
    <row r="62" spans="1:82" ht="13.2" customHeight="1" x14ac:dyDescent="0.25">
      <c r="A62" s="8"/>
      <c r="B62" s="8"/>
      <c r="C62" s="8"/>
      <c r="D62" s="10" t="s">
        <v>31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1"/>
      <c r="X62" s="8"/>
      <c r="Y62" s="31"/>
      <c r="Z62" s="31"/>
      <c r="AA62" s="71" t="str">
        <f>AN40</f>
        <v xml:space="preserve">паспорт и инструкция по монтажу б/н (зав.№ 1800) от 20.11.2023, </v>
      </c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</row>
    <row r="63" spans="1:82" x14ac:dyDescent="0.25">
      <c r="A63" s="55" t="str">
        <f>A41</f>
        <v xml:space="preserve">паспорт и инструкция по монтажу б/н (зав.№ 1799) от 20.11.2023, паспорт и инструкция по монтажу б/н (зав.№ 1809) от 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</row>
    <row r="64" spans="1:82" x14ac:dyDescent="0.25">
      <c r="A64" s="55" t="str">
        <f t="shared" ref="A64:A71" si="1">A42</f>
        <v xml:space="preserve">20.11.2023, паспорт и инструкция по монтажу б/н (зав.№ 1808) от 20.11.2023, паспорт и инструкция по монтажу б/н 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</row>
    <row r="65" spans="1:76" x14ac:dyDescent="0.25">
      <c r="A65" s="55" t="str">
        <f t="shared" si="1"/>
        <v xml:space="preserve">(зав.№ 1804) от 20.11.2023, паспорт и инструкция по монтажу б/н (зав.№ 1806) от 20.11.2023, паспорт и инструкция по </v>
      </c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</row>
    <row r="66" spans="1:76" x14ac:dyDescent="0.25">
      <c r="A66" s="55" t="str">
        <f t="shared" si="1"/>
        <v xml:space="preserve">монтажу б/н (зав.№ 1796) от 20.11.2023, паспорт и инструкция по монтажу б/н (зав.№ 1799) от 20.11.2023, паспорт и 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</row>
    <row r="67" spans="1:76" x14ac:dyDescent="0.25">
      <c r="A67" s="55" t="str">
        <f t="shared" si="1"/>
        <v>инструкция по монтажу б/н (зав.№ 1805) от 20.11.2023, паспорт и инструкция по монтажу б/н (зав.№ 1802) от 20.11.2023,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</row>
    <row r="68" spans="1:76" x14ac:dyDescent="0.25">
      <c r="A68" s="55" t="str">
        <f t="shared" si="1"/>
        <v xml:space="preserve">паспорт и инструкция по монтажу б/н (зав.№ 1801) от 20.11.2023, паспорт и инструкция по монтажу б/н (зав.№ 1797) от 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</row>
    <row r="69" spans="1:76" x14ac:dyDescent="0.25">
      <c r="A69" s="55" t="str">
        <f t="shared" si="1"/>
        <v xml:space="preserve">20.11.2023, паспорт и инструкция по монтажу б/н (зав.№ 1798) от 20.11.2023, паспорт и инструкция по монтажу б/н 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</row>
    <row r="70" spans="1:76" x14ac:dyDescent="0.25">
      <c r="A70" s="55" t="str">
        <f t="shared" si="1"/>
        <v xml:space="preserve">(зав.№ 1808) от 20.11.2023, сертификат соответствия № ЕАЭС RU C-RU.ПБ58.В.00196/21 с 31.03.2021 по 30.03.2026,  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</row>
    <row r="71" spans="1:76" x14ac:dyDescent="0.25">
      <c r="A71" s="55" t="str">
        <f t="shared" si="1"/>
        <v>паспорт б/н от 05.09.2023, сетрификат соответствия № 04ИДЮ128.CN.С02559 с 03.04.2023 по 02.04.2026.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</row>
    <row r="72" spans="1:76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72" t="s">
        <v>32</v>
      </c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</row>
    <row r="73" spans="1:76" x14ac:dyDescent="0.25">
      <c r="A73" s="8" t="s">
        <v>33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23"/>
    </row>
    <row r="74" spans="1:76" x14ac:dyDescent="0.25">
      <c r="A74" s="50"/>
      <c r="B74" s="8"/>
      <c r="C74" s="8"/>
      <c r="D74" s="8" t="s">
        <v>34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7"/>
      <c r="X74" s="7"/>
      <c r="Y74" s="7"/>
      <c r="Z74" s="7"/>
      <c r="AA74" s="50"/>
      <c r="AB74" s="7"/>
      <c r="AC74" s="50"/>
      <c r="AD74" s="73" t="s">
        <v>35</v>
      </c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</row>
    <row r="75" spans="1:76" x14ac:dyDescent="0.25">
      <c r="A75" s="8"/>
      <c r="B75" s="8"/>
      <c r="C75" s="8"/>
      <c r="D75" s="8"/>
      <c r="E75" s="8"/>
      <c r="F75" s="8"/>
      <c r="G75" s="8"/>
      <c r="H75" s="8"/>
      <c r="I75" s="8"/>
      <c r="J75" s="74" t="s">
        <v>36</v>
      </c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</row>
    <row r="76" spans="1:76" x14ac:dyDescent="0.25">
      <c r="A76" s="10" t="s">
        <v>37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9"/>
      <c r="V76" s="28"/>
      <c r="W76" s="32"/>
      <c r="X76" s="29"/>
      <c r="Y76" s="75" t="str">
        <f>U34</f>
        <v>ПП2020РД-1.2-61.17-АР, изм.3, л. 11.</v>
      </c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X76" t="s">
        <v>104</v>
      </c>
    </row>
    <row r="77" spans="1:76" ht="0.6" hidden="1" customHeight="1" x14ac:dyDescent="0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</row>
    <row r="78" spans="1:76" x14ac:dyDescent="0.25">
      <c r="A78" s="8" t="s">
        <v>38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50"/>
      <c r="M78" s="24"/>
      <c r="N78" s="66" t="s">
        <v>131</v>
      </c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X78" t="s">
        <v>105</v>
      </c>
    </row>
    <row r="79" spans="1:7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X79" t="s">
        <v>106</v>
      </c>
    </row>
    <row r="80" spans="1:76" x14ac:dyDescent="0.25">
      <c r="A80" s="8" t="s">
        <v>39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12"/>
    </row>
    <row r="81" spans="1:72" x14ac:dyDescent="0.25">
      <c r="A81" s="8" t="s">
        <v>12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65" t="str">
        <f>BJ20</f>
        <v>Кострова Н.Л.</v>
      </c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8"/>
      <c r="AP81" s="8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8"/>
      <c r="BG81" s="8"/>
      <c r="BH81" s="63">
        <f>AE18</f>
        <v>45270</v>
      </c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12"/>
    </row>
    <row r="82" spans="1:7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64" t="s">
        <v>75</v>
      </c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30"/>
      <c r="AP82" s="30"/>
      <c r="AQ82" s="64" t="s">
        <v>40</v>
      </c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30"/>
      <c r="BG82" s="30"/>
      <c r="BH82" s="64" t="s">
        <v>41</v>
      </c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26"/>
    </row>
    <row r="83" spans="1:72" x14ac:dyDescent="0.25">
      <c r="A83" s="8" t="s">
        <v>42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12"/>
    </row>
    <row r="84" spans="1:72" x14ac:dyDescent="0.25">
      <c r="A84" s="8" t="s">
        <v>43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65" t="str">
        <f>BJ22</f>
        <v>Халыгов Э. А.</v>
      </c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8"/>
      <c r="AP84" s="8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8"/>
      <c r="BG84" s="8"/>
      <c r="BH84" s="63">
        <f>BH81</f>
        <v>45270</v>
      </c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12"/>
    </row>
    <row r="85" spans="1:7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64" t="s">
        <v>75</v>
      </c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30"/>
      <c r="AP85" s="30"/>
      <c r="AQ85" s="64" t="s">
        <v>40</v>
      </c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30"/>
      <c r="BG85" s="30"/>
      <c r="BH85" s="64" t="s">
        <v>41</v>
      </c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12"/>
    </row>
    <row r="86" spans="1:72" x14ac:dyDescent="0.25">
      <c r="A86" s="8" t="s">
        <v>39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12"/>
    </row>
    <row r="87" spans="1:72" x14ac:dyDescent="0.25">
      <c r="A87" s="8" t="s">
        <v>44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61" t="str">
        <f>BJ24</f>
        <v>Тюкин Е.В.</v>
      </c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8"/>
      <c r="AP87" s="8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8"/>
      <c r="BG87" s="8"/>
      <c r="BH87" s="63">
        <f>BH81</f>
        <v>45270</v>
      </c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12"/>
    </row>
    <row r="88" spans="1:7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64" t="s">
        <v>75</v>
      </c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30"/>
      <c r="AP88" s="30"/>
      <c r="AQ88" s="64" t="s">
        <v>40</v>
      </c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30"/>
      <c r="BG88" s="30"/>
      <c r="BH88" s="64" t="s">
        <v>41</v>
      </c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12"/>
    </row>
    <row r="89" spans="1:72" x14ac:dyDescent="0.25">
      <c r="A89" s="13"/>
      <c r="B89" s="13"/>
      <c r="C89" s="13"/>
      <c r="D89" s="7"/>
      <c r="E89" s="7"/>
      <c r="F89" s="7"/>
      <c r="G89" s="7"/>
      <c r="H89" s="7"/>
      <c r="I89" s="7"/>
      <c r="J89" s="7"/>
      <c r="K89" s="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12"/>
    </row>
    <row r="90" spans="1:72" x14ac:dyDescent="0.25">
      <c r="A90" s="57" t="s">
        <v>112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8"/>
      <c r="AP90" s="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8"/>
      <c r="BG90" s="8"/>
      <c r="BH90" s="59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12"/>
    </row>
    <row r="91" spans="1:72" x14ac:dyDescent="0.25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8"/>
      <c r="W91" s="8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8"/>
      <c r="AP91" s="8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8"/>
      <c r="BG91" s="8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12"/>
    </row>
    <row r="92" spans="1:72" x14ac:dyDescent="0.25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12"/>
    </row>
  </sheetData>
  <mergeCells count="105">
    <mergeCell ref="A13:BT13"/>
    <mergeCell ref="A14:BT14"/>
    <mergeCell ref="A15:BT15"/>
    <mergeCell ref="A16:BT16"/>
    <mergeCell ref="AN40:BT40"/>
    <mergeCell ref="A33:BT33"/>
    <mergeCell ref="U34:BT34"/>
    <mergeCell ref="A28:BT28"/>
    <mergeCell ref="A30:BT30"/>
    <mergeCell ref="A31:BT31"/>
    <mergeCell ref="A32:BT32"/>
    <mergeCell ref="A29:BT29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BX26:CD28"/>
    <mergeCell ref="E27:BT27"/>
    <mergeCell ref="A17:BT17"/>
    <mergeCell ref="AE18:AT18"/>
    <mergeCell ref="S20:BI20"/>
    <mergeCell ref="BJ20:BT20"/>
    <mergeCell ref="T21:BJ21"/>
    <mergeCell ref="S22:BI22"/>
    <mergeCell ref="BJ22:BT22"/>
    <mergeCell ref="T23:BJ23"/>
    <mergeCell ref="S24:BI24"/>
    <mergeCell ref="BJ24:BT24"/>
    <mergeCell ref="T25:BJ25"/>
    <mergeCell ref="O26:BP26"/>
    <mergeCell ref="BX34:CC37"/>
    <mergeCell ref="A35:BT35"/>
    <mergeCell ref="P36:BT36"/>
    <mergeCell ref="U37:BT37"/>
    <mergeCell ref="A38:BT38"/>
    <mergeCell ref="A41:BT41"/>
    <mergeCell ref="BX41:CD58"/>
    <mergeCell ref="A50:BT50"/>
    <mergeCell ref="A51:BT51"/>
    <mergeCell ref="D52:BT52"/>
    <mergeCell ref="D57:BT57"/>
    <mergeCell ref="Y58:BT58"/>
    <mergeCell ref="A42:BT42"/>
    <mergeCell ref="A43:BT43"/>
    <mergeCell ref="A44:BT44"/>
    <mergeCell ref="A45:BT45"/>
    <mergeCell ref="A46:BT46"/>
    <mergeCell ref="A47:BT47"/>
    <mergeCell ref="A48:BT48"/>
    <mergeCell ref="A53:BT53"/>
    <mergeCell ref="A54:BT54"/>
    <mergeCell ref="N78:BT78"/>
    <mergeCell ref="Y59:BT59"/>
    <mergeCell ref="AJ60:AS60"/>
    <mergeCell ref="AT60:BT60"/>
    <mergeCell ref="Q61:BT61"/>
    <mergeCell ref="AA62:BT62"/>
    <mergeCell ref="A63:BT63"/>
    <mergeCell ref="V72:BT72"/>
    <mergeCell ref="AD74:BT74"/>
    <mergeCell ref="J75:BT75"/>
    <mergeCell ref="Y76:BT76"/>
    <mergeCell ref="A77:BT77"/>
    <mergeCell ref="A64:BT64"/>
    <mergeCell ref="A65:BT65"/>
    <mergeCell ref="A66:BT66"/>
    <mergeCell ref="A67:BT67"/>
    <mergeCell ref="X81:AN81"/>
    <mergeCell ref="AQ81:BE81"/>
    <mergeCell ref="BH81:BS81"/>
    <mergeCell ref="X82:AN82"/>
    <mergeCell ref="AQ82:BE82"/>
    <mergeCell ref="BH82:BS82"/>
    <mergeCell ref="X84:AN84"/>
    <mergeCell ref="AQ84:BE84"/>
    <mergeCell ref="BH84:BS84"/>
    <mergeCell ref="X85:AN85"/>
    <mergeCell ref="AQ85:BE85"/>
    <mergeCell ref="BH85:BS85"/>
    <mergeCell ref="X87:AN87"/>
    <mergeCell ref="AQ87:BE87"/>
    <mergeCell ref="BH87:BS87"/>
    <mergeCell ref="X88:AN88"/>
    <mergeCell ref="AQ88:BE88"/>
    <mergeCell ref="BH88:BS88"/>
    <mergeCell ref="A90:U92"/>
    <mergeCell ref="AQ90:BE90"/>
    <mergeCell ref="BH90:BS90"/>
    <mergeCell ref="AQ91:BE91"/>
    <mergeCell ref="BH91:BS91"/>
    <mergeCell ref="A68:BT68"/>
    <mergeCell ref="A69:BT69"/>
    <mergeCell ref="A70:BT70"/>
    <mergeCell ref="A49:BT49"/>
    <mergeCell ref="A71:BT71"/>
    <mergeCell ref="A55:BT55"/>
    <mergeCell ref="A56:BT56"/>
  </mergeCells>
  <dataValidations count="4">
    <dataValidation type="list" errorStyle="information" allowBlank="1" showInputMessage="1" sqref="O26:BP26" xr:uid="{00000000-0002-0000-0100-000000000000}">
      <formula1>"выборочный,сплошной"</formula1>
    </dataValidation>
    <dataValidation type="list" allowBlank="1" showInputMessage="1" showErrorMessage="1" sqref="N26" xr:uid="{00000000-0002-0000-0100-000001000000}">
      <formula1>"выборочный,сплошной"</formula1>
    </dataValidation>
    <dataValidation type="list" allowBlank="1" showInputMessage="1" showErrorMessage="1" sqref="F6:H6 F3:H3" xr:uid="{00000000-0002-0000-0100-000002000000}">
      <formula1>"I.I,I.II,II,III,IV,V,V.I,V.II"</formula1>
    </dataValidation>
    <dataValidation type="list" showInputMessage="1" showErrorMessage="1" sqref="G7:H7" xr:uid="{00000000-0002-0000-0100-000003000000}">
      <formula1>"1,2"</formula1>
    </dataValidation>
  </dataValidations>
  <pageMargins left="0.59055118110236227" right="0.19685039370078741" top="0.39370078740157483" bottom="0.39370078740157483" header="0.19685039370078741" footer="0.19685039370078741"/>
  <pageSetup paperSize="9" scale="78" orientation="portrait" blackAndWhite="1" copies="4" r:id="rId1"/>
  <rowBreaks count="1" manualBreakCount="1">
    <brk id="61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4000000}">
          <x14:formula1>
            <xm:f>подписанты!$B$8:$B$9</xm:f>
          </x14:formula1>
          <xm:sqref>BJ24:BT24</xm:sqref>
        </x14:dataValidation>
        <x14:dataValidation type="list" allowBlank="1" showInputMessage="1" showErrorMessage="1" xr:uid="{00000000-0002-0000-0100-000005000000}">
          <x14:formula1>
            <xm:f>подписанты!$B$5:$B$7</xm:f>
          </x14:formula1>
          <xm:sqref>BJ22:BT22</xm:sqref>
        </x14:dataValidation>
        <x14:dataValidation type="list" allowBlank="1" showInputMessage="1" showErrorMessage="1" xr:uid="{00000000-0002-0000-0100-000006000000}">
          <x14:formula1>
            <xm:f>подписанты!$B$3:$B$4</xm:f>
          </x14:formula1>
          <xm:sqref>BJ20:BT20</xm:sqref>
        </x14:dataValidation>
        <x14:dataValidation type="list" errorStyle="information" allowBlank="1" showInputMessage="1" xr:uid="{00000000-0002-0000-0100-000007000000}">
          <x14:formula1>
            <xm:f>'Лист общих данных'!$B$6:$B$15</xm:f>
          </x14:formula1>
          <xm:sqref>T34:U34</xm:sqref>
        </x14:dataValidation>
        <x14:dataValidation type="list" errorStyle="warning" allowBlank="1" showInputMessage="1" showErrorMessage="1" xr:uid="{00000000-0002-0000-0100-000008000000}">
          <x14:formula1>
            <xm:f>'Лист общих данных'!$A$6:$A$15</xm:f>
          </x14:formula1>
          <xm:sqref>S37:U37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1" customWidth="1"/>
    <col min="2" max="2" width="48.109375" style="1" customWidth="1"/>
    <col min="3" max="16384" width="9.109375" style="1"/>
  </cols>
  <sheetData>
    <row r="2" spans="1:2" x14ac:dyDescent="0.25">
      <c r="A2" s="1" t="s">
        <v>47</v>
      </c>
    </row>
    <row r="3" spans="1:2" x14ac:dyDescent="0.25">
      <c r="A3" s="1" t="s">
        <v>48</v>
      </c>
    </row>
    <row r="5" spans="1:2" x14ac:dyDescent="0.25">
      <c r="A5" s="2" t="s">
        <v>51</v>
      </c>
      <c r="B5" s="2" t="s">
        <v>52</v>
      </c>
    </row>
    <row r="6" spans="1:2" x14ac:dyDescent="0.25">
      <c r="A6" s="3" t="s">
        <v>53</v>
      </c>
      <c r="B6" s="1" t="s">
        <v>63</v>
      </c>
    </row>
    <row r="7" spans="1:2" ht="27.6" x14ac:dyDescent="0.25">
      <c r="A7" s="3" t="s">
        <v>54</v>
      </c>
      <c r="B7" s="1" t="s">
        <v>64</v>
      </c>
    </row>
    <row r="8" spans="1:2" x14ac:dyDescent="0.25">
      <c r="A8" s="3" t="s">
        <v>55</v>
      </c>
      <c r="B8" s="1" t="s">
        <v>65</v>
      </c>
    </row>
    <row r="9" spans="1:2" ht="27.6" x14ac:dyDescent="0.25">
      <c r="A9" s="3" t="s">
        <v>56</v>
      </c>
      <c r="B9" s="5" t="s">
        <v>66</v>
      </c>
    </row>
    <row r="10" spans="1:2" x14ac:dyDescent="0.25">
      <c r="A10" s="3" t="s">
        <v>57</v>
      </c>
      <c r="B10" s="1" t="s">
        <v>67</v>
      </c>
    </row>
    <row r="11" spans="1:2" x14ac:dyDescent="0.25">
      <c r="A11" s="3" t="s">
        <v>58</v>
      </c>
      <c r="B11" s="1" t="s">
        <v>68</v>
      </c>
    </row>
    <row r="12" spans="1:2" x14ac:dyDescent="0.25">
      <c r="A12" s="3" t="s">
        <v>59</v>
      </c>
      <c r="B12" s="1" t="s">
        <v>69</v>
      </c>
    </row>
    <row r="13" spans="1:2" ht="27.6" x14ac:dyDescent="0.25">
      <c r="A13" s="3" t="s">
        <v>60</v>
      </c>
      <c r="B13" s="4" t="s">
        <v>70</v>
      </c>
    </row>
    <row r="14" spans="1:2" ht="27.6" x14ac:dyDescent="0.25">
      <c r="A14" s="3" t="s">
        <v>61</v>
      </c>
      <c r="B14" s="6" t="s">
        <v>71</v>
      </c>
    </row>
    <row r="15" spans="1:2" ht="27.6" x14ac:dyDescent="0.25">
      <c r="A15" s="3" t="s">
        <v>62</v>
      </c>
      <c r="B15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подписанты</vt:lpstr>
      <vt:lpstr>№15.1 козырек</vt:lpstr>
      <vt:lpstr>Лист общих данных</vt:lpstr>
      <vt:lpstr>'№15.1 козырек'!Область_печати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2025-07-18T11:25:36Z</cp:lastPrinted>
  <dcterms:created xsi:type="dcterms:W3CDTF">2023-09-19T09:44:50Z</dcterms:created>
  <dcterms:modified xsi:type="dcterms:W3CDTF">2025-07-18T11:31:37Z</dcterms:modified>
</cp:coreProperties>
</file>