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Z:\Стажеры\Вита\АР\61.17\"/>
    </mc:Choice>
  </mc:AlternateContent>
  <xr:revisionPtr revIDLastSave="0" documentId="13_ncr:1_{450305C4-41C3-4868-9C27-D050C23D53F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акт!$A$1:$BT$71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8" l="1"/>
  <c r="A49" i="18"/>
  <c r="A50" i="18"/>
  <c r="A51" i="18"/>
  <c r="A48" i="18" l="1"/>
  <c r="D40" i="18"/>
  <c r="AA47" i="18"/>
  <c r="Q46" i="18" l="1"/>
  <c r="BW15" i="18" l="1"/>
  <c r="S21" i="18" l="1"/>
  <c r="S19" i="18"/>
  <c r="S17" i="18"/>
  <c r="X67" i="18" l="1"/>
  <c r="X64" i="18"/>
  <c r="BH61" i="18"/>
  <c r="BH67" i="18" s="1"/>
  <c r="X61" i="18"/>
  <c r="Y56" i="18"/>
  <c r="BH64" i="18" l="1"/>
</calcChain>
</file>

<file path=xl/sharedStrings.xml><?xml version="1.0" encoding="utf-8"?>
<sst xmlns="http://schemas.openxmlformats.org/spreadsheetml/2006/main" count="145" uniqueCount="122">
  <si>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</si>
  <si>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</si>
  <si>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</si>
  <si>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</si>
  <si>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</si>
  <si>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</si>
  <si>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</si>
  <si>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</si>
  <si>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</si>
  <si>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</si>
  <si>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</si>
  <si>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</si>
  <si>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</si>
  <si>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</si>
  <si>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</si>
  <si>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</si>
  <si>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</si>
  <si>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</si>
  <si>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</si>
  <si>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</si>
  <si>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</si>
  <si>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</si>
  <si>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</si>
  <si>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</si>
  <si>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</si>
  <si>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</si>
  <si>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</si>
  <si>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</si>
  <si>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</si>
  <si>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</si>
  <si>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</si>
  <si>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</si>
  <si>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</si>
  <si>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</si>
  <si>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</si>
  <si>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</si>
  <si>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</si>
  <si>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</si>
  <si>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</si>
  <si>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</si>
  <si>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</si>
  <si>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</si>
  <si>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</si>
  <si>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</si>
  <si>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</si>
  <si>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</si>
  <si>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</si>
  <si>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</si>
  <si>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</si>
  <si>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</si>
  <si>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</si>
  <si>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</si>
  <si>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</si>
  <si>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</si>
  <si>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</si>
  <si>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</si>
  <si>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</si>
  <si>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</si>
  <si>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</si>
  <si>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</si>
  <si>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</si>
  <si>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</si>
  <si>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</si>
  <si>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</si>
  <si>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</si>
  <si>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</si>
  <si>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</si>
  <si>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</si>
  <si>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</si>
  <si>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</si>
  <si>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</si>
  <si>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</si>
  <si>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</si>
  <si>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</si>
  <si>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</si>
  <si>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</si>
  <si>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</si>
  <si>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</si>
  <si>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</si>
  <si>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</si>
  <si>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</si>
  <si>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</si>
  <si>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</si>
  <si>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</si>
  <si>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</si>
  <si>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</si>
  <si>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</si>
  <si>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</si>
  <si>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</si>
  <si>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</si>
  <si>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</si>
  <si>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</si>
  <si>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</si>
  <si>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</si>
  <si>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</si>
  <si>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</si>
  <si>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</si>
  <si>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</si>
  <si>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</si>
  <si>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</si>
  <si>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</si>
  <si>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</si>
  <si>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</si>
  <si>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</si>
  <si>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</si>
  <si>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</si>
  <si>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</si>
  <si>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</si>
  <si>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-</t>
  </si>
  <si>
    <t>Ведущий инженер отдела технического надзора АО «Газстройпроект»</t>
  </si>
  <si>
    <t>АИР 1.2-61.17-АР/129р</t>
  </si>
  <si>
    <t xml:space="preserve">паспорт качества №239834-7 от 02.08.2023, декларация о </t>
  </si>
  <si>
    <t xml:space="preserve">соответствии №РОСС RU Д-RU.РА01.В.64306/20 с 29.12.2020 по 31.12.2025, экспертное заключение </t>
  </si>
  <si>
    <t xml:space="preserve">№77.01.16.П.000793.01.12 от 27.01.2012, паспорт качества №752 от 17.07.2023, сертификат соответствия </t>
  </si>
  <si>
    <t xml:space="preserve">№РОСС RU.AM05.H13540 с 19.05.2022 по 18.05.2025, паспорт удостоверения качества б/н от 11.09.2023, сертификат </t>
  </si>
  <si>
    <t xml:space="preserve">ТУ 5763-001-73090654-2009 с изм. 1-6, ГОСТ 32314-2012, ТУ 20.16.10-002-36690888-2019, </t>
  </si>
  <si>
    <t>ТУ 2257-001-46288087-2009</t>
  </si>
  <si>
    <t>ПП2020РД-1.2-61.17-АР изм. 3 лист 19</t>
  </si>
  <si>
    <t>Изделия тепло-звукоизоляционные из стеклянного шпательного волокна - 2,86 м3, уплотнительная лента из ППЭ -</t>
  </si>
  <si>
    <t xml:space="preserve"> 87 шт., силиконовый герметик 600мл - 91 шт.</t>
  </si>
  <si>
    <t>соответствия №РОСС RU.HB65.H01745/21 с 15.06.2021 по 14.06.2024</t>
  </si>
  <si>
    <t>Минеральная вата t=50мм, Лента уплотнительная ППЭ (изолон) 4х30 - рулон 6 п.м., Силиконовый герметик 600 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</si>
</sst>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11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center" vertical="top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0" fontId="16" fillId="2" borderId="0" xfId="1" applyFont="1" applyFill="1" applyAlignment="1">
      <alignment horizontal="center" vertical="top"/>
    </xf>
    <xf numFmtId="0" fontId="16" fillId="2" borderId="2" xfId="1" applyFont="1" applyFill="1" applyBorder="1" applyAlignment="1">
      <alignment horizontal="center" vertical="top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0" fontId="12" fillId="3" borderId="1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6" fillId="2" borderId="0" xfId="1" applyFont="1" applyFill="1" applyAlignment="1">
      <alignment horizontal="center" vertical="center"/>
    </xf>
    <xf numFmtId="14" fontId="14" fillId="4" borderId="1" xfId="1" applyNumberFormat="1" applyFont="1" applyFill="1" applyBorder="1" applyAlignment="1">
      <alignment horizontal="left" vertical="center" wrapText="1"/>
    </xf>
    <xf numFmtId="14" fontId="14" fillId="4" borderId="1" xfId="1" applyNumberFormat="1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center"/>
    </xf>
    <xf numFmtId="14" fontId="14" fillId="2" borderId="0" xfId="1" applyNumberFormat="1" applyFont="1" applyFill="1" applyAlignment="1">
      <alignment horizontal="center" wrapText="1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3" fillId="2" borderId="0" xfId="1" applyFont="1" applyFill="1" applyAlignment="1">
      <alignment horizontal="left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0" fontId="12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165" fontId="12" fillId="3" borderId="1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165" fontId="14" fillId="3" borderId="1" xfId="1" applyNumberFormat="1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left"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4" fillId="3" borderId="1" xfId="1" applyFont="1" applyFill="1" applyBorder="1" applyAlignment="1">
      <alignment horizontal="left" vertical="center" wrapText="1"/>
    </xf>
    <xf numFmtId="0" fontId="17" fillId="0" borderId="2" xfId="1" applyFont="1" applyBorder="1" applyAlignment="1">
      <alignment horizontal="center" vertical="top"/>
    </xf>
    <xf numFmtId="14" fontId="14" fillId="4" borderId="1" xfId="1" applyNumberFormat="1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horizontal="left"/>
    </xf>
    <xf numFmtId="0" fontId="12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14" fontId="14" fillId="2" borderId="0" xfId="1" applyNumberFormat="1" applyFont="1" applyFill="1" applyAlignment="1">
      <alignment horizontal="center" vertical="top" wrapText="1"/>
    </xf>
    <xf numFmtId="14" fontId="16" fillId="2" borderId="0" xfId="1" applyNumberFormat="1" applyFont="1" applyFill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14" fontId="12" fillId="2" borderId="0" xfId="1" applyNumberFormat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4" fillId="2" borderId="0" xfId="1" applyFont="1" applyFill="1" applyAlignment="1">
      <alignment horizontal="left" vertical="top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27</xdr:row>
      <xdr:rowOff>0</xdr:rowOff>
    </xdr:from>
    <xdr:to>
      <xdr:col>75</xdr:col>
      <xdr:colOff>521970</xdr:colOff>
      <xdr:row>29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32</xdr:row>
      <xdr:rowOff>0</xdr:rowOff>
    </xdr:from>
    <xdr:to>
      <xdr:col>75</xdr:col>
      <xdr:colOff>521970</xdr:colOff>
      <xdr:row>37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51</xdr:row>
      <xdr:rowOff>0</xdr:rowOff>
    </xdr:from>
    <xdr:to>
      <xdr:col>75</xdr:col>
      <xdr:colOff>521970</xdr:colOff>
      <xdr:row>52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63</xdr:row>
      <xdr:rowOff>0</xdr:rowOff>
    </xdr:from>
    <xdr:to>
      <xdr:col>75</xdr:col>
      <xdr:colOff>521970</xdr:colOff>
      <xdr:row>65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72"/>
  <sheetViews>
    <sheetView tabSelected="1" view="pageBreakPreview" topLeftCell="A9" zoomScaleNormal="100" zoomScaleSheetLayoutView="100" workbookViewId="0">
      <selection activeCell="A13" sqref="A13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78" t="s">
        <v>4</v>
      </c>
      <c r="B3" s="78"/>
      <c r="C3" s="78"/>
      <c r="D3" s="78"/>
      <c r="E3" s="78"/>
      <c r="F3" s="79" t="s">
        <v>5</v>
      </c>
      <c r="G3" s="79"/>
      <c r="H3" s="79"/>
      <c r="I3" s="75" t="s">
        <v>6</v>
      </c>
      <c r="J3" s="75"/>
      <c r="K3" s="7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x14ac:dyDescent="0.25">
      <c r="A6" s="78"/>
      <c r="B6" s="78"/>
      <c r="C6" s="78"/>
      <c r="D6" s="78"/>
      <c r="E6" s="78"/>
      <c r="F6" s="79"/>
      <c r="G6" s="79"/>
      <c r="H6" s="79"/>
      <c r="I6" s="75"/>
      <c r="J6" s="75"/>
      <c r="K6" s="7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73" t="s">
        <v>61</v>
      </c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</row>
    <row r="7" spans="1:75" x14ac:dyDescent="0.25">
      <c r="A7" s="8"/>
      <c r="B7" s="8"/>
      <c r="C7" s="8"/>
      <c r="D7" s="8"/>
      <c r="E7" s="8"/>
      <c r="F7" s="8"/>
      <c r="G7" s="74"/>
      <c r="H7" s="74"/>
      <c r="I7" s="75"/>
      <c r="J7" s="75"/>
      <c r="K7" s="75"/>
      <c r="L7" s="75"/>
      <c r="M7" s="75"/>
      <c r="N7" s="75"/>
      <c r="O7" s="7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76" t="s">
        <v>110</v>
      </c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77" t="s">
        <v>45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</row>
    <row r="11" spans="1:75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16.2" customHeight="1" x14ac:dyDescent="0.25">
      <c r="A12" s="70" t="s">
        <v>121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</row>
    <row r="13" spans="1:75" ht="9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5" ht="12" customHeight="1" x14ac:dyDescent="0.25">
      <c r="A14" s="72" t="s">
        <v>46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</row>
    <row r="15" spans="1:7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3" t="s">
        <v>9</v>
      </c>
      <c r="AB15" s="8"/>
      <c r="AC15" s="8"/>
      <c r="AD15" s="8"/>
      <c r="AE15" s="71">
        <v>45245</v>
      </c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16"/>
      <c r="AV15" s="16"/>
      <c r="AW15" s="16"/>
      <c r="AX15" s="16"/>
      <c r="AY15" s="16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4">
        <f>AE15</f>
        <v>45245</v>
      </c>
    </row>
    <row r="16" spans="1:75" x14ac:dyDescent="0.25">
      <c r="A16" s="8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</row>
    <row r="17" spans="1:83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64" t="str">
        <f>VLOOKUP(BJ17,подписанты!$B$3:$C$11,2,FALSE)</f>
        <v>Руководитель группы МТО АО «Газстройпроект»</v>
      </c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1" t="s">
        <v>63</v>
      </c>
      <c r="BK17" s="61"/>
      <c r="BL17" s="61"/>
      <c r="BM17" s="61"/>
      <c r="BN17" s="61"/>
      <c r="BO17" s="61"/>
      <c r="BP17" s="61"/>
      <c r="BQ17" s="61"/>
      <c r="BR17" s="61"/>
      <c r="BS17" s="61"/>
      <c r="BT17" s="61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63" t="s">
        <v>13</v>
      </c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27"/>
      <c r="BL18" s="27"/>
      <c r="BM18" s="27"/>
      <c r="BN18" s="27"/>
      <c r="BO18" s="27"/>
      <c r="BP18" s="17"/>
      <c r="BQ18" s="17"/>
      <c r="BR18" s="17"/>
      <c r="BS18" s="17"/>
      <c r="BT18" s="17"/>
    </row>
    <row r="19" spans="1:83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60" t="str">
        <f>VLOOKUP(BJ19,подписанты!$B$3:$C$11,2,FALSE)</f>
        <v>Инженер отдела технического надзора АО «Газстройпроект»</v>
      </c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1" t="s">
        <v>68</v>
      </c>
      <c r="BK19" s="61"/>
      <c r="BL19" s="61"/>
      <c r="BM19" s="61"/>
      <c r="BN19" s="61"/>
      <c r="BO19" s="61"/>
      <c r="BP19" s="61"/>
      <c r="BQ19" s="61"/>
      <c r="BR19" s="61"/>
      <c r="BS19" s="61"/>
      <c r="BT19" s="61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2" t="s">
        <v>13</v>
      </c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3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1:83" ht="40.049999999999997" customHeight="1" x14ac:dyDescent="0.25">
      <c r="A21" s="8" t="s">
        <v>15</v>
      </c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64" t="str">
        <f>VLOOKUP(BJ21,подписанты!$B$3:$C$11,2,FALSE)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5" t="s">
        <v>91</v>
      </c>
      <c r="BK21" s="65"/>
      <c r="BL21" s="65"/>
      <c r="BM21" s="65"/>
      <c r="BN21" s="65"/>
      <c r="BO21" s="65"/>
      <c r="BP21" s="65"/>
      <c r="BQ21" s="65"/>
      <c r="BR21" s="65"/>
      <c r="BS21" s="65"/>
      <c r="BT21" s="65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63" t="s">
        <v>13</v>
      </c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83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8"/>
      <c r="O23" s="66" t="s">
        <v>89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8" t="s">
        <v>17</v>
      </c>
      <c r="BR23" s="13"/>
      <c r="BS23" s="13"/>
      <c r="BT23" s="13"/>
      <c r="BY23" s="95" t="s">
        <v>80</v>
      </c>
      <c r="BZ23" s="95"/>
      <c r="CA23" s="95"/>
      <c r="CB23" s="95"/>
      <c r="CC23" s="95"/>
      <c r="CD23" s="95"/>
      <c r="CE23" s="95"/>
    </row>
    <row r="24" spans="1:83" ht="13.8" customHeight="1" x14ac:dyDescent="0.25">
      <c r="A24" s="8"/>
      <c r="B24" s="8"/>
      <c r="C24" s="8"/>
      <c r="D24" s="8"/>
      <c r="E24" s="68" t="s">
        <v>47</v>
      </c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Y24" s="95"/>
      <c r="BZ24" s="95"/>
      <c r="CA24" s="95"/>
      <c r="CB24" s="95"/>
      <c r="CC24" s="95"/>
      <c r="CD24" s="95"/>
      <c r="CE24" s="95"/>
    </row>
    <row r="25" spans="1:83" ht="16.2" customHeight="1" x14ac:dyDescent="0.25">
      <c r="A25" s="69" t="s">
        <v>118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Y25" s="58"/>
      <c r="BZ25" s="58"/>
      <c r="CA25" s="58"/>
      <c r="CB25" s="58"/>
      <c r="CC25" s="58"/>
      <c r="CD25" s="58"/>
      <c r="CE25" s="58"/>
    </row>
    <row r="26" spans="1:83" ht="16.2" customHeight="1" x14ac:dyDescent="0.25">
      <c r="A26" s="69" t="s">
        <v>119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Y26" s="58"/>
      <c r="BZ26" s="58"/>
      <c r="CA26" s="58"/>
      <c r="CB26" s="58"/>
      <c r="CC26" s="58"/>
      <c r="CD26" s="58"/>
      <c r="CE26" s="58"/>
    </row>
    <row r="27" spans="1:83" x14ac:dyDescent="0.25">
      <c r="A27" s="103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83" ht="13.8" customHeight="1" x14ac:dyDescent="0.25">
      <c r="A28" s="10" t="s">
        <v>18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6"/>
      <c r="S28" s="8"/>
      <c r="T28" s="55"/>
      <c r="U28" s="105" t="s">
        <v>117</v>
      </c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Y28" s="95" t="s">
        <v>81</v>
      </c>
      <c r="BZ28" s="95"/>
      <c r="CA28" s="95"/>
      <c r="CB28" s="95"/>
      <c r="CC28" s="95"/>
      <c r="CD28" s="95"/>
    </row>
    <row r="29" spans="1:83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6" t="s">
        <v>19</v>
      </c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Y29" s="95"/>
      <c r="BZ29" s="95"/>
      <c r="CA29" s="95"/>
      <c r="CB29" s="95"/>
      <c r="CC29" s="95"/>
      <c r="CD29" s="95"/>
    </row>
    <row r="30" spans="1:83" x14ac:dyDescent="0.25">
      <c r="A30" s="10" t="s">
        <v>20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1"/>
      <c r="T30" s="21"/>
      <c r="U30" s="107" t="s">
        <v>51</v>
      </c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  <c r="BY30" s="95"/>
      <c r="BZ30" s="95"/>
      <c r="CA30" s="95"/>
      <c r="CB30" s="95"/>
      <c r="CC30" s="95"/>
      <c r="CD30" s="95"/>
    </row>
    <row r="31" spans="1:83" x14ac:dyDescent="0.25">
      <c r="A31" s="62" t="s">
        <v>21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</row>
    <row r="32" spans="1:83" x14ac:dyDescent="0.25">
      <c r="A32" s="8"/>
      <c r="B32" s="8"/>
      <c r="C32" s="8"/>
      <c r="D32" s="8" t="s">
        <v>22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G32" s="7"/>
      <c r="AH32" s="7"/>
      <c r="AI32" s="7"/>
      <c r="AJ32" s="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</row>
    <row r="33" spans="1:83" x14ac:dyDescent="0.25">
      <c r="A33" s="8" t="s">
        <v>23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1"/>
      <c r="AJ33" s="8"/>
      <c r="AK33" s="99" t="s">
        <v>111</v>
      </c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  <c r="BP33" s="99"/>
      <c r="BQ33" s="99"/>
      <c r="BR33" s="99"/>
      <c r="BS33" s="99"/>
      <c r="BT33" s="99"/>
      <c r="BY33" s="44" t="s">
        <v>82</v>
      </c>
    </row>
    <row r="34" spans="1:83" x14ac:dyDescent="0.25">
      <c r="A34" s="100" t="s">
        <v>112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Y34" s="95" t="s">
        <v>83</v>
      </c>
      <c r="BZ34" s="95"/>
      <c r="CA34" s="95"/>
      <c r="CB34" s="95"/>
      <c r="CC34" s="95"/>
      <c r="CD34" s="95"/>
      <c r="CE34" s="95"/>
    </row>
    <row r="35" spans="1:83" x14ac:dyDescent="0.25">
      <c r="A35" s="100" t="s">
        <v>113</v>
      </c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Y35" s="95"/>
      <c r="BZ35" s="95"/>
      <c r="CA35" s="95"/>
      <c r="CB35" s="95"/>
      <c r="CC35" s="95"/>
      <c r="CD35" s="95"/>
      <c r="CE35" s="95"/>
    </row>
    <row r="36" spans="1:83" x14ac:dyDescent="0.25">
      <c r="A36" s="100" t="s">
        <v>114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Y36" s="95"/>
      <c r="BZ36" s="95"/>
      <c r="CA36" s="95"/>
      <c r="CB36" s="95"/>
      <c r="CC36" s="95"/>
      <c r="CD36" s="95"/>
      <c r="CE36" s="95"/>
    </row>
    <row r="37" spans="1:83" x14ac:dyDescent="0.25">
      <c r="A37" s="100" t="s">
        <v>120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Y37" s="95"/>
      <c r="BZ37" s="95"/>
      <c r="CA37" s="95"/>
      <c r="CB37" s="95"/>
      <c r="CC37" s="95"/>
      <c r="CD37" s="95"/>
      <c r="CE37" s="95"/>
    </row>
    <row r="38" spans="1:83" x14ac:dyDescent="0.25">
      <c r="A38" s="63" t="s">
        <v>24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Y38" s="95"/>
      <c r="BZ38" s="95"/>
      <c r="CA38" s="95"/>
      <c r="CB38" s="95"/>
      <c r="CC38" s="95"/>
      <c r="CD38" s="95"/>
      <c r="CE38" s="95"/>
    </row>
    <row r="39" spans="1:83" x14ac:dyDescent="0.25">
      <c r="A39" s="101" t="s">
        <v>57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Y39" s="95"/>
      <c r="BZ39" s="95"/>
      <c r="CA39" s="95"/>
      <c r="CB39" s="95"/>
      <c r="CC39" s="95"/>
      <c r="CD39" s="95"/>
      <c r="CE39" s="95"/>
    </row>
    <row r="40" spans="1:83" ht="16.8" customHeight="1" x14ac:dyDescent="0.25">
      <c r="A40" s="18" t="s">
        <v>58</v>
      </c>
      <c r="B40" s="19"/>
      <c r="C40" s="19"/>
      <c r="D40" s="96" t="str">
        <f>A25</f>
        <v>Изделия тепло-звукоизоляционные из стеклянного шпательного волокна - 2,86 м3, уплотнительная лента из ППЭ -</v>
      </c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Y40" s="95"/>
      <c r="BZ40" s="95"/>
      <c r="CA40" s="95"/>
      <c r="CB40" s="95"/>
      <c r="CC40" s="95"/>
      <c r="CD40" s="95"/>
      <c r="CE40" s="95"/>
    </row>
    <row r="41" spans="1:83" ht="16.8" customHeight="1" x14ac:dyDescent="0.25">
      <c r="A41" s="18"/>
      <c r="B41" s="19"/>
      <c r="C41" s="19"/>
      <c r="D41" s="96" t="str">
        <f>A26</f>
        <v xml:space="preserve"> 87 шт., силиконовый герметик 600мл - 91 шт.</v>
      </c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Y41" s="95"/>
      <c r="BZ41" s="95"/>
      <c r="CA41" s="95"/>
      <c r="CB41" s="95"/>
      <c r="CC41" s="95"/>
      <c r="CD41" s="95"/>
      <c r="CE41" s="95"/>
    </row>
    <row r="42" spans="1:83" x14ac:dyDescent="0.25">
      <c r="A42" s="8"/>
      <c r="B42" s="8"/>
      <c r="C42" s="8"/>
      <c r="D42" s="98" t="s">
        <v>25</v>
      </c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Y42" s="95"/>
      <c r="BZ42" s="95"/>
      <c r="CA42" s="95"/>
      <c r="CB42" s="95"/>
      <c r="CC42" s="95"/>
      <c r="CD42" s="95"/>
      <c r="CE42" s="95"/>
    </row>
    <row r="43" spans="1:83" x14ac:dyDescent="0.25">
      <c r="A43" s="8" t="s">
        <v>26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33"/>
      <c r="Y43" s="84" t="s">
        <v>108</v>
      </c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Y43" s="95"/>
      <c r="BZ43" s="95"/>
      <c r="CA43" s="95"/>
      <c r="CB43" s="95"/>
      <c r="CC43" s="95"/>
      <c r="CD43" s="95"/>
      <c r="CE43" s="95"/>
    </row>
    <row r="44" spans="1:83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20"/>
      <c r="Y44" s="62" t="s">
        <v>27</v>
      </c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Y44" s="95"/>
      <c r="BZ44" s="95"/>
      <c r="CA44" s="95"/>
      <c r="CB44" s="95"/>
      <c r="CC44" s="95"/>
      <c r="CD44" s="95"/>
      <c r="CE44" s="95"/>
    </row>
    <row r="45" spans="1:83" x14ac:dyDescent="0.25">
      <c r="A45" s="8" t="s">
        <v>28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7"/>
      <c r="AG45" s="7"/>
      <c r="AH45" s="7"/>
      <c r="AI45" s="7"/>
      <c r="AJ45" s="90" t="s">
        <v>29</v>
      </c>
      <c r="AK45" s="90"/>
      <c r="AL45" s="90"/>
      <c r="AM45" s="90"/>
      <c r="AN45" s="90"/>
      <c r="AO45" s="90"/>
      <c r="AP45" s="90"/>
      <c r="AQ45" s="90"/>
      <c r="AR45" s="90"/>
      <c r="AS45" s="90"/>
      <c r="AT45" s="91" t="s">
        <v>72</v>
      </c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Y45" s="95"/>
      <c r="BZ45" s="95"/>
      <c r="CA45" s="95"/>
      <c r="CB45" s="95"/>
      <c r="CC45" s="95"/>
      <c r="CD45" s="95"/>
      <c r="CE45" s="95"/>
    </row>
    <row r="46" spans="1:83" x14ac:dyDescent="0.25">
      <c r="A46" s="10" t="s">
        <v>30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55"/>
      <c r="O46" s="55"/>
      <c r="P46" s="55"/>
      <c r="Q46" s="92" t="str">
        <f>U28</f>
        <v>ПП2020РД-1.2-61.17-АР изм. 3 лист 19</v>
      </c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2"/>
      <c r="BT46" s="92"/>
      <c r="BU46" s="57"/>
      <c r="BY46" s="95"/>
      <c r="BZ46" s="95"/>
      <c r="CA46" s="95"/>
      <c r="CB46" s="95"/>
      <c r="CC46" s="95"/>
      <c r="CD46" s="95"/>
      <c r="CE46" s="95"/>
    </row>
    <row r="47" spans="1:83" x14ac:dyDescent="0.25">
      <c r="A47" s="8"/>
      <c r="B47" s="8"/>
      <c r="C47" s="8"/>
      <c r="D47" s="10" t="s">
        <v>31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1"/>
      <c r="X47" s="8"/>
      <c r="Y47" s="32"/>
      <c r="Z47" s="32"/>
      <c r="AA47" s="93" t="str">
        <f>AK33</f>
        <v xml:space="preserve">паспорт качества №239834-7 от 02.08.2023, декларация о </v>
      </c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Y47" s="95"/>
      <c r="BZ47" s="95"/>
      <c r="CA47" s="95"/>
      <c r="CB47" s="95"/>
      <c r="CC47" s="95"/>
      <c r="CD47" s="95"/>
      <c r="CE47" s="95"/>
    </row>
    <row r="48" spans="1:83" x14ac:dyDescent="0.25">
      <c r="A48" s="94" t="str">
        <f>A34</f>
        <v xml:space="preserve">соответствии №РОСС RU Д-RU.РА01.В.64306/20 с 29.12.2020 по 31.12.2025, экспертное заключение </v>
      </c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</row>
    <row r="49" spans="1:77" x14ac:dyDescent="0.25">
      <c r="A49" s="94" t="str">
        <f t="shared" ref="A49:A51" si="0">A35</f>
        <v xml:space="preserve">№77.01.16.П.000793.01.12 от 27.01.2012, паспорт качества №752 от 17.07.2023, сертификат соответствия 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</row>
    <row r="50" spans="1:77" x14ac:dyDescent="0.25">
      <c r="A50" s="94" t="str">
        <f t="shared" si="0"/>
        <v xml:space="preserve">№РОСС RU.AM05.H13540 с 19.05.2022 по 18.05.2025, паспорт удостоверения качества б/н от 11.09.2023, сертификат 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4"/>
      <c r="BQ50" s="94"/>
      <c r="BR50" s="94"/>
      <c r="BS50" s="94"/>
      <c r="BT50" s="94"/>
    </row>
    <row r="51" spans="1:77" x14ac:dyDescent="0.25">
      <c r="A51" s="94" t="str">
        <f t="shared" si="0"/>
        <v>соответствия №РОСС RU.HB65.H01745/21 с 15.06.2021 по 14.06.2024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</row>
    <row r="52" spans="1:77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86" t="s">
        <v>32</v>
      </c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Y52" t="s">
        <v>84</v>
      </c>
    </row>
    <row r="53" spans="1:77" x14ac:dyDescent="0.25">
      <c r="A53" s="8" t="s">
        <v>33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23"/>
      <c r="BY53" t="s">
        <v>85</v>
      </c>
    </row>
    <row r="54" spans="1:77" x14ac:dyDescent="0.25">
      <c r="A54" s="34"/>
      <c r="B54" s="8"/>
      <c r="C54" s="8"/>
      <c r="D54" s="8" t="s">
        <v>34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7"/>
      <c r="X54" s="7"/>
      <c r="Y54" s="7"/>
      <c r="Z54" s="7"/>
      <c r="AA54" s="34"/>
      <c r="AB54" s="7"/>
      <c r="AC54" s="34"/>
      <c r="AD54" s="87" t="s">
        <v>35</v>
      </c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</row>
    <row r="55" spans="1:77" x14ac:dyDescent="0.25">
      <c r="A55" s="8"/>
      <c r="B55" s="8"/>
      <c r="C55" s="8"/>
      <c r="D55" s="8"/>
      <c r="E55" s="8"/>
      <c r="F55" s="8"/>
      <c r="G55" s="8"/>
      <c r="H55" s="8"/>
      <c r="I55" s="8"/>
      <c r="J55" s="89" t="s">
        <v>36</v>
      </c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</row>
    <row r="56" spans="1:77" x14ac:dyDescent="0.25">
      <c r="A56" s="10" t="s">
        <v>37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9"/>
      <c r="V56" s="28"/>
      <c r="W56" s="35"/>
      <c r="X56" s="29"/>
      <c r="Y56" s="83" t="str">
        <f>U28</f>
        <v>ПП2020РД-1.2-61.17-АР изм. 3 лист 19</v>
      </c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</row>
    <row r="57" spans="1:77" x14ac:dyDescent="0.25">
      <c r="A57" s="8" t="s">
        <v>38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34"/>
      <c r="M57" s="24"/>
      <c r="N57" s="88" t="s">
        <v>115</v>
      </c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</row>
    <row r="58" spans="1:77" x14ac:dyDescent="0.25">
      <c r="A58" s="100" t="s">
        <v>116</v>
      </c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</row>
    <row r="59" spans="1:77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</row>
    <row r="60" spans="1:77" x14ac:dyDescent="0.25">
      <c r="A60" s="8" t="s">
        <v>39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12"/>
    </row>
    <row r="61" spans="1:77" x14ac:dyDescent="0.25">
      <c r="A61" s="8" t="s">
        <v>12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0" t="str">
        <f>BJ17</f>
        <v>Кострова Н.Л.</v>
      </c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"/>
      <c r="AP61" s="8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"/>
      <c r="BG61" s="8"/>
      <c r="BH61" s="82">
        <f>AE15</f>
        <v>45245</v>
      </c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12"/>
    </row>
    <row r="62" spans="1:77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63" t="s">
        <v>59</v>
      </c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30"/>
      <c r="AP62" s="30"/>
      <c r="AQ62" s="63" t="s">
        <v>40</v>
      </c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30"/>
      <c r="BG62" s="30"/>
      <c r="BH62" s="63" t="s">
        <v>41</v>
      </c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26"/>
    </row>
    <row r="63" spans="1:77" x14ac:dyDescent="0.25">
      <c r="A63" s="8" t="s">
        <v>42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12"/>
    </row>
    <row r="64" spans="1:77" x14ac:dyDescent="0.25">
      <c r="A64" s="8" t="s">
        <v>43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0" t="str">
        <f>BJ19</f>
        <v>Халыгов Э. А.</v>
      </c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"/>
      <c r="AP64" s="8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"/>
      <c r="BG64" s="8"/>
      <c r="BH64" s="82">
        <f>BH61</f>
        <v>45245</v>
      </c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12"/>
      <c r="BY64" t="s">
        <v>86</v>
      </c>
    </row>
    <row r="65" spans="1:77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63" t="s">
        <v>59</v>
      </c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30"/>
      <c r="AP65" s="30"/>
      <c r="AQ65" s="63" t="s">
        <v>40</v>
      </c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30"/>
      <c r="BG65" s="30"/>
      <c r="BH65" s="63" t="s">
        <v>41</v>
      </c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12"/>
    </row>
    <row r="66" spans="1:77" ht="16.2" customHeight="1" x14ac:dyDescent="0.25">
      <c r="A66" s="8" t="s">
        <v>39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2"/>
      <c r="BY66" t="s">
        <v>87</v>
      </c>
    </row>
    <row r="67" spans="1:77" x14ac:dyDescent="0.25">
      <c r="A67" s="8" t="s">
        <v>44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66" t="str">
        <f>BJ21</f>
        <v>Тюкин Е.В.</v>
      </c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8"/>
      <c r="AP67" s="8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"/>
      <c r="BG67" s="8"/>
      <c r="BH67" s="82">
        <f>BH61</f>
        <v>45245</v>
      </c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12"/>
      <c r="BY67" t="s">
        <v>88</v>
      </c>
    </row>
    <row r="68" spans="1:77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63" t="s">
        <v>59</v>
      </c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30"/>
      <c r="AP68" s="30"/>
      <c r="AQ68" s="63" t="s">
        <v>40</v>
      </c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30"/>
      <c r="BG68" s="30"/>
      <c r="BH68" s="63" t="s">
        <v>41</v>
      </c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12"/>
    </row>
    <row r="69" spans="1:77" x14ac:dyDescent="0.25">
      <c r="A69" s="13"/>
      <c r="B69" s="13"/>
      <c r="C69" s="13"/>
      <c r="D69" s="7"/>
      <c r="E69" s="7"/>
      <c r="F69" s="7"/>
      <c r="G69" s="7"/>
      <c r="H69" s="7"/>
      <c r="I69" s="7"/>
      <c r="J69" s="7"/>
      <c r="K69" s="7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2"/>
    </row>
    <row r="70" spans="1:77" ht="13.8" customHeight="1" x14ac:dyDescent="0.25">
      <c r="A70" s="110" t="s">
        <v>107</v>
      </c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3"/>
      <c r="AN70" s="13"/>
      <c r="AO70" s="8"/>
      <c r="AP70" s="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8"/>
      <c r="BG70" s="8"/>
      <c r="BH70" s="10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12"/>
    </row>
    <row r="71" spans="1:77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0"/>
      <c r="AN71" s="10"/>
      <c r="AO71" s="8"/>
      <c r="AP71" s="8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8"/>
      <c r="BG71" s="8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2"/>
    </row>
    <row r="72" spans="1:77" ht="16.8" customHeight="1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2"/>
    </row>
  </sheetData>
  <mergeCells count="85">
    <mergeCell ref="A36:BT36"/>
    <mergeCell ref="A37:BT37"/>
    <mergeCell ref="A58:BT58"/>
    <mergeCell ref="A49:BT49"/>
    <mergeCell ref="A50:BT50"/>
    <mergeCell ref="A51:BT51"/>
    <mergeCell ref="D41:BT41"/>
    <mergeCell ref="AQ70:BE70"/>
    <mergeCell ref="BH70:BS70"/>
    <mergeCell ref="AQ71:BE71"/>
    <mergeCell ref="BH71:BS71"/>
    <mergeCell ref="A70:AL72"/>
    <mergeCell ref="BY23:CE24"/>
    <mergeCell ref="BY28:CD30"/>
    <mergeCell ref="BY34:CE47"/>
    <mergeCell ref="D40:BT40"/>
    <mergeCell ref="D42:BT42"/>
    <mergeCell ref="A31:BT31"/>
    <mergeCell ref="AK33:BT33"/>
    <mergeCell ref="A34:BT34"/>
    <mergeCell ref="A38:BT38"/>
    <mergeCell ref="A39:BT39"/>
    <mergeCell ref="A27:BT27"/>
    <mergeCell ref="U28:BT28"/>
    <mergeCell ref="P29:BT29"/>
    <mergeCell ref="U30:BT30"/>
    <mergeCell ref="A26:BT26"/>
    <mergeCell ref="A35:BT35"/>
    <mergeCell ref="Y56:BT56"/>
    <mergeCell ref="Y43:BT43"/>
    <mergeCell ref="V52:BT52"/>
    <mergeCell ref="AD54:BT54"/>
    <mergeCell ref="N57:BT57"/>
    <mergeCell ref="J55:BT55"/>
    <mergeCell ref="Y44:BT44"/>
    <mergeCell ref="AJ45:AS45"/>
    <mergeCell ref="AT45:BT45"/>
    <mergeCell ref="Q46:BT46"/>
    <mergeCell ref="AA47:BT47"/>
    <mergeCell ref="A48:BT48"/>
    <mergeCell ref="X61:AN61"/>
    <mergeCell ref="AQ61:BE61"/>
    <mergeCell ref="BH61:BS61"/>
    <mergeCell ref="X62:AN62"/>
    <mergeCell ref="AQ62:BE62"/>
    <mergeCell ref="BH62:BS62"/>
    <mergeCell ref="X64:AN64"/>
    <mergeCell ref="AQ64:BE64"/>
    <mergeCell ref="BH64:BS64"/>
    <mergeCell ref="X67:AN67"/>
    <mergeCell ref="AQ67:BE67"/>
    <mergeCell ref="BH67:BS67"/>
    <mergeCell ref="X68:AN68"/>
    <mergeCell ref="AQ68:BE68"/>
    <mergeCell ref="BH68:BS68"/>
    <mergeCell ref="X65:AN65"/>
    <mergeCell ref="AQ65:BE65"/>
    <mergeCell ref="BH65:BS65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2:BT12"/>
    <mergeCell ref="AE15:AT15"/>
    <mergeCell ref="T18:BJ18"/>
    <mergeCell ref="S17:BI17"/>
    <mergeCell ref="BJ17:BT17"/>
    <mergeCell ref="A14:BT14"/>
    <mergeCell ref="T22:BJ22"/>
    <mergeCell ref="O23:BP23"/>
    <mergeCell ref="AK32:BT32"/>
    <mergeCell ref="E24:BT24"/>
    <mergeCell ref="A25:BT25"/>
    <mergeCell ref="S19:BI19"/>
    <mergeCell ref="BJ19:BT19"/>
    <mergeCell ref="T20:BJ20"/>
    <mergeCell ref="S21:BI21"/>
    <mergeCell ref="BJ21:BT21"/>
  </mergeCells>
  <phoneticPr fontId="21" type="noConversion"/>
  <dataValidations count="4">
    <dataValidation type="list" errorStyle="information" allowBlank="1" showInputMessage="1" sqref="O23:BP23" xr:uid="{00000000-0002-0000-0000-000000000000}">
      <formula1>"выборочный,сплошной"</formula1>
    </dataValidation>
    <dataValidation type="list" allowBlank="1" showInputMessage="1" showErrorMessage="1" sqref="N23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2" manualBreakCount="2">
    <brk id="59" max="71" man="1"/>
    <brk id="72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BJ21:BT21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BJ19:BT19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BJ17:BT17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T28:U28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S30:U30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topLeftCell="B1" workbookViewId="0">
      <selection activeCell="C7" sqref="C7"/>
    </sheetView>
  </sheetViews>
  <sheetFormatPr defaultRowHeight="13.8" x14ac:dyDescent="0.25"/>
  <cols>
    <col min="1" max="1" width="27.109375" style="36" customWidth="1"/>
    <col min="2" max="2" width="21.6640625" style="36" customWidth="1"/>
    <col min="3" max="3" width="49.77734375" style="36" customWidth="1"/>
    <col min="4" max="5" width="10.109375" style="36" customWidth="1"/>
    <col min="6" max="6" width="44.77734375" style="36" customWidth="1"/>
    <col min="7" max="16384" width="8.88671875" style="36"/>
  </cols>
  <sheetData>
    <row r="2" spans="1:6" ht="29.4" customHeight="1" x14ac:dyDescent="0.25">
      <c r="A2" s="42" t="s">
        <v>10</v>
      </c>
      <c r="B2" s="43" t="s">
        <v>76</v>
      </c>
      <c r="C2" s="43" t="s">
        <v>75</v>
      </c>
      <c r="D2" s="41" t="s">
        <v>73</v>
      </c>
      <c r="E2" s="41" t="s">
        <v>74</v>
      </c>
    </row>
    <row r="3" spans="1:6" x14ac:dyDescent="0.25">
      <c r="A3" s="37" t="s">
        <v>12</v>
      </c>
      <c r="B3" s="36" t="s">
        <v>63</v>
      </c>
      <c r="C3" s="45" t="s">
        <v>64</v>
      </c>
      <c r="D3" s="39">
        <v>44927</v>
      </c>
      <c r="E3" s="39">
        <v>45337</v>
      </c>
    </row>
    <row r="4" spans="1:6" x14ac:dyDescent="0.25">
      <c r="A4" s="37" t="s">
        <v>12</v>
      </c>
      <c r="B4" s="36" t="s">
        <v>77</v>
      </c>
      <c r="C4" s="45" t="s">
        <v>78</v>
      </c>
      <c r="D4" s="39">
        <v>45337</v>
      </c>
      <c r="E4" s="39">
        <v>45657</v>
      </c>
    </row>
    <row r="5" spans="1:6" x14ac:dyDescent="0.25">
      <c r="A5" s="37" t="s">
        <v>14</v>
      </c>
      <c r="B5" s="36" t="s">
        <v>68</v>
      </c>
      <c r="C5" s="38" t="s">
        <v>67</v>
      </c>
      <c r="D5" s="39">
        <v>45166</v>
      </c>
      <c r="E5" s="39">
        <v>45657</v>
      </c>
    </row>
    <row r="6" spans="1:6" x14ac:dyDescent="0.25">
      <c r="A6" s="37" t="s">
        <v>14</v>
      </c>
      <c r="B6" s="36" t="s">
        <v>79</v>
      </c>
      <c r="C6" s="59" t="s">
        <v>109</v>
      </c>
      <c r="D6" s="39">
        <v>44927</v>
      </c>
      <c r="E6" s="39">
        <v>45166</v>
      </c>
    </row>
    <row r="7" spans="1:6" ht="27.6" x14ac:dyDescent="0.25">
      <c r="A7" s="37" t="s">
        <v>14</v>
      </c>
      <c r="B7" s="48" t="s">
        <v>92</v>
      </c>
      <c r="C7" s="38" t="s">
        <v>67</v>
      </c>
      <c r="D7" s="39">
        <v>45278</v>
      </c>
      <c r="E7" s="39">
        <v>45342</v>
      </c>
      <c r="F7" s="47" t="s">
        <v>93</v>
      </c>
    </row>
    <row r="8" spans="1:6" ht="55.2" x14ac:dyDescent="0.25">
      <c r="A8" s="49" t="s">
        <v>15</v>
      </c>
      <c r="B8" s="50" t="s">
        <v>66</v>
      </c>
      <c r="C8" s="51" t="s">
        <v>65</v>
      </c>
      <c r="D8" s="52">
        <v>44927</v>
      </c>
      <c r="E8" s="52">
        <v>45657</v>
      </c>
    </row>
    <row r="9" spans="1:6" ht="55.2" x14ac:dyDescent="0.25">
      <c r="A9" s="40" t="s">
        <v>15</v>
      </c>
      <c r="B9" s="36" t="s">
        <v>91</v>
      </c>
      <c r="C9" s="46" t="s">
        <v>90</v>
      </c>
      <c r="F9" s="53" t="s">
        <v>94</v>
      </c>
    </row>
    <row r="11" spans="1:6" x14ac:dyDescent="0.25">
      <c r="A11" s="37"/>
    </row>
    <row r="12" spans="1:6" x14ac:dyDescent="0.25">
      <c r="A12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98</v>
      </c>
      <c r="B5" s="2" t="s">
        <v>48</v>
      </c>
      <c r="C5" s="2" t="s">
        <v>49</v>
      </c>
      <c r="D5" s="2" t="s">
        <v>106</v>
      </c>
    </row>
    <row r="6" spans="1:4" ht="27.6" x14ac:dyDescent="0.25">
      <c r="A6" s="6" t="s">
        <v>95</v>
      </c>
      <c r="B6" s="3" t="s">
        <v>50</v>
      </c>
      <c r="C6" s="5" t="s">
        <v>99</v>
      </c>
    </row>
    <row r="7" spans="1:4" x14ac:dyDescent="0.25">
      <c r="A7" s="6" t="s">
        <v>96</v>
      </c>
      <c r="B7" s="3" t="s">
        <v>51</v>
      </c>
      <c r="C7" s="1" t="s">
        <v>100</v>
      </c>
    </row>
    <row r="8" spans="1:4" x14ac:dyDescent="0.25">
      <c r="A8" s="6" t="s">
        <v>97</v>
      </c>
      <c r="B8" s="3" t="s">
        <v>52</v>
      </c>
      <c r="C8" s="1" t="s">
        <v>101</v>
      </c>
    </row>
    <row r="9" spans="1:4" x14ac:dyDescent="0.25">
      <c r="A9" s="6">
        <v>56</v>
      </c>
      <c r="B9" s="3" t="s">
        <v>53</v>
      </c>
      <c r="C9" s="1" t="s">
        <v>102</v>
      </c>
    </row>
    <row r="10" spans="1:4" ht="27.6" x14ac:dyDescent="0.25">
      <c r="A10" s="6">
        <v>57</v>
      </c>
      <c r="B10" s="3" t="s">
        <v>54</v>
      </c>
      <c r="C10" s="4" t="s">
        <v>103</v>
      </c>
    </row>
    <row r="11" spans="1:4" ht="27.6" x14ac:dyDescent="0.25">
      <c r="A11" s="6">
        <v>110</v>
      </c>
      <c r="B11" s="3" t="s">
        <v>55</v>
      </c>
      <c r="C11" s="6" t="s">
        <v>104</v>
      </c>
    </row>
    <row r="12" spans="1:4" ht="27.6" x14ac:dyDescent="0.25">
      <c r="A12" s="6">
        <v>111</v>
      </c>
      <c r="B12" s="3" t="s">
        <v>56</v>
      </c>
      <c r="C12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Виталина Кочеткова</cp:lastModifiedBy>
  <cp:lastPrinted>2025-05-20T13:28:49Z</cp:lastPrinted>
  <dcterms:created xsi:type="dcterms:W3CDTF">2023-09-19T09:44:50Z</dcterms:created>
  <dcterms:modified xsi:type="dcterms:W3CDTF">2025-05-22T14:08:44Z</dcterms:modified>
</cp:coreProperties>
</file>