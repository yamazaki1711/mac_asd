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Z:\Стажеры\Вита\АР\61.17\"/>
    </mc:Choice>
  </mc:AlternateContent>
  <xr:revisionPtr revIDLastSave="0" documentId="13_ncr:1_{042F06B9-6FEB-40A3-8057-89AA142B051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" i="18" l="1"/>
  <c r="BZ20" i="18"/>
  <c r="BZ19" i="18"/>
  <c r="BZ18" i="18"/>
  <c r="D40" i="18"/>
  <c r="A48" i="18"/>
  <c r="A47" i="18" l="1"/>
  <c r="D39" i="18"/>
  <c r="AA46" i="18"/>
  <c r="Q45" i="18" l="1"/>
  <c r="BW15" i="18" l="1"/>
  <c r="S21" i="18" l="1"/>
  <c r="S19" i="18"/>
  <c r="S17" i="18"/>
  <c r="X64" i="18" l="1"/>
  <c r="X61" i="18"/>
  <c r="BH58" i="18"/>
  <c r="BH64" i="18" s="1"/>
  <c r="X58" i="18"/>
  <c r="Y54" i="18"/>
  <c r="BH61" i="18" l="1"/>
</calcChain>
</file>

<file path=xl/sharedStrings.xml><?xml version="1.0" encoding="utf-8"?>
<sst xmlns="http://schemas.openxmlformats.org/spreadsheetml/2006/main" count="146" uniqueCount="123">
  <si>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</si>
  <si>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</si>
  <si>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</si>
  <si>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</si>
  <si>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</si>
  <si>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</si>
  <si>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</si>
  <si>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</si>
  <si>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</si>
  <si>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</si>
  <si>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</si>
  <si>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</si>
  <si>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</si>
  <si>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</si>
  <si>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</si>
  <si>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</si>
  <si>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</si>
  <si>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</si>
  <si>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</si>
  <si>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</si>
  <si>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</si>
  <si>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</si>
  <si>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</si>
  <si>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</si>
  <si>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</si>
  <si>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</si>
  <si>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</si>
  <si>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</si>
  <si>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</si>
  <si>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</si>
  <si>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</si>
  <si>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</si>
  <si>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</si>
  <si>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</si>
  <si>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</si>
  <si>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</si>
  <si>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</si>
  <si>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</si>
  <si>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</si>
  <si>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</si>
  <si>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</si>
  <si>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</si>
  <si>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</si>
  <si>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</si>
  <si>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</si>
  <si>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</si>
  <si>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</si>
  <si>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</si>
  <si>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</si>
  <si>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</si>
  <si>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</si>
  <si>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</si>
  <si>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</si>
  <si>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</si>
  <si>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</si>
  <si>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</si>
  <si>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</si>
  <si>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</si>
  <si>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</si>
  <si>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</si>
  <si>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</si>
  <si>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</si>
  <si>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</si>
  <si>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</si>
  <si>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</si>
  <si>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</si>
  <si>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</si>
  <si>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</si>
  <si>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</si>
  <si>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</si>
  <si>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</si>
  <si>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</si>
  <si>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</si>
  <si>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</si>
  <si>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</si>
  <si>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</si>
  <si>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</si>
  <si>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</si>
  <si>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</si>
  <si>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</si>
  <si>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</si>
  <si>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</si>
  <si>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</si>
  <si>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</si>
  <si>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</si>
  <si>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</si>
  <si>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</si>
  <si>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</si>
  <si>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</si>
  <si>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</si>
  <si>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</si>
  <si>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</si>
  <si>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</si>
  <si>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</si>
  <si>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</si>
  <si>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</si>
  <si>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</si>
  <si>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</si>
  <si>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</si>
  <si>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</si>
  <si>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</si>
  <si>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</si>
  <si>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</si>
  <si>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</si>
  <si>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</si>
  <si>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</si>
  <si>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</si>
  <si>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</si>
  <si>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</si>
  <si>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Ведущий инженер отдела технического надзора АО «Газстройпроект»</t>
  </si>
  <si>
    <t>АИР 1.2-61.17-АР/131р</t>
  </si>
  <si>
    <t>Стяжка ЦПС М150 в составе: цемент М 500/42,5 МПа, цемент М 400/32,5 МПа, песок строительный</t>
  </si>
  <si>
    <t>м500</t>
  </si>
  <si>
    <t>м400</t>
  </si>
  <si>
    <t>ПП2020РД-1.2-61.17-АР изм. 3 листы 7, 8</t>
  </si>
  <si>
    <t>песок</t>
  </si>
  <si>
    <t>29176 кг (400 кг/м3 р-ра), песок строительный - 113,057 кг</t>
  </si>
  <si>
    <t xml:space="preserve">документ о качестве № ПМЦБ-0002892 от 23.10.2023, </t>
  </si>
  <si>
    <t xml:space="preserve">сертификат соответствия №РОСС RU C-RU.СЛ02.В.00508/22 с 15.12.2022 по 14.12.2023, документ о качестве </t>
  </si>
  <si>
    <t>№ ПМЦБ-00022016 от 21.10.2023, сертификат соответствия №РОСС RU C-RU.СЛ02.В.00507/22 с 15.12.2022 по 14.12.2023,</t>
  </si>
  <si>
    <t>паспорт качества №315 от 10.10.2023</t>
  </si>
  <si>
    <t>ГОСТ 31108-2020, ГОСТ 30515-2013, ГОСТ 8736-2014</t>
  </si>
  <si>
    <t xml:space="preserve">Стяжка ЦПС М150 в составе: цемент М 500/42,5 МПа - 24070,2 кг (расход 330 кг/м3 р-ра), цемент М 400/32,5 МПа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</si>
</sst>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3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  <font>
      <b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11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2" fillId="3" borderId="1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6" fillId="2" borderId="0" xfId="1" applyFont="1" applyFill="1" applyAlignment="1">
      <alignment horizontal="center" vertical="center"/>
    </xf>
    <xf numFmtId="14" fontId="14" fillId="4" borderId="1" xfId="1" applyNumberFormat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6" fillId="2" borderId="0" xfId="1" applyFont="1" applyFill="1" applyAlignment="1">
      <alignment horizontal="center" vertical="top"/>
    </xf>
    <xf numFmtId="0" fontId="16" fillId="2" borderId="2" xfId="1" applyFont="1" applyFill="1" applyBorder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14" fontId="14" fillId="2" borderId="0" xfId="1" applyNumberFormat="1" applyFont="1" applyFill="1" applyAlignment="1">
      <alignment horizontal="center" wrapText="1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4" fillId="3" borderId="1" xfId="1" applyFont="1" applyFill="1" applyBorder="1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4" fillId="3" borderId="1" xfId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14" fontId="14" fillId="2" borderId="0" xfId="1" applyNumberFormat="1" applyFont="1" applyFill="1" applyAlignment="1">
      <alignment horizontal="center" vertical="top" wrapText="1"/>
    </xf>
    <xf numFmtId="14" fontId="16" fillId="2" borderId="0" xfId="1" applyNumberFormat="1" applyFont="1" applyFill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4" fillId="2" borderId="0" xfId="1" applyFont="1" applyFill="1" applyAlignment="1">
      <alignment horizontal="left" vertical="top" wrapText="1"/>
    </xf>
    <xf numFmtId="165" fontId="14" fillId="3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left" vertical="top"/>
    </xf>
    <xf numFmtId="0" fontId="11" fillId="3" borderId="0" xfId="1" applyFont="1" applyFill="1" applyAlignment="1">
      <alignment horizontal="left"/>
    </xf>
    <xf numFmtId="0" fontId="22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27</xdr:row>
      <xdr:rowOff>0</xdr:rowOff>
    </xdr:from>
    <xdr:to>
      <xdr:col>75</xdr:col>
      <xdr:colOff>521970</xdr:colOff>
      <xdr:row>29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32</xdr:row>
      <xdr:rowOff>0</xdr:rowOff>
    </xdr:from>
    <xdr:to>
      <xdr:col>75</xdr:col>
      <xdr:colOff>521970</xdr:colOff>
      <xdr:row>36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49</xdr:row>
      <xdr:rowOff>0</xdr:rowOff>
    </xdr:from>
    <xdr:to>
      <xdr:col>75</xdr:col>
      <xdr:colOff>521970</xdr:colOff>
      <xdr:row>50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60</xdr:row>
      <xdr:rowOff>0</xdr:rowOff>
    </xdr:from>
    <xdr:to>
      <xdr:col>75</xdr:col>
      <xdr:colOff>521970</xdr:colOff>
      <xdr:row>62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69"/>
  <sheetViews>
    <sheetView tabSelected="1" view="pageBreakPreview" zoomScaleNormal="100" zoomScaleSheetLayoutView="100" workbookViewId="0">
      <selection activeCell="A26" sqref="A26:BT26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71" t="s">
        <v>4</v>
      </c>
      <c r="B3" s="71"/>
      <c r="C3" s="71"/>
      <c r="D3" s="71"/>
      <c r="E3" s="71"/>
      <c r="F3" s="72" t="s">
        <v>5</v>
      </c>
      <c r="G3" s="72"/>
      <c r="H3" s="72"/>
      <c r="I3" s="73" t="s">
        <v>6</v>
      </c>
      <c r="J3" s="73"/>
      <c r="K3" s="7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71"/>
      <c r="B6" s="71"/>
      <c r="C6" s="71"/>
      <c r="D6" s="71"/>
      <c r="E6" s="71"/>
      <c r="F6" s="72"/>
      <c r="G6" s="72"/>
      <c r="H6" s="72"/>
      <c r="I6" s="73"/>
      <c r="J6" s="73"/>
      <c r="K6" s="73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4" t="s">
        <v>61</v>
      </c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</row>
    <row r="7" spans="1:75" x14ac:dyDescent="0.25">
      <c r="A7" s="8"/>
      <c r="B7" s="8"/>
      <c r="C7" s="8"/>
      <c r="D7" s="8"/>
      <c r="E7" s="8"/>
      <c r="F7" s="8"/>
      <c r="G7" s="75"/>
      <c r="H7" s="75"/>
      <c r="I7" s="73"/>
      <c r="J7" s="73"/>
      <c r="K7" s="73"/>
      <c r="L7" s="73"/>
      <c r="M7" s="73"/>
      <c r="N7" s="73"/>
      <c r="O7" s="73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76" t="s">
        <v>110</v>
      </c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77" t="s">
        <v>45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78" t="s">
        <v>111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</row>
    <row r="13" spans="1:75" ht="9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5" ht="12" customHeight="1" x14ac:dyDescent="0.25">
      <c r="A14" s="70" t="s">
        <v>46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</row>
    <row r="15" spans="1: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79">
        <v>45328</v>
      </c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4">
        <f>AE15</f>
        <v>45328</v>
      </c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3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68" t="str">
        <f>VLOOKUP(BJ17,подписанты!$B$3:$C$11,2,FALSE)</f>
        <v>Руководитель группы МТО АО «Газстройпроект»</v>
      </c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5" t="s">
        <v>63</v>
      </c>
      <c r="BK17" s="65"/>
      <c r="BL17" s="65"/>
      <c r="BM17" s="65"/>
      <c r="BN17" s="65"/>
      <c r="BO17" s="65"/>
      <c r="BP17" s="65"/>
      <c r="BQ17" s="65"/>
      <c r="BR17" s="65"/>
      <c r="BS17" s="65"/>
      <c r="BT17" s="65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7" t="s">
        <v>13</v>
      </c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27"/>
      <c r="BL18" s="27"/>
      <c r="BM18" s="27"/>
      <c r="BN18" s="27"/>
      <c r="BO18" s="27"/>
      <c r="BP18" s="17"/>
      <c r="BQ18" s="17"/>
      <c r="BR18" s="17"/>
      <c r="BS18" s="17"/>
      <c r="BT18" s="17"/>
      <c r="BY18" t="s">
        <v>112</v>
      </c>
      <c r="BZ18">
        <f>330*44.8+330*28.14</f>
        <v>24070.199999999997</v>
      </c>
    </row>
    <row r="19" spans="1:83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64" t="str">
        <f>VLOOKUP(BJ19,подписанты!$B$3:$C$11,2,FALSE)</f>
        <v>Инженер отдела технического надзора АО «Газстройпроект»</v>
      </c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5" t="s">
        <v>68</v>
      </c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Y19" t="s">
        <v>113</v>
      </c>
      <c r="BZ19">
        <f>44.8*400+400*28.14</f>
        <v>29176</v>
      </c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6" t="s">
        <v>13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Y20" t="s">
        <v>115</v>
      </c>
      <c r="BZ20">
        <f>0.8*44.8+0.75*44.8+0.8*28.14+0.75*28.14</f>
        <v>113.057</v>
      </c>
    </row>
    <row r="21" spans="1:83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68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9" t="s">
        <v>91</v>
      </c>
      <c r="BK21" s="69"/>
      <c r="BL21" s="69"/>
      <c r="BM21" s="69"/>
      <c r="BN21" s="69"/>
      <c r="BO21" s="69"/>
      <c r="BP21" s="69"/>
      <c r="BQ21" s="69"/>
      <c r="BR21" s="69"/>
      <c r="BS21" s="69"/>
      <c r="BT21" s="69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67" t="s">
        <v>13</v>
      </c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60" t="s">
        <v>89</v>
      </c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8" t="s">
        <v>17</v>
      </c>
      <c r="BR23" s="13"/>
      <c r="BS23" s="13"/>
      <c r="BT23" s="13"/>
      <c r="BY23" s="86" t="s">
        <v>80</v>
      </c>
      <c r="BZ23" s="86"/>
      <c r="CA23" s="86"/>
      <c r="CB23" s="86"/>
      <c r="CC23" s="86"/>
      <c r="CD23" s="86"/>
      <c r="CE23" s="86"/>
    </row>
    <row r="24" spans="1:83" ht="13.8" customHeight="1" x14ac:dyDescent="0.25">
      <c r="A24" s="8"/>
      <c r="B24" s="8"/>
      <c r="C24" s="8"/>
      <c r="D24" s="8"/>
      <c r="E24" s="62" t="s">
        <v>47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Y24" s="86"/>
      <c r="BZ24" s="86"/>
      <c r="CA24" s="86"/>
      <c r="CB24" s="86"/>
      <c r="CC24" s="86"/>
      <c r="CD24" s="86"/>
      <c r="CE24" s="86"/>
    </row>
    <row r="25" spans="1:83" ht="16.2" customHeight="1" x14ac:dyDescent="0.25">
      <c r="A25" s="63" t="s">
        <v>122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Y25" s="58"/>
      <c r="BZ25" s="58"/>
      <c r="CA25" s="58"/>
      <c r="CB25" s="58"/>
      <c r="CC25" s="58"/>
      <c r="CD25" s="58"/>
      <c r="CE25" s="58"/>
    </row>
    <row r="26" spans="1:83" ht="16.2" customHeight="1" x14ac:dyDescent="0.25">
      <c r="A26" s="63" t="s">
        <v>116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Y26" s="58"/>
      <c r="BZ26" s="58"/>
      <c r="CA26" s="58"/>
      <c r="CB26" s="58"/>
      <c r="CC26" s="58"/>
      <c r="CD26" s="58"/>
      <c r="CE26" s="58"/>
    </row>
    <row r="27" spans="1:83" x14ac:dyDescent="0.25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</row>
    <row r="28" spans="1:83" ht="13.8" customHeight="1" x14ac:dyDescent="0.25">
      <c r="A28" s="10" t="s">
        <v>18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6"/>
      <c r="S28" s="8"/>
      <c r="T28" s="55"/>
      <c r="U28" s="96" t="s">
        <v>114</v>
      </c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Y28" s="86" t="s">
        <v>81</v>
      </c>
      <c r="BZ28" s="86"/>
      <c r="CA28" s="86"/>
      <c r="CB28" s="86"/>
      <c r="CC28" s="86"/>
      <c r="CD28" s="86"/>
    </row>
    <row r="29" spans="1:8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7" t="s">
        <v>19</v>
      </c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Y29" s="86"/>
      <c r="BZ29" s="86"/>
      <c r="CA29" s="86"/>
      <c r="CB29" s="86"/>
      <c r="CC29" s="86"/>
      <c r="CD29" s="86"/>
    </row>
    <row r="30" spans="1:83" x14ac:dyDescent="0.25">
      <c r="A30" s="10" t="s">
        <v>20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1"/>
      <c r="T30" s="21"/>
      <c r="U30" s="98" t="s">
        <v>51</v>
      </c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Y30" s="86"/>
      <c r="BZ30" s="86"/>
      <c r="CA30" s="86"/>
      <c r="CB30" s="86"/>
      <c r="CC30" s="86"/>
      <c r="CD30" s="86"/>
    </row>
    <row r="31" spans="1:83" x14ac:dyDescent="0.25">
      <c r="A31" s="66" t="s">
        <v>21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</row>
    <row r="32" spans="1:83" x14ac:dyDescent="0.25">
      <c r="A32" s="8"/>
      <c r="B32" s="8"/>
      <c r="C32" s="8"/>
      <c r="D32" s="8" t="s">
        <v>22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7"/>
      <c r="AH32" s="7"/>
      <c r="AI32" s="7"/>
      <c r="AJ32" s="7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</row>
    <row r="33" spans="1:83" x14ac:dyDescent="0.25">
      <c r="A33" s="8" t="s">
        <v>23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1"/>
      <c r="AJ33" s="8"/>
      <c r="AK33" s="90" t="s">
        <v>117</v>
      </c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Y33" s="44" t="s">
        <v>82</v>
      </c>
    </row>
    <row r="34" spans="1:83" x14ac:dyDescent="0.25">
      <c r="A34" s="91" t="s">
        <v>118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Y34" s="86" t="s">
        <v>83</v>
      </c>
      <c r="BZ34" s="86"/>
      <c r="CA34" s="86"/>
      <c r="CB34" s="86"/>
      <c r="CC34" s="86"/>
      <c r="CD34" s="86"/>
      <c r="CE34" s="86"/>
    </row>
    <row r="35" spans="1:83" x14ac:dyDescent="0.25">
      <c r="A35" s="91" t="s">
        <v>119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Y35" s="86"/>
      <c r="BZ35" s="86"/>
      <c r="CA35" s="86"/>
      <c r="CB35" s="86"/>
      <c r="CC35" s="86"/>
      <c r="CD35" s="86"/>
      <c r="CE35" s="86"/>
    </row>
    <row r="36" spans="1:83" x14ac:dyDescent="0.25">
      <c r="A36" s="91" t="s">
        <v>120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Y36" s="86"/>
      <c r="BZ36" s="86"/>
      <c r="CA36" s="86"/>
      <c r="CB36" s="86"/>
      <c r="CC36" s="86"/>
      <c r="CD36" s="86"/>
      <c r="CE36" s="86"/>
    </row>
    <row r="37" spans="1:83" x14ac:dyDescent="0.25">
      <c r="A37" s="67" t="s">
        <v>24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Y37" s="86"/>
      <c r="BZ37" s="86"/>
      <c r="CA37" s="86"/>
      <c r="CB37" s="86"/>
      <c r="CC37" s="86"/>
      <c r="CD37" s="86"/>
      <c r="CE37" s="86"/>
    </row>
    <row r="38" spans="1:83" x14ac:dyDescent="0.25">
      <c r="A38" s="92" t="s">
        <v>57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Y38" s="86"/>
      <c r="BZ38" s="86"/>
      <c r="CA38" s="86"/>
      <c r="CB38" s="86"/>
      <c r="CC38" s="86"/>
      <c r="CD38" s="86"/>
      <c r="CE38" s="86"/>
    </row>
    <row r="39" spans="1:83" ht="16.8" customHeight="1" x14ac:dyDescent="0.25">
      <c r="A39" s="18" t="s">
        <v>58</v>
      </c>
      <c r="B39" s="19"/>
      <c r="C39" s="19"/>
      <c r="D39" s="87" t="str">
        <f>A25</f>
        <v xml:space="preserve">Стяжка ЦПС М150 в составе: цемент М 500/42,5 МПа - 24070,2 кг (расход 330 кг/м3 р-ра), цемент М 400/32,5 МПа - 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Y39" s="86"/>
      <c r="BZ39" s="86"/>
      <c r="CA39" s="86"/>
      <c r="CB39" s="86"/>
      <c r="CC39" s="86"/>
      <c r="CD39" s="86"/>
      <c r="CE39" s="86"/>
    </row>
    <row r="40" spans="1:83" ht="16.8" customHeight="1" x14ac:dyDescent="0.25">
      <c r="A40" s="18"/>
      <c r="B40" s="19"/>
      <c r="C40" s="19"/>
      <c r="D40" s="87" t="str">
        <f>A26</f>
        <v>29176 кг (400 кг/м3 р-ра), песок строительный - 113,057 кг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Y40" s="86"/>
      <c r="BZ40" s="86"/>
      <c r="CA40" s="86"/>
      <c r="CB40" s="86"/>
      <c r="CC40" s="86"/>
      <c r="CD40" s="86"/>
      <c r="CE40" s="86"/>
    </row>
    <row r="41" spans="1:83" x14ac:dyDescent="0.25">
      <c r="A41" s="8"/>
      <c r="B41" s="8"/>
      <c r="C41" s="8"/>
      <c r="D41" s="89" t="s">
        <v>25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Y41" s="86"/>
      <c r="BZ41" s="86"/>
      <c r="CA41" s="86"/>
      <c r="CB41" s="86"/>
      <c r="CC41" s="86"/>
      <c r="CD41" s="86"/>
      <c r="CE41" s="86"/>
    </row>
    <row r="42" spans="1:83" x14ac:dyDescent="0.25">
      <c r="A42" s="8" t="s">
        <v>26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33"/>
      <c r="Y42" s="103" t="s">
        <v>108</v>
      </c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Y42" s="86"/>
      <c r="BZ42" s="86"/>
      <c r="CA42" s="86"/>
      <c r="CB42" s="86"/>
      <c r="CC42" s="86"/>
      <c r="CD42" s="86"/>
      <c r="CE42" s="86"/>
    </row>
    <row r="43" spans="1:83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20"/>
      <c r="Y43" s="66" t="s">
        <v>27</v>
      </c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Y43" s="86"/>
      <c r="BZ43" s="86"/>
      <c r="CA43" s="86"/>
      <c r="CB43" s="86"/>
      <c r="CC43" s="86"/>
      <c r="CD43" s="86"/>
      <c r="CE43" s="86"/>
    </row>
    <row r="44" spans="1:83" x14ac:dyDescent="0.25">
      <c r="A44" s="8" t="s">
        <v>28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7"/>
      <c r="AG44" s="7"/>
      <c r="AH44" s="7"/>
      <c r="AI44" s="7"/>
      <c r="AJ44" s="109" t="s">
        <v>29</v>
      </c>
      <c r="AK44" s="109"/>
      <c r="AL44" s="109"/>
      <c r="AM44" s="109"/>
      <c r="AN44" s="109"/>
      <c r="AO44" s="109"/>
      <c r="AP44" s="109"/>
      <c r="AQ44" s="109"/>
      <c r="AR44" s="109"/>
      <c r="AS44" s="109"/>
      <c r="AT44" s="110" t="s">
        <v>72</v>
      </c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0"/>
      <c r="BJ44" s="110"/>
      <c r="BK44" s="110"/>
      <c r="BL44" s="110"/>
      <c r="BM44" s="110"/>
      <c r="BN44" s="110"/>
      <c r="BO44" s="110"/>
      <c r="BP44" s="110"/>
      <c r="BQ44" s="110"/>
      <c r="BR44" s="110"/>
      <c r="BS44" s="110"/>
      <c r="BT44" s="110"/>
      <c r="BY44" s="86"/>
      <c r="BZ44" s="86"/>
      <c r="CA44" s="86"/>
      <c r="CB44" s="86"/>
      <c r="CC44" s="86"/>
      <c r="CD44" s="86"/>
      <c r="CE44" s="86"/>
    </row>
    <row r="45" spans="1:83" x14ac:dyDescent="0.25">
      <c r="A45" s="10" t="s">
        <v>30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55"/>
      <c r="O45" s="55"/>
      <c r="P45" s="55"/>
      <c r="Q45" s="83" t="str">
        <f>U28</f>
        <v>ПП2020РД-1.2-61.17-АР изм. 3 листы 7, 8</v>
      </c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57"/>
      <c r="BY45" s="86"/>
      <c r="BZ45" s="86"/>
      <c r="CA45" s="86"/>
      <c r="CB45" s="86"/>
      <c r="CC45" s="86"/>
      <c r="CD45" s="86"/>
      <c r="CE45" s="86"/>
    </row>
    <row r="46" spans="1:83" x14ac:dyDescent="0.25">
      <c r="A46" s="8"/>
      <c r="B46" s="8"/>
      <c r="C46" s="8"/>
      <c r="D46" s="10" t="s">
        <v>31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1"/>
      <c r="X46" s="8"/>
      <c r="Y46" s="32"/>
      <c r="Z46" s="32"/>
      <c r="AA46" s="84" t="str">
        <f>AK33</f>
        <v xml:space="preserve">документ о качестве № ПМЦБ-0002892 от 23.10.2023, </v>
      </c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Y46" s="86"/>
      <c r="BZ46" s="86"/>
      <c r="CA46" s="86"/>
      <c r="CB46" s="86"/>
      <c r="CC46" s="86"/>
      <c r="CD46" s="86"/>
      <c r="CE46" s="86"/>
    </row>
    <row r="47" spans="1:83" x14ac:dyDescent="0.25">
      <c r="A47" s="85" t="str">
        <f>A34</f>
        <v xml:space="preserve">сертификат соответствия №РОСС RU C-RU.СЛ02.В.00508/22 с 15.12.2022 по 14.12.2023, документ о качестве 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</row>
    <row r="48" spans="1:83" x14ac:dyDescent="0.25">
      <c r="A48" s="85" t="str">
        <f>A35</f>
        <v>№ ПМЦБ-00022016 от 21.10.2023, сертификат соответствия №РОСС RU C-RU.СЛ02.В.00507/22 с 15.12.2022 по 14.12.2023,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</row>
    <row r="49" spans="1:77" x14ac:dyDescent="0.25">
      <c r="A49" s="85" t="str">
        <f>A36</f>
        <v>паспорт качества №315 от 10.10.2023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</row>
    <row r="50" spans="1:77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105" t="s">
        <v>32</v>
      </c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Y50" t="s">
        <v>84</v>
      </c>
    </row>
    <row r="51" spans="1:77" x14ac:dyDescent="0.25">
      <c r="A51" s="8" t="s">
        <v>33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23"/>
      <c r="BY51" t="s">
        <v>85</v>
      </c>
    </row>
    <row r="52" spans="1:77" x14ac:dyDescent="0.25">
      <c r="A52" s="34"/>
      <c r="B52" s="8"/>
      <c r="C52" s="8"/>
      <c r="D52" s="8" t="s">
        <v>34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7"/>
      <c r="X52" s="7"/>
      <c r="Y52" s="7"/>
      <c r="Z52" s="7"/>
      <c r="AA52" s="34"/>
      <c r="AB52" s="7"/>
      <c r="AC52" s="34"/>
      <c r="AD52" s="106" t="s">
        <v>35</v>
      </c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</row>
    <row r="53" spans="1:77" x14ac:dyDescent="0.25">
      <c r="A53" s="8"/>
      <c r="B53" s="8"/>
      <c r="C53" s="8"/>
      <c r="D53" s="8"/>
      <c r="E53" s="8"/>
      <c r="F53" s="8"/>
      <c r="G53" s="8"/>
      <c r="H53" s="8"/>
      <c r="I53" s="8"/>
      <c r="J53" s="108" t="s">
        <v>36</v>
      </c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</row>
    <row r="54" spans="1:77" x14ac:dyDescent="0.25">
      <c r="A54" s="10" t="s">
        <v>37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9"/>
      <c r="V54" s="28"/>
      <c r="W54" s="35"/>
      <c r="X54" s="29"/>
      <c r="Y54" s="102" t="str">
        <f>U28</f>
        <v>ПП2020РД-1.2-61.17-АР изм. 3 листы 7, 8</v>
      </c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</row>
    <row r="55" spans="1:77" x14ac:dyDescent="0.25">
      <c r="A55" s="8" t="s">
        <v>38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34"/>
      <c r="M55" s="24"/>
      <c r="N55" s="107" t="s">
        <v>121</v>
      </c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</row>
    <row r="56" spans="1:77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</row>
    <row r="57" spans="1:77" x14ac:dyDescent="0.25">
      <c r="A57" s="8" t="s">
        <v>39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12"/>
    </row>
    <row r="58" spans="1:77" x14ac:dyDescent="0.25">
      <c r="A58" s="8" t="s">
        <v>12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2" t="str">
        <f>BJ17</f>
        <v>Кострова Н.Л.</v>
      </c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"/>
      <c r="AP58" s="8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"/>
      <c r="BG58" s="8"/>
      <c r="BH58" s="81">
        <f>AE15</f>
        <v>45328</v>
      </c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12"/>
    </row>
    <row r="59" spans="1:7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67" t="s">
        <v>59</v>
      </c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30"/>
      <c r="AP59" s="30"/>
      <c r="AQ59" s="67" t="s">
        <v>40</v>
      </c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30"/>
      <c r="BG59" s="30"/>
      <c r="BH59" s="67" t="s">
        <v>41</v>
      </c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26"/>
    </row>
    <row r="60" spans="1:77" x14ac:dyDescent="0.25">
      <c r="A60" s="8" t="s">
        <v>42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12"/>
    </row>
    <row r="61" spans="1:77" x14ac:dyDescent="0.25">
      <c r="A61" s="8" t="s">
        <v>43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2" t="str">
        <f>BJ19</f>
        <v>Халыгов Э. А.</v>
      </c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"/>
      <c r="AP61" s="8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"/>
      <c r="BG61" s="8"/>
      <c r="BH61" s="81">
        <f>BH58</f>
        <v>45328</v>
      </c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12"/>
      <c r="BY61" t="s">
        <v>86</v>
      </c>
    </row>
    <row r="62" spans="1:7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67" t="s">
        <v>59</v>
      </c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30"/>
      <c r="AP62" s="30"/>
      <c r="AQ62" s="67" t="s">
        <v>40</v>
      </c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30"/>
      <c r="BG62" s="30"/>
      <c r="BH62" s="67" t="s">
        <v>41</v>
      </c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12"/>
    </row>
    <row r="63" spans="1:77" ht="16.2" customHeight="1" x14ac:dyDescent="0.25">
      <c r="A63" s="8" t="s">
        <v>39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12"/>
      <c r="BY63" t="s">
        <v>87</v>
      </c>
    </row>
    <row r="64" spans="1:77" x14ac:dyDescent="0.25">
      <c r="A64" s="8" t="s">
        <v>44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60" t="str">
        <f>BJ21</f>
        <v>Тюкин Е.В.</v>
      </c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8"/>
      <c r="AP64" s="8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"/>
      <c r="BG64" s="8"/>
      <c r="BH64" s="81">
        <f>BH58</f>
        <v>45328</v>
      </c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12"/>
      <c r="BY64" t="s">
        <v>88</v>
      </c>
    </row>
    <row r="65" spans="1:7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67" t="s">
        <v>59</v>
      </c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30"/>
      <c r="AP65" s="30"/>
      <c r="AQ65" s="67" t="s">
        <v>40</v>
      </c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30"/>
      <c r="BG65" s="30"/>
      <c r="BH65" s="67" t="s">
        <v>41</v>
      </c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12"/>
    </row>
    <row r="66" spans="1:72" x14ac:dyDescent="0.25">
      <c r="A66" s="13"/>
      <c r="B66" s="13"/>
      <c r="C66" s="13"/>
      <c r="D66" s="7"/>
      <c r="E66" s="7"/>
      <c r="F66" s="7"/>
      <c r="G66" s="7"/>
      <c r="H66" s="7"/>
      <c r="I66" s="7"/>
      <c r="J66" s="7"/>
      <c r="K66" s="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2"/>
    </row>
    <row r="67" spans="1:72" ht="13.8" customHeight="1" x14ac:dyDescent="0.25">
      <c r="A67" s="101" t="s">
        <v>107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3"/>
      <c r="AN67" s="13"/>
      <c r="AO67" s="8"/>
      <c r="AP67" s="8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8"/>
      <c r="BG67" s="8"/>
      <c r="BH67" s="99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12"/>
    </row>
    <row r="68" spans="1:72" x14ac:dyDescent="0.2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"/>
      <c r="AN68" s="10"/>
      <c r="AO68" s="8"/>
      <c r="AP68" s="8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8"/>
      <c r="BG68" s="8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2"/>
    </row>
    <row r="69" spans="1:72" ht="16.8" customHeight="1" x14ac:dyDescent="0.2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2"/>
    </row>
  </sheetData>
  <mergeCells count="82">
    <mergeCell ref="A36:BT36"/>
    <mergeCell ref="A49:BT49"/>
    <mergeCell ref="D40:BT40"/>
    <mergeCell ref="Y54:BT54"/>
    <mergeCell ref="Y42:BT42"/>
    <mergeCell ref="V50:BT50"/>
    <mergeCell ref="AD52:BT52"/>
    <mergeCell ref="J53:BT53"/>
    <mergeCell ref="Y43:BT43"/>
    <mergeCell ref="AJ44:AS44"/>
    <mergeCell ref="AT44:BT44"/>
    <mergeCell ref="AQ67:BE67"/>
    <mergeCell ref="BH67:BS67"/>
    <mergeCell ref="AQ68:BE68"/>
    <mergeCell ref="BH68:BS68"/>
    <mergeCell ref="A67:AL69"/>
    <mergeCell ref="BY23:CE24"/>
    <mergeCell ref="BY28:CD30"/>
    <mergeCell ref="BY34:CE46"/>
    <mergeCell ref="D39:BT39"/>
    <mergeCell ref="D41:BT41"/>
    <mergeCell ref="A31:BT31"/>
    <mergeCell ref="AK33:BT33"/>
    <mergeCell ref="A34:BT34"/>
    <mergeCell ref="A37:BT37"/>
    <mergeCell ref="A38:BT38"/>
    <mergeCell ref="A27:BT27"/>
    <mergeCell ref="U28:BT28"/>
    <mergeCell ref="P29:BT29"/>
    <mergeCell ref="U30:BT30"/>
    <mergeCell ref="A26:BT26"/>
    <mergeCell ref="A35:BT35"/>
    <mergeCell ref="Q45:BT45"/>
    <mergeCell ref="AA46:BT46"/>
    <mergeCell ref="A47:BT47"/>
    <mergeCell ref="X58:AN58"/>
    <mergeCell ref="AQ58:BE58"/>
    <mergeCell ref="BH58:BS58"/>
    <mergeCell ref="A48:BT48"/>
    <mergeCell ref="N55:BT55"/>
    <mergeCell ref="X59:AN59"/>
    <mergeCell ref="AQ59:BE59"/>
    <mergeCell ref="BH59:BS59"/>
    <mergeCell ref="X61:AN61"/>
    <mergeCell ref="AQ61:BE61"/>
    <mergeCell ref="BH61:BS61"/>
    <mergeCell ref="X64:AN64"/>
    <mergeCell ref="AQ64:BE64"/>
    <mergeCell ref="BH64:BS64"/>
    <mergeCell ref="X65:AN65"/>
    <mergeCell ref="AQ65:BE65"/>
    <mergeCell ref="BH65:BS65"/>
    <mergeCell ref="X62:AN62"/>
    <mergeCell ref="AQ62:BE62"/>
    <mergeCell ref="BH62:BS6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2:BT12"/>
    <mergeCell ref="AE15:AT15"/>
    <mergeCell ref="T18:BJ18"/>
    <mergeCell ref="S17:BI17"/>
    <mergeCell ref="BJ17:BT17"/>
    <mergeCell ref="A14:BT14"/>
    <mergeCell ref="T22:BJ22"/>
    <mergeCell ref="O23:BP23"/>
    <mergeCell ref="AK32:BT32"/>
    <mergeCell ref="E24:BT24"/>
    <mergeCell ref="A25:BT25"/>
    <mergeCell ref="S19:BI19"/>
    <mergeCell ref="BJ19:BT19"/>
    <mergeCell ref="T20:BJ20"/>
    <mergeCell ref="S21:BI21"/>
    <mergeCell ref="BJ21:BT21"/>
  </mergeCells>
  <phoneticPr fontId="21" type="noConversion"/>
  <dataValidations count="4">
    <dataValidation type="list" errorStyle="information" allowBlank="1" showInputMessage="1" sqref="O23:BP23" xr:uid="{00000000-0002-0000-0000-000000000000}">
      <formula1>"выборочный,сплошной"</formula1>
    </dataValidation>
    <dataValidation type="list" allowBlank="1" showInputMessage="1" showErrorMessage="1" sqref="N23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56" max="71" man="1"/>
    <brk id="69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T28:U28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S30:U30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topLeftCell="B1" workbookViewId="0">
      <selection activeCell="C7" sqref="C7"/>
    </sheetView>
  </sheetViews>
  <sheetFormatPr defaultRowHeight="13.8" x14ac:dyDescent="0.25"/>
  <cols>
    <col min="1" max="1" width="27.109375" style="36" customWidth="1"/>
    <col min="2" max="2" width="21.6640625" style="36" customWidth="1"/>
    <col min="3" max="3" width="49.77734375" style="36" customWidth="1"/>
    <col min="4" max="5" width="10.109375" style="36" customWidth="1"/>
    <col min="6" max="6" width="44.77734375" style="36" customWidth="1"/>
    <col min="7" max="16384" width="8.88671875" style="36"/>
  </cols>
  <sheetData>
    <row r="2" spans="1:6" ht="29.4" customHeight="1" x14ac:dyDescent="0.25">
      <c r="A2" s="42" t="s">
        <v>10</v>
      </c>
      <c r="B2" s="43" t="s">
        <v>76</v>
      </c>
      <c r="C2" s="43" t="s">
        <v>75</v>
      </c>
      <c r="D2" s="41" t="s">
        <v>73</v>
      </c>
      <c r="E2" s="41" t="s">
        <v>74</v>
      </c>
    </row>
    <row r="3" spans="1:6" x14ac:dyDescent="0.25">
      <c r="A3" s="37" t="s">
        <v>12</v>
      </c>
      <c r="B3" s="36" t="s">
        <v>63</v>
      </c>
      <c r="C3" s="45" t="s">
        <v>64</v>
      </c>
      <c r="D3" s="39">
        <v>44927</v>
      </c>
      <c r="E3" s="39">
        <v>45337</v>
      </c>
    </row>
    <row r="4" spans="1:6" x14ac:dyDescent="0.25">
      <c r="A4" s="37" t="s">
        <v>12</v>
      </c>
      <c r="B4" s="36" t="s">
        <v>77</v>
      </c>
      <c r="C4" s="45" t="s">
        <v>78</v>
      </c>
      <c r="D4" s="39">
        <v>45337</v>
      </c>
      <c r="E4" s="39">
        <v>45657</v>
      </c>
    </row>
    <row r="5" spans="1:6" x14ac:dyDescent="0.25">
      <c r="A5" s="37" t="s">
        <v>14</v>
      </c>
      <c r="B5" s="36" t="s">
        <v>68</v>
      </c>
      <c r="C5" s="38" t="s">
        <v>67</v>
      </c>
      <c r="D5" s="39">
        <v>45166</v>
      </c>
      <c r="E5" s="39">
        <v>45657</v>
      </c>
    </row>
    <row r="6" spans="1:6" x14ac:dyDescent="0.25">
      <c r="A6" s="37" t="s">
        <v>14</v>
      </c>
      <c r="B6" s="36" t="s">
        <v>79</v>
      </c>
      <c r="C6" s="59" t="s">
        <v>109</v>
      </c>
      <c r="D6" s="39">
        <v>44927</v>
      </c>
      <c r="E6" s="39">
        <v>45166</v>
      </c>
    </row>
    <row r="7" spans="1:6" ht="27.6" x14ac:dyDescent="0.25">
      <c r="A7" s="37" t="s">
        <v>14</v>
      </c>
      <c r="B7" s="48" t="s">
        <v>92</v>
      </c>
      <c r="C7" s="38" t="s">
        <v>67</v>
      </c>
      <c r="D7" s="39">
        <v>45278</v>
      </c>
      <c r="E7" s="39">
        <v>45342</v>
      </c>
      <c r="F7" s="47" t="s">
        <v>93</v>
      </c>
    </row>
    <row r="8" spans="1:6" ht="55.2" x14ac:dyDescent="0.25">
      <c r="A8" s="49" t="s">
        <v>15</v>
      </c>
      <c r="B8" s="50" t="s">
        <v>66</v>
      </c>
      <c r="C8" s="51" t="s">
        <v>65</v>
      </c>
      <c r="D8" s="52">
        <v>44927</v>
      </c>
      <c r="E8" s="52">
        <v>45657</v>
      </c>
    </row>
    <row r="9" spans="1:6" ht="55.2" x14ac:dyDescent="0.25">
      <c r="A9" s="40" t="s">
        <v>15</v>
      </c>
      <c r="B9" s="36" t="s">
        <v>91</v>
      </c>
      <c r="C9" s="46" t="s">
        <v>90</v>
      </c>
      <c r="F9" s="53" t="s">
        <v>94</v>
      </c>
    </row>
    <row r="11" spans="1:6" x14ac:dyDescent="0.25">
      <c r="A11" s="37"/>
    </row>
    <row r="12" spans="1:6" x14ac:dyDescent="0.25">
      <c r="A12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98</v>
      </c>
      <c r="B5" s="2" t="s">
        <v>48</v>
      </c>
      <c r="C5" s="2" t="s">
        <v>49</v>
      </c>
      <c r="D5" s="2" t="s">
        <v>106</v>
      </c>
    </row>
    <row r="6" spans="1:4" ht="27.6" x14ac:dyDescent="0.25">
      <c r="A6" s="6" t="s">
        <v>95</v>
      </c>
      <c r="B6" s="3" t="s">
        <v>50</v>
      </c>
      <c r="C6" s="5" t="s">
        <v>99</v>
      </c>
    </row>
    <row r="7" spans="1:4" x14ac:dyDescent="0.25">
      <c r="A7" s="6" t="s">
        <v>96</v>
      </c>
      <c r="B7" s="3" t="s">
        <v>51</v>
      </c>
      <c r="C7" s="1" t="s">
        <v>100</v>
      </c>
    </row>
    <row r="8" spans="1:4" x14ac:dyDescent="0.25">
      <c r="A8" s="6" t="s">
        <v>97</v>
      </c>
      <c r="B8" s="3" t="s">
        <v>52</v>
      </c>
      <c r="C8" s="1" t="s">
        <v>101</v>
      </c>
    </row>
    <row r="9" spans="1:4" x14ac:dyDescent="0.25">
      <c r="A9" s="6">
        <v>56</v>
      </c>
      <c r="B9" s="3" t="s">
        <v>53</v>
      </c>
      <c r="C9" s="1" t="s">
        <v>102</v>
      </c>
    </row>
    <row r="10" spans="1:4" ht="27.6" x14ac:dyDescent="0.25">
      <c r="A10" s="6">
        <v>57</v>
      </c>
      <c r="B10" s="3" t="s">
        <v>54</v>
      </c>
      <c r="C10" s="4" t="s">
        <v>103</v>
      </c>
    </row>
    <row r="11" spans="1:4" ht="27.6" x14ac:dyDescent="0.25">
      <c r="A11" s="6">
        <v>110</v>
      </c>
      <c r="B11" s="3" t="s">
        <v>55</v>
      </c>
      <c r="C11" s="6" t="s">
        <v>104</v>
      </c>
    </row>
    <row r="12" spans="1:4" ht="27.6" x14ac:dyDescent="0.25">
      <c r="A12" s="6">
        <v>111</v>
      </c>
      <c r="B12" s="3" t="s">
        <v>56</v>
      </c>
      <c r="C12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2025-05-28T15:48:55Z</cp:lastPrinted>
  <dcterms:created xsi:type="dcterms:W3CDTF">2023-09-19T09:44:50Z</dcterms:created>
  <dcterms:modified xsi:type="dcterms:W3CDTF">2025-05-28T15:50:24Z</dcterms:modified>
</cp:coreProperties>
</file>