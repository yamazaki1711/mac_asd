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Новая папка\АР\61.17\"/>
    </mc:Choice>
  </mc:AlternateContent>
  <xr:revisionPtr revIDLastSave="0" documentId="13_ncr:1_{18AC3E6D-5829-44A8-A0F1-0612568822F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перекрытие'!$A$1:$BY$77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9" i="1" l="1"/>
  <c r="BU30" i="1"/>
  <c r="BU31" i="1"/>
  <c r="D40" i="1" l="1"/>
  <c r="A50" i="1" l="1"/>
  <c r="M48" i="1" l="1"/>
  <c r="CC48" i="1" s="1"/>
  <c r="X72" i="1"/>
  <c r="X66" i="1"/>
  <c r="A52" i="1"/>
  <c r="A53" i="1"/>
  <c r="A54" i="1"/>
  <c r="A51" i="1"/>
  <c r="W62" i="1"/>
  <c r="BH66" i="1"/>
  <c r="BH72" i="1" s="1"/>
  <c r="X69" i="1"/>
  <c r="CF63" i="1"/>
  <c r="CE62" i="1"/>
  <c r="BU58" i="1"/>
  <c r="BU57" i="1"/>
  <c r="BY56" i="1"/>
  <c r="CD49" i="1"/>
  <c r="CB45" i="1"/>
  <c r="BU44" i="1"/>
  <c r="BU43" i="1"/>
  <c r="BY42" i="1"/>
  <c r="BZ32" i="1"/>
  <c r="BX27" i="1"/>
  <c r="BW25" i="1"/>
  <c r="BV21" i="1"/>
  <c r="BU12" i="1"/>
  <c r="BU11" i="1"/>
  <c r="BH69" i="1" l="1"/>
</calcChain>
</file>

<file path=xl/sharedStrings.xml><?xml version="1.0" encoding="utf-8"?>
<sst xmlns="http://schemas.openxmlformats.org/spreadsheetml/2006/main" count="126" uniqueCount="115">
  <si>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</si>
  <si>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</si>
  <si>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</si>
  <si>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</si>
  <si>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</si>
  <si>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</si>
  <si>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</si>
  <si>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</si>
  <si>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</si>
  <si>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</si>
  <si>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</si>
  <si>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</si>
  <si>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</si>
  <si>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</si>
  <si>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</si>
  <si>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</si>
  <si>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</si>
  <si>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</si>
  <si>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</si>
  <si>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</si>
  <si>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</si>
  <si>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</si>
  <si>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</si>
  <si>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</si>
  <si>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</si>
  <si>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</si>
  <si>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</si>
  <si>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</si>
  <si>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</si>
  <si>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</si>
  <si>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</si>
  <si>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</si>
  <si>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</si>
  <si>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</si>
  <si>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</si>
  <si>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</si>
  <si>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</si>
  <si>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</si>
  <si>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</si>
  <si>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</si>
  <si>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</si>
  <si>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</si>
  <si>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</si>
  <si>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</si>
  <si>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</si>
  <si>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</si>
  <si>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</si>
  <si>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</si>
  <si>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</si>
  <si>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</si>
  <si>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</si>
  <si>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</si>
  <si>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</si>
  <si>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</si>
  <si>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</si>
  <si>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</si>
  <si>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</si>
  <si>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</si>
  <si>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</si>
  <si>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</si>
  <si>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</si>
  <si>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</si>
  <si>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</si>
  <si>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</si>
  <si>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</si>
  <si>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</si>
  <si>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</si>
  <si>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</si>
  <si>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</si>
  <si>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</si>
  <si>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</si>
  <si>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</si>
  <si>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</si>
  <si>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</si>
  <si>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</si>
  <si>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</si>
  <si>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</si>
  <si>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</si>
  <si>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</si>
  <si>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</si>
  <si>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</si>
  <si>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</si>
  <si>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</si>
  <si>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</si>
  <si>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</si>
  <si>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</si>
  <si>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</si>
  <si>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</si>
  <si>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</si>
  <si>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</si>
  <si>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</si>
  <si>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</si>
  <si>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</si>
  <si>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</si>
  <si>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</si>
  <si>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</si>
  <si>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</si>
  <si>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</si>
  <si>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</si>
  <si>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</si>
  <si>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сплошной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</si>
  <si>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</si>
  <si>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</si>
  <si>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</si>
  <si>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</si>
  <si>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Инженер отдела технического надзора АО «Газстройпроект»</t>
  </si>
  <si>
    <t>Халыгов Э. А.</t>
  </si>
  <si>
    <t>Журавлев Ю.С..</t>
  </si>
  <si>
    <t>Ограждение лестниц</t>
  </si>
  <si>
    <t xml:space="preserve">      Ограждение лестничное - 1 комплект.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</si>
  <si>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ГОСТ 23118-99, ГОСТ 23120-78, ГОСТ 1168-81</t>
  </si>
  <si>
    <t>АИР 1.2-61.17-АР/64Л</t>
  </si>
  <si>
    <t>ПП2020РД-1.2-61.17-АР изм. 3, л.15</t>
  </si>
  <si>
    <t>Технический паспорт № 3  от 01.03.2023 г.</t>
  </si>
  <si>
    <t>ВК произведен 
в соответствии 
с требованиями НТД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</si>
</sst>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14" fontId="4" fillId="2" borderId="0" xfId="1" applyNumberFormat="1" applyFont="1" applyFill="1" applyAlignment="1">
      <alignment horizontal="left" wrapText="1"/>
    </xf>
    <xf numFmtId="14" fontId="7" fillId="4" borderId="1" xfId="1" applyNumberFormat="1" applyFont="1" applyFill="1" applyBorder="1" applyAlignment="1">
      <alignment horizontal="left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 wrapText="1"/>
    </xf>
    <xf numFmtId="0" fontId="13" fillId="2" borderId="0" xfId="1" applyFont="1" applyFill="1" applyAlignment="1">
      <alignment horizontal="center" vertical="top"/>
    </xf>
    <xf numFmtId="0" fontId="13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 vertical="top"/>
    </xf>
    <xf numFmtId="0" fontId="11" fillId="4" borderId="1" xfId="1" applyFont="1" applyFill="1" applyBorder="1" applyAlignment="1">
      <alignment horizontal="left"/>
    </xf>
    <xf numFmtId="0" fontId="9" fillId="3" borderId="0" xfId="1" applyFont="1" applyFill="1" applyAlignment="1">
      <alignment horizontal="center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3" fillId="2" borderId="0" xfId="1" applyNumberFormat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top"/>
    </xf>
    <xf numFmtId="0" fontId="10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171450</xdr:rowOff>
    </xdr:from>
    <xdr:to>
      <xdr:col>85</xdr:col>
      <xdr:colOff>123825</xdr:colOff>
      <xdr:row>45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61</xdr:row>
      <xdr:rowOff>323850</xdr:rowOff>
    </xdr:from>
    <xdr:to>
      <xdr:col>85</xdr:col>
      <xdr:colOff>104775</xdr:colOff>
      <xdr:row>63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9"/>
  <sheetViews>
    <sheetView tabSelected="1" view="pageBreakPreview" zoomScaleNormal="100" zoomScaleSheetLayoutView="100" workbookViewId="0">
      <selection activeCell="R76" sqref="R76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66" t="s">
        <v>4</v>
      </c>
      <c r="B3" s="66"/>
      <c r="C3" s="66"/>
      <c r="D3" s="66"/>
      <c r="E3" s="66"/>
      <c r="F3" s="67" t="s">
        <v>5</v>
      </c>
      <c r="G3" s="67"/>
      <c r="H3" s="67"/>
      <c r="I3" s="68" t="s">
        <v>6</v>
      </c>
      <c r="J3" s="68"/>
      <c r="K3" s="68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66"/>
      <c r="B6" s="66"/>
      <c r="C6" s="66"/>
      <c r="D6" s="66"/>
      <c r="E6" s="66"/>
      <c r="F6" s="72"/>
      <c r="G6" s="72"/>
      <c r="H6" s="72"/>
      <c r="I6" s="68"/>
      <c r="J6" s="68"/>
      <c r="K6" s="68"/>
      <c r="AE6" s="3"/>
      <c r="AF6" s="3"/>
      <c r="AG6" s="3"/>
      <c r="AH6" s="3"/>
      <c r="AI6" s="3"/>
      <c r="AJ6" s="71" t="s">
        <v>85</v>
      </c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CM6" s="6"/>
      <c r="CN6" s="6"/>
      <c r="CO6" s="6"/>
      <c r="CP6" s="6"/>
      <c r="CQ6" s="6"/>
      <c r="CR6" s="6"/>
    </row>
    <row r="7" spans="1:96" x14ac:dyDescent="0.25">
      <c r="G7" s="73"/>
      <c r="H7" s="73"/>
      <c r="I7" s="68"/>
      <c r="J7" s="68"/>
      <c r="K7" s="68"/>
      <c r="L7" s="68"/>
      <c r="M7" s="68"/>
      <c r="N7" s="68"/>
      <c r="O7" s="68"/>
      <c r="AD7" s="3"/>
      <c r="AE7" s="3"/>
      <c r="AF7" s="3"/>
      <c r="AG7" s="3"/>
      <c r="AH7" s="3"/>
      <c r="AI7" s="3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4" t="s">
        <v>111</v>
      </c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BT9" s="1"/>
    </row>
    <row r="10" spans="1:96" ht="15" customHeight="1" x14ac:dyDescent="0.25">
      <c r="A10" s="69" t="s">
        <v>51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</row>
    <row r="11" spans="1:96" ht="15.75" customHeight="1" x14ac:dyDescent="0.25">
      <c r="A11" s="70" t="s">
        <v>108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3" t="str">
        <f>A11</f>
        <v>Ограждение лестниц</v>
      </c>
      <c r="CI11" s="1" t="s">
        <v>98</v>
      </c>
    </row>
    <row r="12" spans="1:96" x14ac:dyDescent="0.25">
      <c r="A12" s="75" t="s">
        <v>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8">
        <v>45391</v>
      </c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79" t="s">
        <v>91</v>
      </c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10"/>
      <c r="BH15" s="10"/>
      <c r="BI15" s="10"/>
      <c r="BJ15" s="76" t="s">
        <v>107</v>
      </c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CJ15" s="1" t="s">
        <v>101</v>
      </c>
    </row>
    <row r="16" spans="1:96" ht="15" customHeight="1" x14ac:dyDescent="0.25">
      <c r="T16" s="49" t="s">
        <v>13</v>
      </c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79" t="s">
        <v>105</v>
      </c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6" t="s">
        <v>106</v>
      </c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CG17" s="13"/>
      <c r="CJ17" s="1" t="s">
        <v>99</v>
      </c>
    </row>
    <row r="18" spans="1:103" x14ac:dyDescent="0.25">
      <c r="T18" s="49" t="s">
        <v>13</v>
      </c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7" t="s">
        <v>102</v>
      </c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6" t="s">
        <v>103</v>
      </c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49" t="s">
        <v>13</v>
      </c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81" t="s">
        <v>100</v>
      </c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1" t="s">
        <v>17</v>
      </c>
      <c r="BR21" s="8"/>
      <c r="BS21" s="8"/>
      <c r="BT21" s="8"/>
      <c r="BV21" s="3">
        <f>AD21</f>
        <v>0</v>
      </c>
      <c r="CI21" s="64" t="s">
        <v>95</v>
      </c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</row>
    <row r="22" spans="1:103" x14ac:dyDescent="0.25">
      <c r="E22" s="80" t="s">
        <v>55</v>
      </c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</row>
    <row r="23" spans="1:103" s="2" customFormat="1" ht="19.5" customHeight="1" x14ac:dyDescent="0.25">
      <c r="B23" s="33"/>
      <c r="C23" s="33"/>
      <c r="D23" s="41" t="s">
        <v>109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</row>
    <row r="24" spans="1:103" s="2" customFormat="1" ht="12" customHeight="1" x14ac:dyDescent="0.25">
      <c r="A24" s="44" t="s">
        <v>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</row>
    <row r="25" spans="1:103" ht="16.5" customHeight="1" x14ac:dyDescent="0.3">
      <c r="A25" s="7" t="s">
        <v>18</v>
      </c>
      <c r="R25" s="20"/>
      <c r="S25" s="45" t="s">
        <v>112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W25" s="3" t="str">
        <f>S25</f>
        <v>ПП2020РД-1.2-61.17-АР изм. 3, л.15</v>
      </c>
      <c r="CI25" s="64" t="s">
        <v>92</v>
      </c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</row>
    <row r="26" spans="1:103" s="2" customFormat="1" ht="15" customHeight="1" x14ac:dyDescent="0.25">
      <c r="P26" s="52" t="s">
        <v>19</v>
      </c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</row>
    <row r="27" spans="1:103" x14ac:dyDescent="0.25">
      <c r="A27" s="7" t="s">
        <v>20</v>
      </c>
      <c r="R27" s="46" t="s">
        <v>67</v>
      </c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X27" s="3" t="str">
        <f>R27</f>
        <v>Этап I.II. Служебное здание службы электросвето-технического обеспечения полетов (ЭСТОП)</v>
      </c>
    </row>
    <row r="28" spans="1:103" ht="12.75" customHeight="1" x14ac:dyDescent="0.25">
      <c r="A28" s="48" t="s">
        <v>21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</row>
    <row r="29" spans="1:103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96</v>
      </c>
    </row>
    <row r="30" spans="1:103" s="2" customFormat="1" hidden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42" t="s">
        <v>113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34"/>
      <c r="BV32" s="34"/>
      <c r="BZ32" s="3" t="str">
        <f>AH32</f>
        <v>Технический паспорт № 3  от 01.03.2023 г.</v>
      </c>
      <c r="CI32" s="64" t="s">
        <v>93</v>
      </c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</row>
    <row r="33" spans="1:103" ht="13.8" hidden="1" x14ac:dyDescent="0.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</row>
    <row r="34" spans="1:103" ht="12.75" hidden="1" customHeight="1" x14ac:dyDescent="0.3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</row>
    <row r="35" spans="1:103" ht="12.75" hidden="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</row>
    <row r="36" spans="1:103" ht="12.75" hidden="1" customHeight="1" x14ac:dyDescent="0.25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</row>
    <row r="37" spans="1:103" ht="13.8" hidden="1" x14ac:dyDescent="0.25">
      <c r="A37" s="50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</row>
    <row r="38" spans="1:103" ht="15" customHeight="1" x14ac:dyDescent="0.25">
      <c r="A38" s="49" t="s">
        <v>24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</row>
    <row r="39" spans="1:103" ht="12.75" customHeight="1" x14ac:dyDescent="0.25">
      <c r="A39" s="55" t="s">
        <v>79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</row>
    <row r="40" spans="1:103" s="2" customFormat="1" ht="16.5" customHeight="1" x14ac:dyDescent="0.25">
      <c r="A40" s="25" t="s">
        <v>80</v>
      </c>
      <c r="B40" s="32"/>
      <c r="C40" s="32"/>
      <c r="D40" s="59" t="str">
        <f>D23</f>
        <v xml:space="preserve">      Ограждение лестничное - 1 комплект.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</row>
    <row r="41" spans="1:103" ht="17.25" customHeight="1" x14ac:dyDescent="0.25">
      <c r="D41" s="13"/>
      <c r="E41" s="13"/>
      <c r="F41" s="13"/>
      <c r="G41" s="13"/>
      <c r="H41" s="13"/>
      <c r="I41" s="60" t="s">
        <v>25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</row>
    <row r="42" spans="1:103" s="2" customFormat="1" hidden="1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11"/>
      <c r="BV42" s="11"/>
      <c r="BW42" s="11"/>
      <c r="BX42" s="11"/>
      <c r="BY42" s="11">
        <f>A42</f>
        <v>0</v>
      </c>
      <c r="BZ42" s="11"/>
      <c r="CA42" s="11"/>
      <c r="CB42" s="11"/>
      <c r="CC42" s="11"/>
      <c r="CD42" s="11"/>
      <c r="CE42" s="11"/>
      <c r="CF42" s="11"/>
      <c r="CG42" s="12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</row>
    <row r="43" spans="1:103" s="2" customFormat="1" hidden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</row>
    <row r="44" spans="1:103" s="2" customFormat="1" hidden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</row>
    <row r="45" spans="1:103" x14ac:dyDescent="0.25">
      <c r="A45" s="1" t="s">
        <v>26</v>
      </c>
      <c r="X45" s="14"/>
      <c r="Y45" s="62" t="s">
        <v>50</v>
      </c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CB45" s="3" t="str">
        <f>Y45</f>
        <v>-</v>
      </c>
      <c r="CI45" s="64" t="s">
        <v>94</v>
      </c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</row>
    <row r="46" spans="1:10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5"/>
      <c r="Y46" s="48" t="s">
        <v>27</v>
      </c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</row>
    <row r="47" spans="1:103" ht="15" customHeight="1" x14ac:dyDescent="0.3">
      <c r="A47" s="1" t="s">
        <v>28</v>
      </c>
      <c r="AF47" s="54" t="s">
        <v>29</v>
      </c>
      <c r="AG47" s="54"/>
      <c r="AH47" s="54"/>
      <c r="AI47" s="54"/>
      <c r="AJ47" s="54"/>
      <c r="AK47" s="54"/>
      <c r="AL47" s="54"/>
      <c r="AM47" s="54"/>
      <c r="AN47" s="54"/>
      <c r="AO47" s="54"/>
      <c r="AQ47" s="1" t="s">
        <v>30</v>
      </c>
      <c r="AV47" s="57" t="s">
        <v>31</v>
      </c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</row>
    <row r="48" spans="1:103" ht="13.8" x14ac:dyDescent="0.25">
      <c r="A48" s="7" t="s">
        <v>32</v>
      </c>
      <c r="M48" s="58" t="str">
        <f>S25</f>
        <v>ПП2020РД-1.2-61.17-АР изм. 3, л.15</v>
      </c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CC48" s="3" t="str">
        <f>M48</f>
        <v>ПП2020РД-1.2-61.17-АР изм. 3, л.15</v>
      </c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</row>
    <row r="49" spans="1:16221" ht="13.5" customHeight="1" x14ac:dyDescent="0.25">
      <c r="D49" s="7" t="s">
        <v>33</v>
      </c>
      <c r="W49" s="35"/>
      <c r="X49" s="43" t="str">
        <f>AH32</f>
        <v>Технический паспорт № 3  от 01.03.2023 г.</v>
      </c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CD49" s="3">
        <f>W49</f>
        <v>0</v>
      </c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</row>
    <row r="50" spans="1:16221" ht="13.8" hidden="1" x14ac:dyDescent="0.3">
      <c r="A50" s="85">
        <f>A33</f>
        <v>0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</row>
    <row r="51" spans="1:16221" ht="13.5" hidden="1" customHeight="1" x14ac:dyDescent="0.3">
      <c r="A51" s="84">
        <f>A34</f>
        <v>0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</row>
    <row r="52" spans="1:16221" ht="13.5" hidden="1" customHeight="1" x14ac:dyDescent="0.3">
      <c r="A52" s="84">
        <f t="shared" ref="A52:A54" si="0">A35</f>
        <v>0</v>
      </c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</row>
    <row r="53" spans="1:16221" ht="13.5" hidden="1" customHeight="1" x14ac:dyDescent="0.3">
      <c r="A53" s="84">
        <f t="shared" si="0"/>
        <v>0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</row>
    <row r="54" spans="1:16221" ht="13.5" hidden="1" customHeight="1" x14ac:dyDescent="0.3">
      <c r="A54" s="84">
        <f t="shared" si="0"/>
        <v>0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</row>
    <row r="55" spans="1:16221" ht="13.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52" t="s">
        <v>34</v>
      </c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</row>
    <row r="56" spans="1:16221" s="2" customFormat="1" ht="12.75" hidden="1" customHeight="1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11"/>
      <c r="BV56" s="11"/>
      <c r="BW56" s="11"/>
      <c r="BX56" s="11"/>
      <c r="BY56" s="11">
        <f>A56</f>
        <v>0</v>
      </c>
      <c r="BZ56" s="11"/>
      <c r="CA56" s="11"/>
      <c r="CB56" s="11"/>
      <c r="CC56" s="11"/>
      <c r="CD56" s="11"/>
      <c r="CE56" s="11"/>
      <c r="CF56" s="11"/>
      <c r="CG56" s="12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</row>
    <row r="57" spans="1:16221" s="2" customFormat="1" ht="12.75" hidden="1" customHeight="1" x14ac:dyDescent="0.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11">
        <f>A57</f>
        <v>0</v>
      </c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2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</row>
    <row r="58" spans="1:16221" s="2" customFormat="1" ht="12.75" hidden="1" customHeight="1" x14ac:dyDescent="0.2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11">
        <f>A58</f>
        <v>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2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</row>
    <row r="59" spans="1:16221" s="4" customFormat="1" x14ac:dyDescent="0.25">
      <c r="A59" s="1" t="s">
        <v>35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11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5" customHeight="1" x14ac:dyDescent="0.3">
      <c r="B60" s="1"/>
      <c r="C60" s="1"/>
      <c r="D60" s="1" t="s">
        <v>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6"/>
      <c r="X60" s="36"/>
      <c r="Y60" s="36"/>
      <c r="Z60" s="36"/>
      <c r="AA60" s="86" t="s">
        <v>37</v>
      </c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88" t="s">
        <v>38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3.8" x14ac:dyDescent="0.25">
      <c r="A62" s="7" t="s">
        <v>39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21"/>
      <c r="W62" s="87" t="str">
        <f>S25</f>
        <v>ПП2020РД-1.2-61.17-АР изм. 3, л.15</v>
      </c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>
        <f>V62</f>
        <v>0</v>
      </c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2.75" customHeight="1" x14ac:dyDescent="0.3">
      <c r="A63" s="1" t="s">
        <v>40</v>
      </c>
      <c r="B63" s="1"/>
      <c r="C63" s="1"/>
      <c r="D63" s="1"/>
      <c r="E63" s="1"/>
      <c r="F63" s="1"/>
      <c r="G63" s="1"/>
      <c r="H63" s="1"/>
      <c r="I63" s="1"/>
      <c r="J63" s="1"/>
      <c r="K63" s="1"/>
      <c r="M63" s="37"/>
      <c r="N63" s="47" t="s">
        <v>110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 t="str">
        <f>N63</f>
        <v>ГОСТ 23118-99, ГОСТ 23120-78, ГОСТ 1168-81</v>
      </c>
      <c r="CH63" s="1"/>
      <c r="CI63" s="64" t="s">
        <v>97</v>
      </c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6.5" customHeight="1" x14ac:dyDescent="0.25">
      <c r="A65" s="1" t="s">
        <v>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89" t="str">
        <f>BJ15</f>
        <v>Журавлев Ю.С..</v>
      </c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1"/>
      <c r="AP66" s="1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1"/>
      <c r="BG66" s="1"/>
      <c r="BH66" s="91">
        <f>AE13</f>
        <v>45391</v>
      </c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82" t="s">
        <v>81</v>
      </c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1"/>
      <c r="AP67" s="1"/>
      <c r="AQ67" s="82" t="s">
        <v>42</v>
      </c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1"/>
      <c r="BG67" s="1"/>
      <c r="BH67" s="83" t="s">
        <v>43</v>
      </c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18"/>
      <c r="BU67" s="18"/>
      <c r="BV67" s="18"/>
      <c r="BW67" s="18"/>
      <c r="BX67" s="18"/>
      <c r="BY67" s="3"/>
      <c r="BZ67" s="3"/>
      <c r="CA67" s="3"/>
      <c r="CB67" s="3"/>
      <c r="CC67" s="3"/>
      <c r="CD67" s="3"/>
      <c r="CE67" s="3"/>
      <c r="CF67" s="3"/>
      <c r="CH67" s="1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89" t="str">
        <f>BJ17</f>
        <v>Халыгов Э. А.</v>
      </c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1"/>
      <c r="AP69" s="1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1"/>
      <c r="BG69" s="1"/>
      <c r="BH69" s="91">
        <f>BH66</f>
        <v>45391</v>
      </c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82" t="s">
        <v>81</v>
      </c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1"/>
      <c r="AP70" s="1"/>
      <c r="AQ70" s="82" t="s">
        <v>42</v>
      </c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1"/>
      <c r="BG70" s="1"/>
      <c r="BH70" s="83" t="s">
        <v>43</v>
      </c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81" t="str">
        <f>BJ19</f>
        <v>Тюкин Е.В.</v>
      </c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1"/>
      <c r="AP72" s="1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1"/>
      <c r="BG72" s="1"/>
      <c r="BH72" s="91">
        <f>BH66</f>
        <v>45391</v>
      </c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82" t="s">
        <v>81</v>
      </c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1"/>
      <c r="AP73" s="1"/>
      <c r="AQ73" s="82" t="s">
        <v>42</v>
      </c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1"/>
      <c r="BG73" s="1"/>
      <c r="BH73" s="82" t="s">
        <v>43</v>
      </c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ht="13.2" customHeight="1" x14ac:dyDescent="0.25">
      <c r="A74" s="95" t="s">
        <v>114</v>
      </c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</row>
    <row r="75" spans="1:16221" ht="12.75" customHeight="1" x14ac:dyDescent="0.2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38"/>
      <c r="P75" s="38"/>
      <c r="Q75" s="38"/>
      <c r="R75" s="38"/>
      <c r="S75" s="38"/>
      <c r="AL75" s="8"/>
      <c r="AM75" s="8"/>
      <c r="AN75" s="8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H75" s="93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</row>
    <row r="76" spans="1:16221" x14ac:dyDescent="0.25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38"/>
      <c r="P76" s="38"/>
      <c r="Q76" s="38"/>
      <c r="R76" s="38"/>
      <c r="S76" s="38"/>
      <c r="T76" s="38"/>
      <c r="U76" s="38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H76" s="94"/>
      <c r="BI76" s="94"/>
      <c r="BJ76" s="94"/>
      <c r="BK76" s="94"/>
      <c r="BL76" s="94"/>
      <c r="BM76" s="94"/>
      <c r="BN76" s="94"/>
      <c r="BO76" s="94"/>
      <c r="BP76" s="94"/>
      <c r="BQ76" s="94"/>
      <c r="BR76" s="94"/>
      <c r="BS76" s="94"/>
    </row>
    <row r="77" spans="1:16221" x14ac:dyDescent="0.25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38"/>
      <c r="P77" s="38"/>
      <c r="Q77" s="38"/>
      <c r="R77" s="38"/>
      <c r="S77" s="38"/>
      <c r="T77" s="38"/>
      <c r="U77" s="38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249" spans="7:16" ht="409.6" x14ac:dyDescent="0.25">
      <c r="G249" s="1" t="s">
        <v>47</v>
      </c>
      <c r="N249" s="19" t="s">
        <v>48</v>
      </c>
      <c r="P249" s="1" t="s">
        <v>49</v>
      </c>
    </row>
  </sheetData>
  <dataConsolidate/>
  <mergeCells count="94">
    <mergeCell ref="AQ75:BE75"/>
    <mergeCell ref="BH75:BS75"/>
    <mergeCell ref="AQ76:BE76"/>
    <mergeCell ref="BH76:BS76"/>
    <mergeCell ref="X72:AN72"/>
    <mergeCell ref="AQ72:BE72"/>
    <mergeCell ref="BH72:BS72"/>
    <mergeCell ref="X73:AN73"/>
    <mergeCell ref="AQ73:BE73"/>
    <mergeCell ref="BH73:BS73"/>
    <mergeCell ref="A74:N77"/>
    <mergeCell ref="BH67:BS67"/>
    <mergeCell ref="X69:AN69"/>
    <mergeCell ref="AQ69:BE69"/>
    <mergeCell ref="BH69:BS69"/>
    <mergeCell ref="N63:BT63"/>
    <mergeCell ref="X66:AN66"/>
    <mergeCell ref="AQ66:BE66"/>
    <mergeCell ref="BH66:BS66"/>
    <mergeCell ref="X67:AN67"/>
    <mergeCell ref="X70:AN70"/>
    <mergeCell ref="AQ70:BE70"/>
    <mergeCell ref="BH70:BS70"/>
    <mergeCell ref="A54:BT54"/>
    <mergeCell ref="A50:BT50"/>
    <mergeCell ref="AA60:BT60"/>
    <mergeCell ref="A51:BT51"/>
    <mergeCell ref="V55:BT55"/>
    <mergeCell ref="W62:BT62"/>
    <mergeCell ref="A56:BT56"/>
    <mergeCell ref="A57:BT57"/>
    <mergeCell ref="A58:BT58"/>
    <mergeCell ref="J61:BT61"/>
    <mergeCell ref="A52:BT52"/>
    <mergeCell ref="A53:BT53"/>
    <mergeCell ref="AQ67:BE67"/>
    <mergeCell ref="E22:BT22"/>
    <mergeCell ref="T18:BJ18"/>
    <mergeCell ref="T20:BJ20"/>
    <mergeCell ref="T17:BI17"/>
    <mergeCell ref="O21:BP21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CI21:CW24"/>
    <mergeCell ref="CI63:CW67"/>
    <mergeCell ref="CI45:CW48"/>
    <mergeCell ref="CI25:CX26"/>
    <mergeCell ref="CI49:CY60"/>
    <mergeCell ref="CI32:CY43"/>
    <mergeCell ref="AF47:AO47"/>
    <mergeCell ref="Y46:BT46"/>
    <mergeCell ref="A39:BT39"/>
    <mergeCell ref="AV47:CE47"/>
    <mergeCell ref="M48:BT48"/>
    <mergeCell ref="D40:BT40"/>
    <mergeCell ref="I41:BT41"/>
    <mergeCell ref="A42:BT42"/>
    <mergeCell ref="A43:BT43"/>
    <mergeCell ref="A44:BT44"/>
    <mergeCell ref="Y45:BT45"/>
    <mergeCell ref="A31:BT31"/>
    <mergeCell ref="A30:BT30"/>
    <mergeCell ref="D23:BT23"/>
    <mergeCell ref="AH32:BT32"/>
    <mergeCell ref="X49:BT49"/>
    <mergeCell ref="A24:BT24"/>
    <mergeCell ref="S25:BT25"/>
    <mergeCell ref="R27:BT27"/>
    <mergeCell ref="A33:BT33"/>
    <mergeCell ref="A28:BT28"/>
    <mergeCell ref="A38:BT38"/>
    <mergeCell ref="A37:BT37"/>
    <mergeCell ref="P26:BT26"/>
    <mergeCell ref="A36:BT36"/>
    <mergeCell ref="A34:BT34"/>
    <mergeCell ref="A35:BT35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2025-05-21T07:42:46Z</cp:lastPrinted>
  <dcterms:created xsi:type="dcterms:W3CDTF">2023-09-19T09:44:50Z</dcterms:created>
  <dcterms:modified xsi:type="dcterms:W3CDTF">2025-05-21T07:44:23Z</dcterms:modified>
</cp:coreProperties>
</file>