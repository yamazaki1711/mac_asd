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Z:\Стажеры\Вита\АР\61.17\"/>
    </mc:Choice>
  </mc:AlternateContent>
  <xr:revisionPtr revIDLastSave="0" documentId="13_ncr:1_{D68A0AE9-296E-4A77-8F30-D4AF22573CCF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акт" sheetId="18" r:id="rId1"/>
    <sheet name="подписанты" sheetId="8" r:id="rId2"/>
    <sheet name="Лист общих данных" sheetId="2" r:id="rId3"/>
  </sheets>
  <definedNames>
    <definedName name="_xlnm.Print_Area" localSheetId="0">акт!$A$1:$BT$62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18" l="1"/>
  <c r="AA42" i="18"/>
  <c r="A43" i="18" l="1"/>
  <c r="Q41" i="18"/>
  <c r="BW15" i="18" l="1"/>
  <c r="S21" i="18" l="1"/>
  <c r="S19" i="18"/>
  <c r="S17" i="18"/>
  <c r="X58" i="18" l="1"/>
  <c r="X55" i="18"/>
  <c r="BH52" i="18"/>
  <c r="BH58" i="18" s="1"/>
  <c r="X52" i="18"/>
  <c r="Y48" i="18"/>
  <c r="BH55" i="18" l="1"/>
</calcChain>
</file>

<file path=xl/sharedStrings.xml><?xml version="1.0" encoding="utf-8"?>
<sst xmlns="http://schemas.openxmlformats.org/spreadsheetml/2006/main" count="140" uniqueCount="117">
  <si>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</si>
  <si>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</si>
  <si>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</si>
  <si>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</si>
  <si>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</si>
  <si>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</si>
  <si>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</si>
  <si>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</si>
  <si>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</si>
  <si>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</si>
  <si>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</si>
  <si>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</si>
  <si>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</si>
  <si>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</si>
  <si>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</si>
  <si>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</si>
  <si>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</si>
  <si>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</si>
  <si>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</si>
  <si>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</si>
  <si>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</si>
  <si>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</si>
  <si>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</si>
  <si>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</si>
  <si>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</si>
  <si>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</si>
  <si>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</si>
  <si>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</si>
  <si>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</si>
  <si>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</si>
  <si>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</si>
  <si>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</si>
  <si>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</si>
  <si>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</si>
  <si>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</si>
  <si>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</si>
  <si>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</si>
  <si>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</si>
  <si>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</si>
  <si>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</si>
  <si>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</si>
  <si>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</si>
  <si>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</si>
  <si>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</si>
  <si>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</si>
  <si>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 xml:space="preserve">о результатах проверки изделий/материалов </t>
  </si>
  <si>
    <t>на соответствие техдокументации</t>
  </si>
  <si>
    <t xml:space="preserve">  (сплошной, выборочный )</t>
  </si>
  <si>
    <t xml:space="preserve">Наименование объекта </t>
  </si>
  <si>
    <t>Шифр чертежа КМ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</si>
  <si>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</si>
  <si>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</si>
  <si>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</si>
  <si>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</si>
  <si>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</si>
  <si>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</si>
  <si>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</si>
  <si>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 xml:space="preserve"> на изделия установлено, </t>
  </si>
  <si>
    <t>что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</si>
  <si>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</si>
  <si>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</si>
  <si>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</si>
  <si>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</si>
  <si>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>Кострова Н.Л.</t>
  </si>
  <si>
    <t>Руководитель группы МТО АО «Газстройпроект»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</si>
  <si>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</si>
  <si>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Лбова П.А.</t>
  </si>
  <si>
    <t>Инженер отдела технического надзора АО «Газстройпроект»</t>
  </si>
  <si>
    <t>Халыгов Э. А.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</si>
  <si>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</si>
  <si>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</si>
  <si>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</si>
  <si>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>проекту (соответствует, не соответствует)</t>
  </si>
  <si>
    <t xml:space="preserve">с </t>
  </si>
  <si>
    <t>до</t>
  </si>
  <si>
    <t>Должность</t>
  </si>
  <si>
    <t>ФИО</t>
  </si>
  <si>
    <t>Журавлев Ю.С.</t>
  </si>
  <si>
    <t>Ведущий инженер МТО АО «Газстройпроект»</t>
  </si>
  <si>
    <t>Ведущий нженер отдела технического надзора АО «Газстройпроект»</t>
  </si>
  <si>
    <t>Ткаченко С.В.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</si>
  <si>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</si>
  <si>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Шифр РД, изм., листы, 
Учётный лист ЖАН, письмо ООО "Газпром Инвест", письмо ООО "Транссроймеханизации" - при наличии</t>
  </si>
  <si>
    <t>Примеры написания: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</si>
  <si>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</t>
  </si>
  <si>
    <t>трубы: диаметр 25 мм толщ. 3 мм, диаметр 32 мм толщ. 4 мм</t>
  </si>
  <si>
    <t>По поворотам, отводам и т.д. необходимо уточнее в МТО ГСП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</si>
  <si>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</t>
  </si>
  <si>
    <t>Если в РД отсутствует ГОСТ-ы, ТУ или СТО пишится из паспорта</t>
  </si>
  <si>
    <t>При отсутствиее норматива в РД или паспорта остается пустым</t>
  </si>
  <si>
    <t>сплошной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</si>
  <si>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</si>
  <si>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</si>
  <si>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Будянский А.С.</t>
  </si>
  <si>
    <t>на период отпуска Ткаченко, на период отпуска Халыгова август 2024</t>
  </si>
  <si>
    <t>подписывает сейчас</t>
  </si>
  <si>
    <t>61.6</t>
  </si>
  <si>
    <t>61.17</t>
  </si>
  <si>
    <t>61.2</t>
  </si>
  <si>
    <t>№ по ГП</t>
  </si>
  <si>
    <t>ПП2020РД-1.2-61.6-ОВ1</t>
  </si>
  <si>
    <t>ПП2020РД-1.2-61.17-ОВ1</t>
  </si>
  <si>
    <t>ПП2020РД-1.2-61.2-ОВ1</t>
  </si>
  <si>
    <t>ПП2020РД-1.2-56-ОВ1</t>
  </si>
  <si>
    <t>ПП2020РД-1.2-57-ОВ1</t>
  </si>
  <si>
    <t>ПП2020РД-1.2-110-ОВ1</t>
  </si>
  <si>
    <t>ПП2020РД-1.2-111-ОВ1</t>
  </si>
  <si>
    <t>№ последнего изм</t>
  </si>
  <si>
    <t xml:space="preserve">ВК произведен в соответствиями с требованиями НТД
</t>
  </si>
  <si>
    <t>-</t>
  </si>
  <si>
    <t>АИР 1.2-61.17-АР/126р</t>
  </si>
  <si>
    <t>Затирка Plitonit</t>
  </si>
  <si>
    <t>Смесь сухая облицовочная шовная "ПЛИТОНИТ 3" - 1,5 кг</t>
  </si>
  <si>
    <t xml:space="preserve">документ о качестве б/н от 02.02.2024, </t>
  </si>
  <si>
    <t>ПП2020РД-1.2-61.17-АР изм. 3 лист 2</t>
  </si>
  <si>
    <t>декларация о соответствии № РОСС RU Д-RU.РА01.В.13815/22 с 19.04.2022 по 18.04.2027</t>
  </si>
  <si>
    <t>ГОСТ 31357-2007, ТУ 5745-100-51552155-2015, изм.№5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</si>
</sst>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;\-0;;@"/>
    <numFmt numFmtId="166" formatCode="dddd"/>
  </numFmts>
  <fonts count="22" x14ac:knownFonts="1"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2"/>
      <charset val="204"/>
    </font>
    <font>
      <strike/>
      <sz val="11"/>
      <color rgb="FFFF0000"/>
      <name val="Times New Roman"/>
      <family val="2"/>
      <charset val="204"/>
    </font>
    <font>
      <sz val="11"/>
      <color theme="1"/>
      <name val="Times New Roman"/>
      <family val="1"/>
      <charset val="204"/>
      <scheme val="minor"/>
    </font>
    <font>
      <sz val="8"/>
      <name val="Times New Roman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110">
    <xf numFmtId="0" fontId="0" fillId="0" borderId="0" xfId="0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1" fillId="2" borderId="0" xfId="1" applyFont="1" applyFill="1"/>
    <xf numFmtId="0" fontId="12" fillId="2" borderId="0" xfId="1" applyFont="1" applyFill="1"/>
    <xf numFmtId="0" fontId="13" fillId="2" borderId="0" xfId="1" applyFont="1" applyFill="1"/>
    <xf numFmtId="0" fontId="12" fillId="2" borderId="0" xfId="1" applyFont="1" applyFill="1" applyAlignment="1">
      <alignment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wrapText="1"/>
    </xf>
    <xf numFmtId="0" fontId="14" fillId="2" borderId="0" xfId="1" applyFont="1" applyFill="1"/>
    <xf numFmtId="0" fontId="14" fillId="2" borderId="0" xfId="1" applyFont="1" applyFill="1" applyAlignment="1">
      <alignment horizontal="center"/>
    </xf>
    <xf numFmtId="14" fontId="14" fillId="2" borderId="0" xfId="1" applyNumberFormat="1" applyFont="1" applyFill="1" applyAlignment="1">
      <alignment horizontal="center" vertical="center" wrapText="1"/>
    </xf>
    <xf numFmtId="0" fontId="12" fillId="2" borderId="0" xfId="1" applyFont="1" applyFill="1" applyAlignment="1">
      <alignment vertical="center"/>
    </xf>
    <xf numFmtId="0" fontId="12" fillId="2" borderId="2" xfId="1" applyFont="1" applyFill="1" applyBorder="1" applyAlignment="1">
      <alignment vertical="top"/>
    </xf>
    <xf numFmtId="0" fontId="12" fillId="0" borderId="0" xfId="1" applyFont="1"/>
    <xf numFmtId="14" fontId="14" fillId="0" borderId="0" xfId="1" applyNumberFormat="1" applyFont="1" applyAlignment="1">
      <alignment vertical="center" wrapText="1"/>
    </xf>
    <xf numFmtId="0" fontId="14" fillId="2" borderId="0" xfId="1" applyFont="1" applyFill="1" applyAlignment="1">
      <alignment horizontal="center" vertical="top"/>
    </xf>
    <xf numFmtId="0" fontId="11" fillId="2" borderId="0" xfId="1" applyFont="1" applyFill="1" applyAlignment="1">
      <alignment vertical="top" wrapText="1"/>
    </xf>
    <xf numFmtId="0" fontId="14" fillId="2" borderId="0" xfId="1" applyFont="1" applyFill="1" applyAlignment="1">
      <alignment vertical="top"/>
    </xf>
    <xf numFmtId="0" fontId="13" fillId="2" borderId="0" xfId="1" applyFont="1" applyFill="1" applyAlignment="1">
      <alignment wrapText="1"/>
    </xf>
    <xf numFmtId="0" fontId="14" fillId="2" borderId="0" xfId="1" applyFont="1" applyFill="1" applyAlignment="1">
      <alignment wrapText="1"/>
    </xf>
    <xf numFmtId="0" fontId="12" fillId="2" borderId="0" xfId="1" applyFont="1" applyFill="1" applyAlignment="1">
      <alignment horizontal="center" wrapText="1"/>
    </xf>
    <xf numFmtId="0" fontId="12" fillId="2" borderId="0" xfId="1" applyFont="1" applyFill="1" applyAlignment="1">
      <alignment horizontal="center" vertical="top" wrapText="1"/>
    </xf>
    <xf numFmtId="0" fontId="16" fillId="2" borderId="2" xfId="1" applyFont="1" applyFill="1" applyBorder="1" applyAlignment="1">
      <alignment vertical="top"/>
    </xf>
    <xf numFmtId="165" fontId="11" fillId="2" borderId="0" xfId="1" applyNumberFormat="1" applyFont="1" applyFill="1" applyAlignment="1">
      <alignment vertical="center" wrapText="1"/>
    </xf>
    <xf numFmtId="165" fontId="11" fillId="2" borderId="0" xfId="1" applyNumberFormat="1" applyFont="1" applyFill="1" applyAlignment="1">
      <alignment vertical="top" wrapText="1"/>
    </xf>
    <xf numFmtId="0" fontId="16" fillId="2" borderId="0" xfId="1" applyFont="1" applyFill="1"/>
    <xf numFmtId="14" fontId="14" fillId="2" borderId="0" xfId="1" applyNumberFormat="1" applyFont="1" applyFill="1" applyAlignment="1">
      <alignment vertical="top" wrapText="1"/>
    </xf>
    <xf numFmtId="14" fontId="11" fillId="2" borderId="0" xfId="1" applyNumberFormat="1" applyFont="1" applyFill="1" applyAlignment="1">
      <alignment vertical="top" wrapText="1"/>
    </xf>
    <xf numFmtId="0" fontId="12" fillId="2" borderId="0" xfId="1" applyFont="1" applyFill="1" applyAlignment="1">
      <alignment horizontal="center" vertical="top"/>
    </xf>
    <xf numFmtId="0" fontId="12" fillId="2" borderId="0" xfId="1" applyFont="1" applyFill="1" applyAlignment="1">
      <alignment horizontal="left" wrapText="1"/>
    </xf>
    <xf numFmtId="0" fontId="7" fillId="2" borderId="0" xfId="1" applyFont="1" applyFill="1" applyAlignment="1">
      <alignment horizontal="left" wrapText="1"/>
    </xf>
    <xf numFmtId="0" fontId="5" fillId="0" borderId="0" xfId="0" applyFont="1"/>
    <xf numFmtId="0" fontId="18" fillId="0" borderId="0" xfId="1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/>
    <xf numFmtId="0" fontId="1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7" fillId="2" borderId="0" xfId="1" applyFont="1" applyFill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14" fontId="19" fillId="0" borderId="0" xfId="0" applyNumberFormat="1" applyFont="1" applyAlignment="1">
      <alignment vertical="center"/>
    </xf>
    <xf numFmtId="0" fontId="1" fillId="0" borderId="0" xfId="0" applyFont="1"/>
    <xf numFmtId="166" fontId="0" fillId="0" borderId="0" xfId="0" applyNumberFormat="1"/>
    <xf numFmtId="0" fontId="14" fillId="2" borderId="0" xfId="1" applyFont="1" applyFill="1" applyAlignment="1">
      <alignment vertical="top" wrapText="1"/>
    </xf>
    <xf numFmtId="0" fontId="15" fillId="2" borderId="0" xfId="1" applyFont="1" applyFill="1" applyAlignment="1">
      <alignment wrapText="1"/>
    </xf>
    <xf numFmtId="0" fontId="20" fillId="0" borderId="0" xfId="0" applyFont="1"/>
    <xf numFmtId="0" fontId="0" fillId="0" borderId="0" xfId="0" applyAlignment="1">
      <alignment horizontal="left" vertical="top" wrapText="1"/>
    </xf>
    <xf numFmtId="14" fontId="14" fillId="4" borderId="1" xfId="1" applyNumberFormat="1" applyFont="1" applyFill="1" applyBorder="1" applyAlignment="1">
      <alignment horizontal="left" vertical="center" wrapText="1"/>
    </xf>
    <xf numFmtId="0" fontId="14" fillId="4" borderId="1" xfId="1" applyFont="1" applyFill="1" applyBorder="1" applyAlignment="1">
      <alignment horizontal="left"/>
    </xf>
    <xf numFmtId="164" fontId="14" fillId="4" borderId="1" xfId="1" applyNumberFormat="1" applyFont="1" applyFill="1" applyBorder="1" applyAlignment="1">
      <alignment horizontal="center"/>
    </xf>
    <xf numFmtId="0" fontId="16" fillId="2" borderId="2" xfId="1" applyFont="1" applyFill="1" applyBorder="1" applyAlignment="1">
      <alignment horizontal="center" vertical="top"/>
    </xf>
    <xf numFmtId="0" fontId="12" fillId="3" borderId="0" xfId="1" applyFont="1" applyFill="1" applyAlignment="1">
      <alignment horizontal="left" wrapText="1"/>
    </xf>
    <xf numFmtId="0" fontId="12" fillId="3" borderId="1" xfId="1" applyFont="1" applyFill="1" applyBorder="1" applyAlignment="1">
      <alignment horizontal="right"/>
    </xf>
    <xf numFmtId="0" fontId="16" fillId="2" borderId="0" xfId="1" applyFont="1" applyFill="1" applyAlignment="1">
      <alignment horizontal="center" vertical="center"/>
    </xf>
    <xf numFmtId="0" fontId="12" fillId="3" borderId="1" xfId="1" applyFont="1" applyFill="1" applyBorder="1" applyAlignment="1">
      <alignment horizontal="left" wrapText="1"/>
    </xf>
    <xf numFmtId="0" fontId="16" fillId="2" borderId="0" xfId="1" applyFont="1" applyFill="1" applyAlignment="1">
      <alignment horizontal="center" vertical="top"/>
    </xf>
    <xf numFmtId="0" fontId="12" fillId="3" borderId="1" xfId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/>
    </xf>
    <xf numFmtId="49" fontId="13" fillId="2" borderId="0" xfId="1" applyNumberFormat="1" applyFont="1" applyFill="1" applyAlignment="1">
      <alignment horizontal="center" vertical="center"/>
    </xf>
    <xf numFmtId="0" fontId="13" fillId="2" borderId="0" xfId="1" applyFont="1" applyFill="1" applyAlignment="1">
      <alignment horizontal="left"/>
    </xf>
    <xf numFmtId="0" fontId="12" fillId="2" borderId="0" xfId="1" applyFont="1" applyFill="1" applyAlignment="1">
      <alignment horizontal="left" wrapText="1"/>
    </xf>
    <xf numFmtId="49" fontId="12" fillId="2" borderId="0" xfId="1" applyNumberFormat="1" applyFont="1" applyFill="1" applyAlignment="1">
      <alignment horizontal="center"/>
    </xf>
    <xf numFmtId="0" fontId="14" fillId="4" borderId="0" xfId="1" applyFont="1" applyFill="1" applyAlignment="1">
      <alignment horizontal="left"/>
    </xf>
    <xf numFmtId="0" fontId="14" fillId="0" borderId="0" xfId="1" applyFont="1" applyAlignment="1">
      <alignment horizontal="center"/>
    </xf>
    <xf numFmtId="14" fontId="14" fillId="2" borderId="0" xfId="1" applyNumberFormat="1" applyFont="1" applyFill="1" applyAlignment="1">
      <alignment horizontal="center" wrapText="1"/>
    </xf>
    <xf numFmtId="0" fontId="12" fillId="3" borderId="1" xfId="1" applyFont="1" applyFill="1" applyBorder="1" applyAlignment="1">
      <alignment horizontal="center"/>
    </xf>
    <xf numFmtId="0" fontId="11" fillId="2" borderId="0" xfId="1" applyFont="1" applyFill="1" applyAlignment="1">
      <alignment horizontal="center"/>
    </xf>
    <xf numFmtId="0" fontId="16" fillId="2" borderId="0" xfId="1" applyFont="1" applyFill="1" applyAlignment="1">
      <alignment horizontal="right" vertical="top" wrapText="1"/>
    </xf>
    <xf numFmtId="14" fontId="14" fillId="2" borderId="0" xfId="1" applyNumberFormat="1" applyFont="1" applyFill="1" applyAlignment="1">
      <alignment horizontal="center" vertical="top" wrapText="1"/>
    </xf>
    <xf numFmtId="14" fontId="16" fillId="2" borderId="0" xfId="1" applyNumberFormat="1" applyFont="1" applyFill="1" applyAlignment="1">
      <alignment horizontal="center" vertical="top" wrapText="1"/>
    </xf>
    <xf numFmtId="0" fontId="14" fillId="4" borderId="1" xfId="1" applyFont="1" applyFill="1" applyBorder="1" applyAlignment="1">
      <alignment horizontal="left" vertical="top" wrapText="1"/>
    </xf>
    <xf numFmtId="0" fontId="16" fillId="2" borderId="0" xfId="1" applyFont="1" applyFill="1" applyAlignment="1">
      <alignment horizontal="left" vertical="top"/>
    </xf>
    <xf numFmtId="0" fontId="11" fillId="4" borderId="0" xfId="1" applyFont="1" applyFill="1" applyAlignment="1">
      <alignment horizontal="left" vertical="top" wrapText="1"/>
    </xf>
    <xf numFmtId="0" fontId="11" fillId="3" borderId="0" xfId="1" applyFont="1" applyFill="1" applyAlignment="1">
      <alignment horizontal="center"/>
    </xf>
    <xf numFmtId="0" fontId="12" fillId="2" borderId="0" xfId="1" applyFont="1" applyFill="1" applyAlignment="1">
      <alignment horizontal="left"/>
    </xf>
    <xf numFmtId="0" fontId="14" fillId="3" borderId="1" xfId="1" applyFont="1" applyFill="1" applyBorder="1" applyAlignment="1">
      <alignment horizontal="left"/>
    </xf>
    <xf numFmtId="0" fontId="14" fillId="3" borderId="1" xfId="1" applyFont="1" applyFill="1" applyBorder="1" applyAlignment="1">
      <alignment horizontal="left" vertical="top" wrapText="1"/>
    </xf>
    <xf numFmtId="14" fontId="14" fillId="3" borderId="1" xfId="1" applyNumberFormat="1" applyFont="1" applyFill="1" applyBorder="1" applyAlignment="1">
      <alignment horizontal="left" vertical="top" wrapText="1"/>
    </xf>
    <xf numFmtId="165" fontId="12" fillId="3" borderId="1" xfId="1" applyNumberFormat="1" applyFont="1" applyFill="1" applyBorder="1" applyAlignment="1">
      <alignment horizontal="center"/>
    </xf>
    <xf numFmtId="0" fontId="12" fillId="2" borderId="1" xfId="1" applyFont="1" applyFill="1" applyBorder="1" applyAlignment="1">
      <alignment horizontal="center"/>
    </xf>
    <xf numFmtId="14" fontId="12" fillId="3" borderId="1" xfId="1" applyNumberFormat="1" applyFont="1" applyFill="1" applyBorder="1" applyAlignment="1">
      <alignment horizontal="center"/>
    </xf>
    <xf numFmtId="0" fontId="14" fillId="4" borderId="1" xfId="1" applyFont="1" applyFill="1" applyBorder="1" applyAlignment="1">
      <alignment horizontal="left" wrapText="1"/>
    </xf>
    <xf numFmtId="0" fontId="0" fillId="0" borderId="0" xfId="0" applyAlignment="1">
      <alignment horizontal="left" vertical="top" wrapText="1"/>
    </xf>
    <xf numFmtId="14" fontId="14" fillId="3" borderId="1" xfId="1" applyNumberFormat="1" applyFont="1" applyFill="1" applyBorder="1" applyAlignment="1">
      <alignment horizontal="left" vertical="center" wrapText="1"/>
    </xf>
    <xf numFmtId="0" fontId="14" fillId="3" borderId="1" xfId="1" applyFont="1" applyFill="1" applyBorder="1" applyAlignment="1">
      <alignment horizontal="left" vertical="center" wrapText="1"/>
    </xf>
    <xf numFmtId="0" fontId="17" fillId="0" borderId="2" xfId="1" applyFont="1" applyBorder="1" applyAlignment="1">
      <alignment horizontal="center" vertical="top"/>
    </xf>
    <xf numFmtId="14" fontId="14" fillId="4" borderId="1" xfId="1" applyNumberFormat="1" applyFont="1" applyFill="1" applyBorder="1" applyAlignment="1">
      <alignment horizontal="left" vertical="top" wrapText="1"/>
    </xf>
    <xf numFmtId="0" fontId="12" fillId="2" borderId="0" xfId="1" applyFont="1" applyFill="1" applyAlignment="1">
      <alignment horizontal="left" vertical="center"/>
    </xf>
    <xf numFmtId="0" fontId="11" fillId="2" borderId="0" xfId="1" applyFont="1" applyFill="1" applyAlignment="1">
      <alignment horizontal="left" vertical="center"/>
    </xf>
    <xf numFmtId="165" fontId="14" fillId="3" borderId="1" xfId="1" applyNumberFormat="1" applyFont="1" applyFill="1" applyBorder="1" applyAlignment="1">
      <alignment horizontal="left" vertical="top" wrapText="1"/>
    </xf>
    <xf numFmtId="0" fontId="14" fillId="4" borderId="1" xfId="1" applyFont="1" applyFill="1" applyBorder="1" applyAlignment="1">
      <alignment horizontal="center" vertical="center" wrapText="1"/>
    </xf>
    <xf numFmtId="0" fontId="11" fillId="4" borderId="1" xfId="1" applyFont="1" applyFill="1" applyBorder="1" applyAlignment="1">
      <alignment horizontal="center" vertical="center" wrapText="1"/>
    </xf>
    <xf numFmtId="0" fontId="16" fillId="2" borderId="2" xfId="1" applyFont="1" applyFill="1" applyBorder="1" applyAlignment="1">
      <alignment horizontal="left" vertical="top"/>
    </xf>
    <xf numFmtId="0" fontId="11" fillId="3" borderId="0" xfId="1" applyFont="1" applyFill="1" applyAlignment="1">
      <alignment horizontal="left"/>
    </xf>
    <xf numFmtId="14" fontId="12" fillId="2" borderId="0" xfId="1" applyNumberFormat="1" applyFont="1" applyFill="1" applyAlignment="1">
      <alignment horizontal="center"/>
    </xf>
    <xf numFmtId="0" fontId="12" fillId="2" borderId="0" xfId="1" applyFont="1" applyFill="1" applyAlignment="1">
      <alignment horizontal="center" vertical="top"/>
    </xf>
    <xf numFmtId="0" fontId="14" fillId="2" borderId="0" xfId="1" applyFont="1" applyFill="1" applyAlignment="1">
      <alignment horizontal="left" vertical="top" wrapText="1"/>
    </xf>
    <xf numFmtId="14" fontId="14" fillId="4" borderId="1" xfId="1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12</xdr:row>
      <xdr:rowOff>97155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680960" y="1783080"/>
          <a:ext cx="1131570" cy="5924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22</xdr:row>
      <xdr:rowOff>0</xdr:rowOff>
    </xdr:from>
    <xdr:to>
      <xdr:col>75</xdr:col>
      <xdr:colOff>521970</xdr:colOff>
      <xdr:row>23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391400" y="4358640"/>
          <a:ext cx="113157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26</xdr:row>
      <xdr:rowOff>0</xdr:rowOff>
    </xdr:from>
    <xdr:to>
      <xdr:col>75</xdr:col>
      <xdr:colOff>521970</xdr:colOff>
      <xdr:row>28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91400" y="52349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31</xdr:row>
      <xdr:rowOff>0</xdr:rowOff>
    </xdr:from>
    <xdr:to>
      <xdr:col>75</xdr:col>
      <xdr:colOff>521970</xdr:colOff>
      <xdr:row>33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391400" y="61112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43</xdr:row>
      <xdr:rowOff>0</xdr:rowOff>
    </xdr:from>
    <xdr:to>
      <xdr:col>75</xdr:col>
      <xdr:colOff>521970</xdr:colOff>
      <xdr:row>44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391400" y="7863840"/>
          <a:ext cx="113157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54</xdr:row>
      <xdr:rowOff>0</xdr:rowOff>
    </xdr:from>
    <xdr:to>
      <xdr:col>75</xdr:col>
      <xdr:colOff>521970</xdr:colOff>
      <xdr:row>56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391400" y="9441180"/>
          <a:ext cx="1131570" cy="2419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CE63"/>
  <sheetViews>
    <sheetView tabSelected="1" view="pageBreakPreview" topLeftCell="A43" zoomScaleNormal="100" zoomScaleSheetLayoutView="100" workbookViewId="0">
      <selection activeCell="N49" sqref="N49:BT49"/>
    </sheetView>
  </sheetViews>
  <sheetFormatPr defaultRowHeight="13.8" x14ac:dyDescent="0.25"/>
  <cols>
    <col min="1" max="12" width="1.44140625" customWidth="1"/>
    <col min="13" max="13" width="2.33203125" customWidth="1"/>
    <col min="14" max="71" width="1.44140625" customWidth="1"/>
    <col min="72" max="72" width="7.77734375" customWidth="1"/>
    <col min="73" max="73" width="9.5546875" customWidth="1"/>
    <col min="74" max="74" width="5.6640625" customWidth="1"/>
    <col min="75" max="75" width="14.5546875" bestFit="1" customWidth="1"/>
  </cols>
  <sheetData>
    <row r="1" spans="1:7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69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5" x14ac:dyDescent="0.25">
      <c r="A3" s="69" t="s">
        <v>4</v>
      </c>
      <c r="B3" s="69"/>
      <c r="C3" s="69"/>
      <c r="D3" s="69"/>
      <c r="E3" s="69"/>
      <c r="F3" s="70" t="s">
        <v>5</v>
      </c>
      <c r="G3" s="70"/>
      <c r="H3" s="70"/>
      <c r="I3" s="71" t="s">
        <v>6</v>
      </c>
      <c r="J3" s="71"/>
      <c r="K3" s="7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70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71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5" x14ac:dyDescent="0.25">
      <c r="A6" s="69"/>
      <c r="B6" s="69"/>
      <c r="C6" s="69"/>
      <c r="D6" s="69"/>
      <c r="E6" s="69"/>
      <c r="F6" s="70"/>
      <c r="G6" s="70"/>
      <c r="H6" s="70"/>
      <c r="I6" s="71"/>
      <c r="J6" s="71"/>
      <c r="K6" s="71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72" t="s">
        <v>61</v>
      </c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</row>
    <row r="7" spans="1:75" x14ac:dyDescent="0.25">
      <c r="A7" s="8"/>
      <c r="B7" s="8"/>
      <c r="C7" s="8"/>
      <c r="D7" s="8"/>
      <c r="E7" s="8"/>
      <c r="F7" s="8"/>
      <c r="G7" s="73"/>
      <c r="H7" s="73"/>
      <c r="I7" s="71"/>
      <c r="J7" s="71"/>
      <c r="K7" s="71"/>
      <c r="L7" s="71"/>
      <c r="M7" s="71"/>
      <c r="N7" s="71"/>
      <c r="O7" s="71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</row>
    <row r="8" spans="1:7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74" t="s">
        <v>110</v>
      </c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5" x14ac:dyDescent="0.25">
      <c r="A10" s="75" t="s">
        <v>45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</row>
    <row r="11" spans="1:75" ht="7.8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5" ht="16.2" customHeight="1" x14ac:dyDescent="0.25">
      <c r="A12" s="109" t="s">
        <v>111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09"/>
      <c r="BL12" s="109"/>
      <c r="BM12" s="109"/>
      <c r="BN12" s="109"/>
      <c r="BO12" s="109"/>
      <c r="BP12" s="109"/>
      <c r="BQ12" s="109"/>
      <c r="BR12" s="109"/>
      <c r="BS12" s="109"/>
      <c r="BT12" s="109"/>
    </row>
    <row r="13" spans="1:75" ht="9" customHeight="1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</row>
    <row r="14" spans="1:75" ht="12" customHeight="1" x14ac:dyDescent="0.25">
      <c r="A14" s="76" t="s">
        <v>46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</row>
    <row r="15" spans="1:75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13" t="s">
        <v>9</v>
      </c>
      <c r="AB15" s="8"/>
      <c r="AC15" s="8"/>
      <c r="AD15" s="8"/>
      <c r="AE15" s="61">
        <v>45328</v>
      </c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16"/>
      <c r="AV15" s="16"/>
      <c r="AW15" s="16"/>
      <c r="AX15" s="16"/>
      <c r="AY15" s="16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12"/>
      <c r="BW15" s="54">
        <f>AE15</f>
        <v>45328</v>
      </c>
    </row>
    <row r="16" spans="1:75" x14ac:dyDescent="0.25">
      <c r="A16" s="8" t="s">
        <v>10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 t="s">
        <v>11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12"/>
    </row>
    <row r="17" spans="1:83" x14ac:dyDescent="0.25">
      <c r="A17" s="8" t="s">
        <v>12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63" t="str">
        <f>VLOOKUP(BJ17,подписанты!$B$3:$C$11,2,FALSE)</f>
        <v>Руководитель группы МТО АО «Газстройпроект»</v>
      </c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4" t="s">
        <v>63</v>
      </c>
      <c r="BK17" s="64"/>
      <c r="BL17" s="64"/>
      <c r="BM17" s="64"/>
      <c r="BN17" s="64"/>
      <c r="BO17" s="64"/>
      <c r="BP17" s="64"/>
      <c r="BQ17" s="64"/>
      <c r="BR17" s="64"/>
      <c r="BS17" s="64"/>
      <c r="BT17" s="64"/>
    </row>
    <row r="18" spans="1:83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62" t="s">
        <v>13</v>
      </c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27"/>
      <c r="BL18" s="27"/>
      <c r="BM18" s="27"/>
      <c r="BN18" s="27"/>
      <c r="BO18" s="27"/>
      <c r="BP18" s="17"/>
      <c r="BQ18" s="17"/>
      <c r="BR18" s="17"/>
      <c r="BS18" s="17"/>
      <c r="BT18" s="17"/>
    </row>
    <row r="19" spans="1:83" x14ac:dyDescent="0.25">
      <c r="A19" s="8" t="s">
        <v>14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66" t="str">
        <f>VLOOKUP(BJ19,подписанты!$B$3:$C$11,2,FALSE)</f>
        <v>Инженер отдела технического надзора АО «Газстройпроект»</v>
      </c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4" t="s">
        <v>68</v>
      </c>
      <c r="BK19" s="64"/>
      <c r="BL19" s="64"/>
      <c r="BM19" s="64"/>
      <c r="BN19" s="64"/>
      <c r="BO19" s="64"/>
      <c r="BP19" s="64"/>
      <c r="BQ19" s="64"/>
      <c r="BR19" s="64"/>
      <c r="BS19" s="64"/>
      <c r="BT19" s="64"/>
    </row>
    <row r="20" spans="1:83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67" t="s">
        <v>13</v>
      </c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2"/>
      <c r="BK20" s="17"/>
      <c r="BL20" s="17"/>
      <c r="BM20" s="17"/>
      <c r="BN20" s="17"/>
      <c r="BO20" s="17"/>
      <c r="BP20" s="17"/>
      <c r="BQ20" s="17"/>
      <c r="BR20" s="17"/>
      <c r="BS20" s="17"/>
      <c r="BT20" s="17"/>
    </row>
    <row r="21" spans="1:83" ht="40.049999999999997" customHeight="1" x14ac:dyDescent="0.25">
      <c r="A21" s="8" t="s">
        <v>15</v>
      </c>
      <c r="B21" s="8"/>
      <c r="C21" s="8"/>
      <c r="D21" s="8"/>
      <c r="E21" s="8"/>
      <c r="F21" s="8"/>
      <c r="G21" s="8"/>
      <c r="H21" s="8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63" t="str">
        <f>VLOOKUP(BJ21,подписанты!$B$3:$C$11,2,FALSE)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8" t="s">
        <v>92</v>
      </c>
      <c r="BK21" s="68"/>
      <c r="BL21" s="68"/>
      <c r="BM21" s="68"/>
      <c r="BN21" s="68"/>
      <c r="BO21" s="68"/>
      <c r="BP21" s="68"/>
      <c r="BQ21" s="68"/>
      <c r="BR21" s="68"/>
      <c r="BS21" s="68"/>
      <c r="BT21" s="68"/>
    </row>
    <row r="22" spans="1:83" x14ac:dyDescent="0.25">
      <c r="A22" s="8"/>
      <c r="B22" s="8"/>
      <c r="C22" s="8"/>
      <c r="D22" s="8"/>
      <c r="E22" s="8"/>
      <c r="F22" s="8"/>
      <c r="G22" s="8"/>
      <c r="H22" s="8"/>
      <c r="I22" s="8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62" t="s">
        <v>13</v>
      </c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10"/>
      <c r="BL22" s="10"/>
      <c r="BM22" s="10"/>
      <c r="BN22" s="10"/>
      <c r="BO22" s="10"/>
      <c r="BP22" s="10"/>
      <c r="BQ22" s="10"/>
      <c r="BR22" s="10"/>
      <c r="BS22" s="10"/>
      <c r="BT22" s="10"/>
    </row>
    <row r="23" spans="1:83" x14ac:dyDescent="0.25">
      <c r="A23" s="8" t="s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18"/>
      <c r="O23" s="77" t="s">
        <v>90</v>
      </c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Q23" s="8" t="s">
        <v>17</v>
      </c>
      <c r="BR23" s="13"/>
      <c r="BS23" s="13"/>
      <c r="BT23" s="13"/>
      <c r="BY23" s="94" t="s">
        <v>81</v>
      </c>
      <c r="BZ23" s="94"/>
      <c r="CA23" s="94"/>
      <c r="CB23" s="94"/>
      <c r="CC23" s="94"/>
      <c r="CD23" s="94"/>
      <c r="CE23" s="94"/>
    </row>
    <row r="24" spans="1:83" ht="13.8" customHeight="1" x14ac:dyDescent="0.25">
      <c r="A24" s="8"/>
      <c r="B24" s="8"/>
      <c r="C24" s="8"/>
      <c r="D24" s="8"/>
      <c r="E24" s="65" t="s">
        <v>47</v>
      </c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Y24" s="94"/>
      <c r="BZ24" s="94"/>
      <c r="CA24" s="94"/>
      <c r="CB24" s="94"/>
      <c r="CC24" s="94"/>
      <c r="CD24" s="94"/>
      <c r="CE24" s="94"/>
    </row>
    <row r="25" spans="1:83" ht="16.2" customHeight="1" x14ac:dyDescent="0.25">
      <c r="A25" s="59" t="s">
        <v>112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Y25" s="58"/>
      <c r="BZ25" s="58"/>
      <c r="CA25" s="58"/>
      <c r="CB25" s="58"/>
      <c r="CC25" s="58"/>
      <c r="CD25" s="58"/>
      <c r="CE25" s="58"/>
    </row>
    <row r="26" spans="1:83" x14ac:dyDescent="0.25">
      <c r="A26" s="80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</row>
    <row r="27" spans="1:83" ht="13.8" customHeight="1" x14ac:dyDescent="0.25">
      <c r="A27" s="10" t="s">
        <v>18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6"/>
      <c r="S27" s="8"/>
      <c r="T27" s="55"/>
      <c r="U27" s="82" t="s">
        <v>114</v>
      </c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82"/>
      <c r="BY27" s="94" t="s">
        <v>82</v>
      </c>
      <c r="BZ27" s="94"/>
      <c r="CA27" s="94"/>
      <c r="CB27" s="94"/>
      <c r="CC27" s="94"/>
      <c r="CD27" s="94"/>
    </row>
    <row r="28" spans="1:83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83" t="s">
        <v>19</v>
      </c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Y28" s="94"/>
      <c r="BZ28" s="94"/>
      <c r="CA28" s="94"/>
      <c r="CB28" s="94"/>
      <c r="CC28" s="94"/>
      <c r="CD28" s="94"/>
    </row>
    <row r="29" spans="1:83" x14ac:dyDescent="0.25">
      <c r="A29" s="10" t="s">
        <v>20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21"/>
      <c r="T29" s="21"/>
      <c r="U29" s="84" t="s">
        <v>51</v>
      </c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Y29" s="94"/>
      <c r="BZ29" s="94"/>
      <c r="CA29" s="94"/>
      <c r="CB29" s="94"/>
      <c r="CC29" s="94"/>
      <c r="CD29" s="94"/>
    </row>
    <row r="30" spans="1:83" x14ac:dyDescent="0.25">
      <c r="A30" s="67" t="s">
        <v>21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</row>
    <row r="31" spans="1:83" x14ac:dyDescent="0.25">
      <c r="A31" s="8"/>
      <c r="B31" s="8"/>
      <c r="C31" s="8"/>
      <c r="D31" s="8" t="s">
        <v>22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9"/>
      <c r="AG31" s="7"/>
      <c r="AH31" s="7"/>
      <c r="AI31" s="7"/>
      <c r="AJ31" s="7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</row>
    <row r="32" spans="1:83" x14ac:dyDescent="0.25">
      <c r="A32" s="8" t="s">
        <v>23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31"/>
      <c r="AJ32" s="8"/>
      <c r="AK32" s="98" t="s">
        <v>113</v>
      </c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Y32" s="44" t="s">
        <v>83</v>
      </c>
    </row>
    <row r="33" spans="1:83" x14ac:dyDescent="0.25">
      <c r="A33" s="60" t="s">
        <v>115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Y33" s="94" t="s">
        <v>84</v>
      </c>
      <c r="BZ33" s="94"/>
      <c r="CA33" s="94"/>
      <c r="CB33" s="94"/>
      <c r="CC33" s="94"/>
      <c r="CD33" s="94"/>
      <c r="CE33" s="94"/>
    </row>
    <row r="34" spans="1:83" x14ac:dyDescent="0.25">
      <c r="A34" s="62" t="s">
        <v>24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  <c r="BT34" s="62"/>
      <c r="BY34" s="94"/>
      <c r="BZ34" s="94"/>
      <c r="CA34" s="94"/>
      <c r="CB34" s="94"/>
      <c r="CC34" s="94"/>
      <c r="CD34" s="94"/>
      <c r="CE34" s="94"/>
    </row>
    <row r="35" spans="1:83" x14ac:dyDescent="0.25">
      <c r="A35" s="99" t="s">
        <v>57</v>
      </c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0"/>
      <c r="BL35" s="100"/>
      <c r="BM35" s="100"/>
      <c r="BN35" s="100"/>
      <c r="BO35" s="100"/>
      <c r="BP35" s="100"/>
      <c r="BQ35" s="100"/>
      <c r="BR35" s="100"/>
      <c r="BS35" s="100"/>
      <c r="BT35" s="100"/>
      <c r="BY35" s="94"/>
      <c r="BZ35" s="94"/>
      <c r="CA35" s="94"/>
      <c r="CB35" s="94"/>
      <c r="CC35" s="94"/>
      <c r="CD35" s="94"/>
      <c r="CE35" s="94"/>
    </row>
    <row r="36" spans="1:83" ht="16.8" customHeight="1" x14ac:dyDescent="0.25">
      <c r="A36" s="18" t="s">
        <v>58</v>
      </c>
      <c r="B36" s="19"/>
      <c r="C36" s="19"/>
      <c r="D36" s="95" t="str">
        <f>A25</f>
        <v>Смесь сухая облицовочная шовная "ПЛИТОНИТ 3" - 1,5 кг</v>
      </c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96"/>
      <c r="AR36" s="96"/>
      <c r="AS36" s="96"/>
      <c r="AT36" s="96"/>
      <c r="AU36" s="96"/>
      <c r="AV36" s="96"/>
      <c r="AW36" s="96"/>
      <c r="AX36" s="96"/>
      <c r="AY36" s="96"/>
      <c r="AZ36" s="96"/>
      <c r="BA36" s="96"/>
      <c r="BB36" s="96"/>
      <c r="BC36" s="96"/>
      <c r="BD36" s="96"/>
      <c r="BE36" s="96"/>
      <c r="BF36" s="96"/>
      <c r="BG36" s="96"/>
      <c r="BH36" s="96"/>
      <c r="BI36" s="96"/>
      <c r="BJ36" s="96"/>
      <c r="BK36" s="96"/>
      <c r="BL36" s="96"/>
      <c r="BM36" s="96"/>
      <c r="BN36" s="96"/>
      <c r="BO36" s="96"/>
      <c r="BP36" s="96"/>
      <c r="BQ36" s="96"/>
      <c r="BR36" s="96"/>
      <c r="BS36" s="96"/>
      <c r="BT36" s="96"/>
      <c r="BY36" s="94"/>
      <c r="BZ36" s="94"/>
      <c r="CA36" s="94"/>
      <c r="CB36" s="94"/>
      <c r="CC36" s="94"/>
      <c r="CD36" s="94"/>
      <c r="CE36" s="94"/>
    </row>
    <row r="37" spans="1:83" x14ac:dyDescent="0.25">
      <c r="A37" s="8"/>
      <c r="B37" s="8"/>
      <c r="C37" s="8"/>
      <c r="D37" s="97" t="s">
        <v>25</v>
      </c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/>
      <c r="BD37" s="97"/>
      <c r="BE37" s="97"/>
      <c r="BF37" s="97"/>
      <c r="BG37" s="97"/>
      <c r="BH37" s="97"/>
      <c r="BI37" s="97"/>
      <c r="BJ37" s="97"/>
      <c r="BK37" s="97"/>
      <c r="BL37" s="97"/>
      <c r="BM37" s="97"/>
      <c r="BN37" s="97"/>
      <c r="BO37" s="97"/>
      <c r="BP37" s="97"/>
      <c r="BQ37" s="97"/>
      <c r="BR37" s="97"/>
      <c r="BS37" s="97"/>
      <c r="BT37" s="97"/>
      <c r="BY37" s="94"/>
      <c r="BZ37" s="94"/>
      <c r="CA37" s="94"/>
      <c r="CB37" s="94"/>
      <c r="CC37" s="94"/>
      <c r="CD37" s="94"/>
      <c r="CE37" s="94"/>
    </row>
    <row r="38" spans="1:83" x14ac:dyDescent="0.25">
      <c r="A38" s="8" t="s">
        <v>26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33"/>
      <c r="Y38" s="102" t="s">
        <v>109</v>
      </c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3"/>
      <c r="BN38" s="103"/>
      <c r="BO38" s="103"/>
      <c r="BP38" s="103"/>
      <c r="BQ38" s="103"/>
      <c r="BR38" s="103"/>
      <c r="BS38" s="103"/>
      <c r="BT38" s="103"/>
      <c r="BY38" s="94"/>
      <c r="BZ38" s="94"/>
      <c r="CA38" s="94"/>
      <c r="CB38" s="94"/>
      <c r="CC38" s="94"/>
      <c r="CD38" s="94"/>
      <c r="CE38" s="94"/>
    </row>
    <row r="39" spans="1:83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20"/>
      <c r="Y39" s="67" t="s">
        <v>27</v>
      </c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Y39" s="94"/>
      <c r="BZ39" s="94"/>
      <c r="CA39" s="94"/>
      <c r="CB39" s="94"/>
      <c r="CC39" s="94"/>
      <c r="CD39" s="94"/>
      <c r="CE39" s="94"/>
    </row>
    <row r="40" spans="1:83" x14ac:dyDescent="0.25">
      <c r="A40" s="8" t="s">
        <v>28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7"/>
      <c r="AG40" s="7"/>
      <c r="AH40" s="7"/>
      <c r="AI40" s="7"/>
      <c r="AJ40" s="85" t="s">
        <v>29</v>
      </c>
      <c r="AK40" s="85"/>
      <c r="AL40" s="85"/>
      <c r="AM40" s="85"/>
      <c r="AN40" s="85"/>
      <c r="AO40" s="85"/>
      <c r="AP40" s="85"/>
      <c r="AQ40" s="85"/>
      <c r="AR40" s="85"/>
      <c r="AS40" s="85"/>
      <c r="AT40" s="86" t="s">
        <v>72</v>
      </c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/>
      <c r="BK40" s="86"/>
      <c r="BL40" s="86"/>
      <c r="BM40" s="86"/>
      <c r="BN40" s="86"/>
      <c r="BO40" s="86"/>
      <c r="BP40" s="86"/>
      <c r="BQ40" s="86"/>
      <c r="BR40" s="86"/>
      <c r="BS40" s="86"/>
      <c r="BT40" s="86"/>
      <c r="BY40" s="94"/>
      <c r="BZ40" s="94"/>
      <c r="CA40" s="94"/>
      <c r="CB40" s="94"/>
      <c r="CC40" s="94"/>
      <c r="CD40" s="94"/>
      <c r="CE40" s="94"/>
    </row>
    <row r="41" spans="1:83" x14ac:dyDescent="0.25">
      <c r="A41" s="10" t="s">
        <v>30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55"/>
      <c r="O41" s="55"/>
      <c r="P41" s="55"/>
      <c r="Q41" s="88" t="str">
        <f>U27</f>
        <v>ПП2020РД-1.2-61.17-АР изм. 3 лист 2</v>
      </c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8"/>
      <c r="BM41" s="88"/>
      <c r="BN41" s="88"/>
      <c r="BO41" s="88"/>
      <c r="BP41" s="88"/>
      <c r="BQ41" s="88"/>
      <c r="BR41" s="88"/>
      <c r="BS41" s="88"/>
      <c r="BT41" s="88"/>
      <c r="BU41" s="57"/>
      <c r="BY41" s="94"/>
      <c r="BZ41" s="94"/>
      <c r="CA41" s="94"/>
      <c r="CB41" s="94"/>
      <c r="CC41" s="94"/>
      <c r="CD41" s="94"/>
      <c r="CE41" s="94"/>
    </row>
    <row r="42" spans="1:83" x14ac:dyDescent="0.25">
      <c r="A42" s="8"/>
      <c r="B42" s="8"/>
      <c r="C42" s="8"/>
      <c r="D42" s="10" t="s">
        <v>31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1"/>
      <c r="X42" s="8"/>
      <c r="Y42" s="32"/>
      <c r="Z42" s="32"/>
      <c r="AA42" s="89" t="str">
        <f>AK32</f>
        <v xml:space="preserve">документ о качестве б/н от 02.02.2024, </v>
      </c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89"/>
      <c r="BK42" s="89"/>
      <c r="BL42" s="89"/>
      <c r="BM42" s="89"/>
      <c r="BN42" s="89"/>
      <c r="BO42" s="89"/>
      <c r="BP42" s="89"/>
      <c r="BQ42" s="89"/>
      <c r="BR42" s="89"/>
      <c r="BS42" s="89"/>
      <c r="BT42" s="89"/>
      <c r="BY42" s="94"/>
      <c r="BZ42" s="94"/>
      <c r="CA42" s="94"/>
      <c r="CB42" s="94"/>
      <c r="CC42" s="94"/>
      <c r="CD42" s="94"/>
      <c r="CE42" s="94"/>
    </row>
    <row r="43" spans="1:83" x14ac:dyDescent="0.25">
      <c r="A43" s="87" t="str">
        <f>A33</f>
        <v>декларация о соответствии № РОСС RU Д-RU.РА01.В.13815/22 с 19.04.2022 по 18.04.2027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87"/>
      <c r="BK43" s="87"/>
      <c r="BL43" s="87"/>
      <c r="BM43" s="87"/>
      <c r="BN43" s="87"/>
      <c r="BO43" s="87"/>
      <c r="BP43" s="87"/>
      <c r="BQ43" s="87"/>
      <c r="BR43" s="87"/>
      <c r="BS43" s="87"/>
      <c r="BT43" s="87"/>
    </row>
    <row r="44" spans="1:83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104" t="s">
        <v>32</v>
      </c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04"/>
      <c r="BG44" s="104"/>
      <c r="BH44" s="104"/>
      <c r="BI44" s="104"/>
      <c r="BJ44" s="104"/>
      <c r="BK44" s="104"/>
      <c r="BL44" s="104"/>
      <c r="BM44" s="104"/>
      <c r="BN44" s="104"/>
      <c r="BO44" s="104"/>
      <c r="BP44" s="104"/>
      <c r="BQ44" s="104"/>
      <c r="BR44" s="104"/>
      <c r="BS44" s="104"/>
      <c r="BT44" s="104"/>
      <c r="BY44" t="s">
        <v>85</v>
      </c>
    </row>
    <row r="45" spans="1:83" x14ac:dyDescent="0.25">
      <c r="A45" s="8" t="s">
        <v>33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23"/>
      <c r="BY45" t="s">
        <v>86</v>
      </c>
    </row>
    <row r="46" spans="1:83" x14ac:dyDescent="0.25">
      <c r="A46" s="34"/>
      <c r="B46" s="8"/>
      <c r="C46" s="8"/>
      <c r="D46" s="8" t="s">
        <v>34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7"/>
      <c r="X46" s="7"/>
      <c r="Y46" s="7"/>
      <c r="Z46" s="7"/>
      <c r="AA46" s="34"/>
      <c r="AB46" s="7"/>
      <c r="AC46" s="34"/>
      <c r="AD46" s="105" t="s">
        <v>35</v>
      </c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</row>
    <row r="47" spans="1:83" x14ac:dyDescent="0.25">
      <c r="A47" s="8"/>
      <c r="B47" s="8"/>
      <c r="C47" s="8"/>
      <c r="D47" s="8"/>
      <c r="E47" s="8"/>
      <c r="F47" s="8"/>
      <c r="G47" s="8"/>
      <c r="H47" s="8"/>
      <c r="I47" s="8"/>
      <c r="J47" s="79" t="s">
        <v>36</v>
      </c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79"/>
      <c r="AV47" s="79"/>
      <c r="AW47" s="79"/>
      <c r="AX47" s="79"/>
      <c r="AY47" s="79"/>
      <c r="AZ47" s="79"/>
      <c r="BA47" s="79"/>
      <c r="BB47" s="79"/>
      <c r="BC47" s="79"/>
      <c r="BD47" s="79"/>
      <c r="BE47" s="79"/>
      <c r="BF47" s="79"/>
      <c r="BG47" s="79"/>
      <c r="BH47" s="79"/>
      <c r="BI47" s="79"/>
      <c r="BJ47" s="79"/>
      <c r="BK47" s="79"/>
      <c r="BL47" s="79"/>
      <c r="BM47" s="79"/>
      <c r="BN47" s="79"/>
      <c r="BO47" s="79"/>
      <c r="BP47" s="79"/>
      <c r="BQ47" s="79"/>
      <c r="BR47" s="79"/>
      <c r="BS47" s="79"/>
      <c r="BT47" s="79"/>
    </row>
    <row r="48" spans="1:83" x14ac:dyDescent="0.25">
      <c r="A48" s="10" t="s">
        <v>37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9"/>
      <c r="V48" s="28"/>
      <c r="W48" s="35"/>
      <c r="X48" s="29"/>
      <c r="Y48" s="101" t="str">
        <f>U27</f>
        <v>ПП2020РД-1.2-61.17-АР изм. 3 лист 2</v>
      </c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/>
      <c r="AO48" s="101"/>
      <c r="AP48" s="101"/>
      <c r="AQ48" s="101"/>
      <c r="AR48" s="101"/>
      <c r="AS48" s="101"/>
      <c r="AT48" s="101"/>
      <c r="AU48" s="101"/>
      <c r="AV48" s="101"/>
      <c r="AW48" s="101"/>
      <c r="AX48" s="101"/>
      <c r="AY48" s="101"/>
      <c r="AZ48" s="101"/>
      <c r="BA48" s="101"/>
      <c r="BB48" s="101"/>
      <c r="BC48" s="101"/>
      <c r="BD48" s="101"/>
      <c r="BE48" s="101"/>
      <c r="BF48" s="101"/>
      <c r="BG48" s="101"/>
      <c r="BH48" s="101"/>
      <c r="BI48" s="101"/>
      <c r="BJ48" s="101"/>
      <c r="BK48" s="101"/>
      <c r="BL48" s="101"/>
      <c r="BM48" s="101"/>
      <c r="BN48" s="101"/>
      <c r="BO48" s="101"/>
      <c r="BP48" s="101"/>
      <c r="BQ48" s="101"/>
      <c r="BR48" s="101"/>
      <c r="BS48" s="101"/>
      <c r="BT48" s="101"/>
    </row>
    <row r="49" spans="1:77" x14ac:dyDescent="0.25">
      <c r="A49" s="8" t="s">
        <v>38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34"/>
      <c r="M49" s="24"/>
      <c r="N49" s="93" t="s">
        <v>116</v>
      </c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3"/>
      <c r="BG49" s="93"/>
      <c r="BH49" s="93"/>
      <c r="BI49" s="93"/>
      <c r="BJ49" s="93"/>
      <c r="BK49" s="93"/>
      <c r="BL49" s="93"/>
      <c r="BM49" s="93"/>
      <c r="BN49" s="93"/>
      <c r="BO49" s="93"/>
      <c r="BP49" s="93"/>
      <c r="BQ49" s="93"/>
      <c r="BR49" s="93"/>
      <c r="BS49" s="93"/>
      <c r="BT49" s="93"/>
    </row>
    <row r="50" spans="1:77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</row>
    <row r="51" spans="1:77" x14ac:dyDescent="0.25">
      <c r="A51" s="8" t="s">
        <v>39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12"/>
    </row>
    <row r="52" spans="1:77" x14ac:dyDescent="0.25">
      <c r="A52" s="8" t="s">
        <v>12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90" t="str">
        <f>BJ17</f>
        <v>Кострова Н.Л.</v>
      </c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8"/>
      <c r="AP52" s="8"/>
      <c r="AQ52" s="91"/>
      <c r="AR52" s="91"/>
      <c r="AS52" s="91"/>
      <c r="AT52" s="91"/>
      <c r="AU52" s="91"/>
      <c r="AV52" s="91"/>
      <c r="AW52" s="91"/>
      <c r="AX52" s="91"/>
      <c r="AY52" s="91"/>
      <c r="AZ52" s="91"/>
      <c r="BA52" s="91"/>
      <c r="BB52" s="91"/>
      <c r="BC52" s="91"/>
      <c r="BD52" s="91"/>
      <c r="BE52" s="91"/>
      <c r="BF52" s="8"/>
      <c r="BG52" s="8"/>
      <c r="BH52" s="92">
        <f>AE15</f>
        <v>45328</v>
      </c>
      <c r="BI52" s="92"/>
      <c r="BJ52" s="92"/>
      <c r="BK52" s="92"/>
      <c r="BL52" s="92"/>
      <c r="BM52" s="92"/>
      <c r="BN52" s="92"/>
      <c r="BO52" s="92"/>
      <c r="BP52" s="92"/>
      <c r="BQ52" s="92"/>
      <c r="BR52" s="92"/>
      <c r="BS52" s="92"/>
      <c r="BT52" s="12"/>
    </row>
    <row r="53" spans="1:77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62" t="s">
        <v>59</v>
      </c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30"/>
      <c r="AP53" s="30"/>
      <c r="AQ53" s="62" t="s">
        <v>40</v>
      </c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30"/>
      <c r="BG53" s="30"/>
      <c r="BH53" s="62" t="s">
        <v>41</v>
      </c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26"/>
    </row>
    <row r="54" spans="1:77" x14ac:dyDescent="0.25">
      <c r="A54" s="8" t="s">
        <v>42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12"/>
    </row>
    <row r="55" spans="1:77" x14ac:dyDescent="0.25">
      <c r="A55" s="8" t="s">
        <v>43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90" t="str">
        <f>BJ19</f>
        <v>Халыгов Э. А.</v>
      </c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0"/>
      <c r="AN55" s="90"/>
      <c r="AO55" s="8"/>
      <c r="AP55" s="8"/>
      <c r="AQ55" s="91"/>
      <c r="AR55" s="91"/>
      <c r="AS55" s="91"/>
      <c r="AT55" s="91"/>
      <c r="AU55" s="91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8"/>
      <c r="BG55" s="8"/>
      <c r="BH55" s="92">
        <f>BH52</f>
        <v>45328</v>
      </c>
      <c r="BI55" s="77"/>
      <c r="BJ55" s="77"/>
      <c r="BK55" s="77"/>
      <c r="BL55" s="77"/>
      <c r="BM55" s="77"/>
      <c r="BN55" s="77"/>
      <c r="BO55" s="77"/>
      <c r="BP55" s="77"/>
      <c r="BQ55" s="77"/>
      <c r="BR55" s="77"/>
      <c r="BS55" s="77"/>
      <c r="BT55" s="12"/>
      <c r="BY55" t="s">
        <v>87</v>
      </c>
    </row>
    <row r="56" spans="1:77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62" t="s">
        <v>59</v>
      </c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30"/>
      <c r="AP56" s="30"/>
      <c r="AQ56" s="62" t="s">
        <v>40</v>
      </c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30"/>
      <c r="BG56" s="30"/>
      <c r="BH56" s="62" t="s">
        <v>41</v>
      </c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12"/>
    </row>
    <row r="57" spans="1:77" ht="16.2" customHeight="1" x14ac:dyDescent="0.25">
      <c r="A57" s="8" t="s">
        <v>39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12"/>
      <c r="BY57" t="s">
        <v>88</v>
      </c>
    </row>
    <row r="58" spans="1:77" x14ac:dyDescent="0.25">
      <c r="A58" s="8" t="s">
        <v>44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77" t="str">
        <f>BJ21</f>
        <v>Тюкин Е.В.</v>
      </c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8"/>
      <c r="AP58" s="8"/>
      <c r="AQ58" s="91"/>
      <c r="AR58" s="91"/>
      <c r="AS58" s="91"/>
      <c r="AT58" s="91"/>
      <c r="AU58" s="91"/>
      <c r="AV58" s="91"/>
      <c r="AW58" s="91"/>
      <c r="AX58" s="91"/>
      <c r="AY58" s="91"/>
      <c r="AZ58" s="91"/>
      <c r="BA58" s="91"/>
      <c r="BB58" s="91"/>
      <c r="BC58" s="91"/>
      <c r="BD58" s="91"/>
      <c r="BE58" s="91"/>
      <c r="BF58" s="8"/>
      <c r="BG58" s="8"/>
      <c r="BH58" s="92">
        <f>BH52</f>
        <v>45328</v>
      </c>
      <c r="BI58" s="77"/>
      <c r="BJ58" s="77"/>
      <c r="BK58" s="77"/>
      <c r="BL58" s="77"/>
      <c r="BM58" s="77"/>
      <c r="BN58" s="77"/>
      <c r="BO58" s="77"/>
      <c r="BP58" s="77"/>
      <c r="BQ58" s="77"/>
      <c r="BR58" s="77"/>
      <c r="BS58" s="77"/>
      <c r="BT58" s="12"/>
      <c r="BY58" t="s">
        <v>89</v>
      </c>
    </row>
    <row r="59" spans="1:77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62" t="s">
        <v>59</v>
      </c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30"/>
      <c r="AP59" s="30"/>
      <c r="AQ59" s="62" t="s">
        <v>40</v>
      </c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30"/>
      <c r="BG59" s="30"/>
      <c r="BH59" s="62" t="s">
        <v>41</v>
      </c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12"/>
    </row>
    <row r="60" spans="1:77" x14ac:dyDescent="0.25">
      <c r="A60" s="13"/>
      <c r="B60" s="13"/>
      <c r="C60" s="13"/>
      <c r="D60" s="7"/>
      <c r="E60" s="7"/>
      <c r="F60" s="7"/>
      <c r="G60" s="7"/>
      <c r="H60" s="7"/>
      <c r="I60" s="7"/>
      <c r="J60" s="7"/>
      <c r="K60" s="7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12"/>
    </row>
    <row r="61" spans="1:77" ht="13.8" customHeight="1" x14ac:dyDescent="0.25">
      <c r="A61" s="108" t="s">
        <v>108</v>
      </c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3"/>
      <c r="AN61" s="13"/>
      <c r="AO61" s="8"/>
      <c r="AP61" s="8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8"/>
      <c r="BG61" s="8"/>
      <c r="BH61" s="106"/>
      <c r="BI61" s="69"/>
      <c r="BJ61" s="69"/>
      <c r="BK61" s="69"/>
      <c r="BL61" s="69"/>
      <c r="BM61" s="69"/>
      <c r="BN61" s="69"/>
      <c r="BO61" s="69"/>
      <c r="BP61" s="69"/>
      <c r="BQ61" s="69"/>
      <c r="BR61" s="69"/>
      <c r="BS61" s="69"/>
      <c r="BT61" s="12"/>
    </row>
    <row r="62" spans="1:77" x14ac:dyDescent="0.25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  <c r="AF62" s="108"/>
      <c r="AG62" s="108"/>
      <c r="AH62" s="108"/>
      <c r="AI62" s="108"/>
      <c r="AJ62" s="108"/>
      <c r="AK62" s="108"/>
      <c r="AL62" s="108"/>
      <c r="AM62" s="10"/>
      <c r="AN62" s="10"/>
      <c r="AO62" s="8"/>
      <c r="AP62" s="8"/>
      <c r="AQ62" s="107"/>
      <c r="AR62" s="107"/>
      <c r="AS62" s="107"/>
      <c r="AT62" s="107"/>
      <c r="AU62" s="107"/>
      <c r="AV62" s="107"/>
      <c r="AW62" s="107"/>
      <c r="AX62" s="107"/>
      <c r="AY62" s="107"/>
      <c r="AZ62" s="107"/>
      <c r="BA62" s="107"/>
      <c r="BB62" s="107"/>
      <c r="BC62" s="107"/>
      <c r="BD62" s="107"/>
      <c r="BE62" s="107"/>
      <c r="BF62" s="8"/>
      <c r="BG62" s="8"/>
      <c r="BH62" s="107"/>
      <c r="BI62" s="107"/>
      <c r="BJ62" s="107"/>
      <c r="BK62" s="107"/>
      <c r="BL62" s="107"/>
      <c r="BM62" s="107"/>
      <c r="BN62" s="107"/>
      <c r="BO62" s="107"/>
      <c r="BP62" s="107"/>
      <c r="BQ62" s="107"/>
      <c r="BR62" s="107"/>
      <c r="BS62" s="107"/>
      <c r="BT62" s="12"/>
    </row>
    <row r="63" spans="1:77" ht="16.8" customHeight="1" x14ac:dyDescent="0.25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  <c r="AK63" s="108"/>
      <c r="AL63" s="10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12"/>
    </row>
  </sheetData>
  <mergeCells count="76">
    <mergeCell ref="AQ61:BE61"/>
    <mergeCell ref="BH61:BS61"/>
    <mergeCell ref="AQ62:BE62"/>
    <mergeCell ref="BH62:BS62"/>
    <mergeCell ref="A61:AL63"/>
    <mergeCell ref="BY23:CE24"/>
    <mergeCell ref="BY27:CD29"/>
    <mergeCell ref="BY33:CE42"/>
    <mergeCell ref="D36:BT36"/>
    <mergeCell ref="D37:BT37"/>
    <mergeCell ref="A30:BT30"/>
    <mergeCell ref="AK32:BT32"/>
    <mergeCell ref="A33:BT33"/>
    <mergeCell ref="A34:BT34"/>
    <mergeCell ref="A35:BT35"/>
    <mergeCell ref="Y48:BT48"/>
    <mergeCell ref="Y38:BT38"/>
    <mergeCell ref="V44:BT44"/>
    <mergeCell ref="AD46:BT46"/>
    <mergeCell ref="N49:BT49"/>
    <mergeCell ref="X52:AN52"/>
    <mergeCell ref="AQ52:BE52"/>
    <mergeCell ref="BH52:BS52"/>
    <mergeCell ref="X53:AN53"/>
    <mergeCell ref="AQ53:BE53"/>
    <mergeCell ref="BH53:BS53"/>
    <mergeCell ref="X55:AN55"/>
    <mergeCell ref="AQ55:BE55"/>
    <mergeCell ref="BH55:BS55"/>
    <mergeCell ref="X58:AN58"/>
    <mergeCell ref="AQ58:BE58"/>
    <mergeCell ref="BH58:BS58"/>
    <mergeCell ref="X59:AN59"/>
    <mergeCell ref="AQ59:BE59"/>
    <mergeCell ref="BH59:BS59"/>
    <mergeCell ref="X56:AN56"/>
    <mergeCell ref="AQ56:BE56"/>
    <mergeCell ref="BH56:BS56"/>
    <mergeCell ref="J47:BT47"/>
    <mergeCell ref="A26:BT26"/>
    <mergeCell ref="U27:BT27"/>
    <mergeCell ref="P28:BT28"/>
    <mergeCell ref="U29:BT29"/>
    <mergeCell ref="Y39:BT39"/>
    <mergeCell ref="AJ40:AS40"/>
    <mergeCell ref="AT40:BT40"/>
    <mergeCell ref="Q41:BT41"/>
    <mergeCell ref="AA42:BT42"/>
    <mergeCell ref="A43:BT43"/>
    <mergeCell ref="A3:E3"/>
    <mergeCell ref="F3:H3"/>
    <mergeCell ref="I3:K3"/>
    <mergeCell ref="A6:E6"/>
    <mergeCell ref="F6:H6"/>
    <mergeCell ref="I6:K6"/>
    <mergeCell ref="AH6:BT7"/>
    <mergeCell ref="G7:H7"/>
    <mergeCell ref="I7:O7"/>
    <mergeCell ref="AF9:AW9"/>
    <mergeCell ref="A10:BT10"/>
    <mergeCell ref="A14:BT14"/>
    <mergeCell ref="T22:BJ22"/>
    <mergeCell ref="O23:BP23"/>
    <mergeCell ref="AK31:BT31"/>
    <mergeCell ref="A12:BT12"/>
    <mergeCell ref="AE15:AT15"/>
    <mergeCell ref="T18:BJ18"/>
    <mergeCell ref="S17:BI17"/>
    <mergeCell ref="BJ17:BT17"/>
    <mergeCell ref="E24:BT24"/>
    <mergeCell ref="A25:BT25"/>
    <mergeCell ref="S19:BI19"/>
    <mergeCell ref="BJ19:BT19"/>
    <mergeCell ref="T20:BJ20"/>
    <mergeCell ref="S21:BI21"/>
    <mergeCell ref="BJ21:BT21"/>
  </mergeCells>
  <phoneticPr fontId="21" type="noConversion"/>
  <dataValidations count="4">
    <dataValidation type="list" errorStyle="information" allowBlank="1" showInputMessage="1" sqref="O23:BP23" xr:uid="{00000000-0002-0000-0000-000000000000}">
      <formula1>"выборочный,сплошной"</formula1>
    </dataValidation>
    <dataValidation type="list" allowBlank="1" showInputMessage="1" showErrorMessage="1" sqref="N23" xr:uid="{00000000-0002-0000-0000-000001000000}">
      <formula1>"выборочный,сплошной"</formula1>
    </dataValidation>
    <dataValidation type="list" allowBlank="1" showInputMessage="1" showErrorMessage="1" sqref="F6:H6 F3:H3" xr:uid="{00000000-0002-0000-0000-000002000000}">
      <formula1>"I.I,I.II,II,III,IV,V,V.I,V.II"</formula1>
    </dataValidation>
    <dataValidation type="list" showInputMessage="1" showErrorMessage="1" sqref="G7:H7" xr:uid="{00000000-0002-0000-0000-000003000000}">
      <formula1>"1,2"</formula1>
    </dataValidation>
  </dataValidations>
  <pageMargins left="0.70866141732283472" right="0.19685039370078741" top="0.39370078740157483" bottom="0.39370078740157483" header="0.19685039370078741" footer="0.19685039370078741"/>
  <pageSetup paperSize="9" scale="87" fitToHeight="0" orientation="portrait" blackAndWhite="1" r:id="rId1"/>
  <rowBreaks count="1" manualBreakCount="1">
    <brk id="63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4000000}">
          <x14:formula1>
            <xm:f>подписанты!$B$8:$B$9</xm:f>
          </x14:formula1>
          <xm:sqref>BJ21:BT21</xm:sqref>
        </x14:dataValidation>
        <x14:dataValidation type="list" allowBlank="1" showInputMessage="1" showErrorMessage="1" xr:uid="{00000000-0002-0000-0000-000005000000}">
          <x14:formula1>
            <xm:f>подписанты!$B$5:$B$7</xm:f>
          </x14:formula1>
          <xm:sqref>BJ19:BT19</xm:sqref>
        </x14:dataValidation>
        <x14:dataValidation type="list" allowBlank="1" showInputMessage="1" showErrorMessage="1" xr:uid="{00000000-0002-0000-0000-000006000000}">
          <x14:formula1>
            <xm:f>подписанты!$B$3:$B$4</xm:f>
          </x14:formula1>
          <xm:sqref>BJ17:BT17</xm:sqref>
        </x14:dataValidation>
        <x14:dataValidation type="list" errorStyle="information" allowBlank="1" showInputMessage="1" xr:uid="{00000000-0002-0000-0000-000007000000}">
          <x14:formula1>
            <xm:f>'Лист общих данных'!$C$6:$C$12</xm:f>
          </x14:formula1>
          <xm:sqref>T27:U27</xm:sqref>
        </x14:dataValidation>
        <x14:dataValidation type="list" errorStyle="warning" allowBlank="1" showInputMessage="1" showErrorMessage="1" xr:uid="{00000000-0002-0000-0000-000008000000}">
          <x14:formula1>
            <xm:f>'Лист общих данных'!$B$6:$B$12</xm:f>
          </x14:formula1>
          <xm:sqref>S29:U29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2"/>
  <sheetViews>
    <sheetView topLeftCell="B1" workbookViewId="0">
      <selection activeCell="F10" sqref="F10"/>
    </sheetView>
  </sheetViews>
  <sheetFormatPr defaultRowHeight="13.8" x14ac:dyDescent="0.25"/>
  <cols>
    <col min="1" max="1" width="27.109375" style="36" customWidth="1"/>
    <col min="2" max="2" width="21.6640625" style="36" customWidth="1"/>
    <col min="3" max="3" width="49.77734375" style="36" customWidth="1"/>
    <col min="4" max="5" width="10.109375" style="36" customWidth="1"/>
    <col min="6" max="6" width="44.77734375" style="36" customWidth="1"/>
    <col min="7" max="16384" width="8.88671875" style="36"/>
  </cols>
  <sheetData>
    <row r="2" spans="1:6" ht="29.4" customHeight="1" x14ac:dyDescent="0.25">
      <c r="A2" s="42" t="s">
        <v>10</v>
      </c>
      <c r="B2" s="43" t="s">
        <v>76</v>
      </c>
      <c r="C2" s="43" t="s">
        <v>75</v>
      </c>
      <c r="D2" s="41" t="s">
        <v>73</v>
      </c>
      <c r="E2" s="41" t="s">
        <v>74</v>
      </c>
    </row>
    <row r="3" spans="1:6" x14ac:dyDescent="0.25">
      <c r="A3" s="37" t="s">
        <v>12</v>
      </c>
      <c r="B3" s="36" t="s">
        <v>63</v>
      </c>
      <c r="C3" s="45" t="s">
        <v>64</v>
      </c>
      <c r="D3" s="39">
        <v>44927</v>
      </c>
      <c r="E3" s="39">
        <v>45337</v>
      </c>
    </row>
    <row r="4" spans="1:6" x14ac:dyDescent="0.25">
      <c r="A4" s="37" t="s">
        <v>12</v>
      </c>
      <c r="B4" s="36" t="s">
        <v>77</v>
      </c>
      <c r="C4" s="45" t="s">
        <v>78</v>
      </c>
      <c r="D4" s="39">
        <v>45337</v>
      </c>
      <c r="E4" s="39">
        <v>45657</v>
      </c>
    </row>
    <row r="5" spans="1:6" x14ac:dyDescent="0.25">
      <c r="A5" s="37" t="s">
        <v>14</v>
      </c>
      <c r="B5" s="36" t="s">
        <v>68</v>
      </c>
      <c r="C5" s="38" t="s">
        <v>67</v>
      </c>
      <c r="D5" s="39">
        <v>45166</v>
      </c>
      <c r="E5" s="39">
        <v>45657</v>
      </c>
    </row>
    <row r="6" spans="1:6" x14ac:dyDescent="0.25">
      <c r="A6" s="37" t="s">
        <v>14</v>
      </c>
      <c r="B6" s="36" t="s">
        <v>80</v>
      </c>
      <c r="C6" s="38" t="s">
        <v>79</v>
      </c>
      <c r="D6" s="39">
        <v>44927</v>
      </c>
      <c r="E6" s="39">
        <v>45166</v>
      </c>
    </row>
    <row r="7" spans="1:6" ht="27.6" x14ac:dyDescent="0.25">
      <c r="A7" s="37" t="s">
        <v>14</v>
      </c>
      <c r="B7" s="48" t="s">
        <v>93</v>
      </c>
      <c r="C7" s="38" t="s">
        <v>67</v>
      </c>
      <c r="D7" s="39">
        <v>45278</v>
      </c>
      <c r="E7" s="39">
        <v>45342</v>
      </c>
      <c r="F7" s="47" t="s">
        <v>94</v>
      </c>
    </row>
    <row r="8" spans="1:6" ht="55.2" x14ac:dyDescent="0.25">
      <c r="A8" s="49" t="s">
        <v>15</v>
      </c>
      <c r="B8" s="50" t="s">
        <v>66</v>
      </c>
      <c r="C8" s="51" t="s">
        <v>65</v>
      </c>
      <c r="D8" s="52">
        <v>44927</v>
      </c>
      <c r="E8" s="52">
        <v>45657</v>
      </c>
    </row>
    <row r="9" spans="1:6" ht="55.2" x14ac:dyDescent="0.25">
      <c r="A9" s="40" t="s">
        <v>15</v>
      </c>
      <c r="B9" s="36" t="s">
        <v>92</v>
      </c>
      <c r="C9" s="46" t="s">
        <v>91</v>
      </c>
      <c r="F9" s="53" t="s">
        <v>95</v>
      </c>
    </row>
    <row r="11" spans="1:6" x14ac:dyDescent="0.25">
      <c r="A11" s="37"/>
    </row>
    <row r="12" spans="1:6" x14ac:dyDescent="0.25">
      <c r="A12" s="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D12"/>
  <sheetViews>
    <sheetView workbookViewId="0">
      <selection activeCell="D6" sqref="D6"/>
    </sheetView>
  </sheetViews>
  <sheetFormatPr defaultColWidth="9.109375" defaultRowHeight="13.8" x14ac:dyDescent="0.25"/>
  <cols>
    <col min="1" max="1" width="9.109375" style="1"/>
    <col min="2" max="2" width="47" style="1" customWidth="1"/>
    <col min="3" max="3" width="28.44140625" style="1" customWidth="1"/>
    <col min="4" max="4" width="17.5546875" style="1" customWidth="1"/>
    <col min="5" max="16384" width="9.109375" style="1"/>
  </cols>
  <sheetData>
    <row r="5" spans="1:4" x14ac:dyDescent="0.25">
      <c r="A5" s="2" t="s">
        <v>99</v>
      </c>
      <c r="B5" s="2" t="s">
        <v>48</v>
      </c>
      <c r="C5" s="2" t="s">
        <v>49</v>
      </c>
      <c r="D5" s="2" t="s">
        <v>107</v>
      </c>
    </row>
    <row r="6" spans="1:4" ht="27.6" x14ac:dyDescent="0.25">
      <c r="A6" s="6" t="s">
        <v>96</v>
      </c>
      <c r="B6" s="3" t="s">
        <v>50</v>
      </c>
      <c r="C6" s="5" t="s">
        <v>100</v>
      </c>
    </row>
    <row r="7" spans="1:4" x14ac:dyDescent="0.25">
      <c r="A7" s="6" t="s">
        <v>97</v>
      </c>
      <c r="B7" s="3" t="s">
        <v>51</v>
      </c>
      <c r="C7" s="1" t="s">
        <v>101</v>
      </c>
    </row>
    <row r="8" spans="1:4" x14ac:dyDescent="0.25">
      <c r="A8" s="6" t="s">
        <v>98</v>
      </c>
      <c r="B8" s="3" t="s">
        <v>52</v>
      </c>
      <c r="C8" s="1" t="s">
        <v>102</v>
      </c>
    </row>
    <row r="9" spans="1:4" x14ac:dyDescent="0.25">
      <c r="A9" s="6">
        <v>56</v>
      </c>
      <c r="B9" s="3" t="s">
        <v>53</v>
      </c>
      <c r="C9" s="1" t="s">
        <v>103</v>
      </c>
    </row>
    <row r="10" spans="1:4" ht="27.6" x14ac:dyDescent="0.25">
      <c r="A10" s="6">
        <v>57</v>
      </c>
      <c r="B10" s="3" t="s">
        <v>54</v>
      </c>
      <c r="C10" s="4" t="s">
        <v>104</v>
      </c>
    </row>
    <row r="11" spans="1:4" ht="27.6" x14ac:dyDescent="0.25">
      <c r="A11" s="6">
        <v>110</v>
      </c>
      <c r="B11" s="3" t="s">
        <v>55</v>
      </c>
      <c r="C11" s="6" t="s">
        <v>105</v>
      </c>
    </row>
    <row r="12" spans="1:4" ht="27.6" x14ac:dyDescent="0.25">
      <c r="A12" s="6">
        <v>111</v>
      </c>
      <c r="B12" s="3" t="s">
        <v>56</v>
      </c>
      <c r="C12" s="6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акт</vt:lpstr>
      <vt:lpstr>подписанты</vt:lpstr>
      <vt:lpstr>Лист общих данных</vt:lpstr>
      <vt:lpstr>акт!Область_печати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Виталина Кочеткова</cp:lastModifiedBy>
  <cp:lastPrinted>2025-05-19T13:32:36Z</cp:lastPrinted>
  <dcterms:created xsi:type="dcterms:W3CDTF">2023-09-19T09:44:50Z</dcterms:created>
  <dcterms:modified xsi:type="dcterms:W3CDTF">2025-05-19T13:34:32Z</dcterms:modified>
</cp:coreProperties>
</file>