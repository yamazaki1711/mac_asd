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двери\"/>
    </mc:Choice>
  </mc:AlternateContent>
  <xr:revisionPtr revIDLastSave="0" documentId="13_ncr:1_{185DCEBC-CB4A-46E3-94AF-D943A648B7B0}" xr6:coauthVersionLast="47" xr6:coauthVersionMax="47" xr10:uidLastSave="{00000000-0000-0000-0000-000000000000}"/>
  <bookViews>
    <workbookView xWindow="-108" yWindow="-108" windowWidth="23256" windowHeight="12456" tabRatio="747" activeTab="1" xr2:uid="{00000000-000D-0000-FFFF-FFFF00000000}"/>
  </bookViews>
  <sheets>
    <sheet name="подписанты" sheetId="8" r:id="rId1"/>
    <sheet name="№15.1 козырек" sheetId="22" r:id="rId2"/>
    <sheet name="Лист общих данных" sheetId="2" state="hidden" r:id="rId3"/>
  </sheets>
  <definedNames>
    <definedName name="_xlnm.Print_Area" localSheetId="1">'№15.1 козырек'!$A$1:$BT$86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22" l="1"/>
  <c r="D49" i="22"/>
  <c r="A58" i="22"/>
  <c r="A59" i="22"/>
  <c r="A60" i="22"/>
  <c r="A61" i="22"/>
  <c r="A62" i="22"/>
  <c r="A63" i="22"/>
  <c r="A64" i="22"/>
  <c r="A65" i="22"/>
  <c r="A57" i="22"/>
  <c r="AA56" i="22"/>
  <c r="BW16" i="22" l="1"/>
  <c r="X80" i="22"/>
  <c r="X77" i="22"/>
  <c r="BH74" i="22"/>
  <c r="BH80" i="22" s="1"/>
  <c r="X74" i="22"/>
  <c r="Y70" i="22"/>
  <c r="Q55" i="22"/>
  <c r="D48" i="22"/>
  <c r="S22" i="22"/>
  <c r="S20" i="22"/>
  <c r="S18" i="22"/>
  <c r="BH77" i="22" l="1"/>
</calcChain>
</file>

<file path=xl/sharedStrings.xml><?xml version="1.0" encoding="utf-8"?>
<sst xmlns="http://schemas.openxmlformats.org/spreadsheetml/2006/main" count="156" uniqueCount="133">
  <si>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</si>
  <si>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</si>
  <si>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</si>
  <si>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</si>
  <si>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</si>
  <si>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</si>
  <si>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</si>
  <si>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</si>
  <si>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</si>
  <si>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</si>
  <si>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</si>
  <si>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</si>
  <si>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</si>
  <si>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</si>
  <si>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</si>
  <si>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</si>
  <si>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</si>
  <si>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</si>
  <si>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</si>
  <si>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</si>
  <si>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</si>
  <si>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</si>
  <si>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</si>
  <si>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</si>
  <si>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</si>
  <si>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</si>
  <si>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</si>
  <si>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</si>
  <si>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</si>
  <si>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</si>
  <si>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</si>
  <si>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</si>
  <si>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</si>
  <si>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</si>
  <si>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</si>
  <si>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</si>
  <si>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</si>
  <si>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</si>
  <si>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</si>
  <si>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</si>
  <si>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</si>
  <si>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</si>
  <si>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</si>
  <si>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</si>
  <si>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</si>
  <si>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</si>
  <si>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</si>
  <si>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</si>
  <si>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</si>
  <si>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</si>
  <si>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</si>
  <si>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</si>
  <si>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</si>
  <si>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</si>
  <si>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</si>
  <si>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</si>
  <si>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</si>
  <si>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</si>
  <si>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</si>
  <si>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</si>
  <si>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</si>
  <si>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</si>
  <si>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</si>
  <si>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</si>
  <si>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</si>
  <si>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</si>
  <si>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</si>
  <si>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</si>
  <si>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</si>
  <si>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</si>
  <si>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</si>
  <si>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</si>
  <si>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</si>
  <si>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</si>
  <si>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</si>
  <si>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</si>
  <si>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</si>
  <si>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</si>
  <si>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</si>
  <si>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</si>
  <si>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</si>
  <si>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</si>
  <si>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</si>
  <si>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</si>
  <si>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</si>
  <si>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</si>
  <si>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</si>
  <si>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</si>
  <si>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</si>
  <si>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</si>
  <si>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</si>
  <si>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</si>
  <si>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</si>
  <si>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</si>
  <si>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</si>
  <si>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</si>
  <si>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</si>
  <si>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Объемы материала не указываются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</si>
  <si>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</si>
  <si>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</si>
  <si>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</si>
  <si>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</si>
  <si>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</si>
  <si>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</si>
  <si>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</si>
  <si>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</si>
  <si>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</si>
  <si>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</si>
  <si>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</si>
  <si>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</si>
  <si>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</si>
  <si>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-</t>
  </si>
  <si>
    <t>ВК произведен 
в соответствия 
с требованиями НТД</t>
  </si>
  <si>
    <t>ПП2020РД-1.2-61.17-АР, изм.3, л. 11.</t>
  </si>
  <si>
    <t>АИР 1.2-61.17-АР/406ДПА</t>
  </si>
  <si>
    <t>сплошной</t>
  </si>
  <si>
    <t>Дверь противопожарная светопрозрачная дымогазонепроницаемая однопольная АРСЕНАЛ "Brand Schutz" ДППО-1 EIWS-30 "BrandSchutz" из Ал.Профиля КПТ 74 /Т-створка (ДППО Предел огнестойкости EIWS-30) 1200 x 2050 правая;</t>
  </si>
  <si>
    <t>Дверь противопожарная светопрозрачная дымогазонепроницаемая однопольная АРСЕНАЛ "Brand Schutz" ДППО-1 EIWS-60 "BrandSchutz" из Ал.Профиля КПТ 74 /Т-створка (ДППО Предел огнестойкости EIWS-60) 1200 x 2050 правая.</t>
  </si>
  <si>
    <t>Дверь противопожарная светопрозрачная дымогазонепроницаемая однопольная АРСЕНАЛ "Brand Schutz" ДППО-1 EIWS-30 "BrandSchutz" из Ал.Профиля КПТ 74 /Т-створка (ДППО Предел огнестойкости EIWS-30) 1200 x 2050 левая;</t>
  </si>
  <si>
    <t xml:space="preserve">ТУ 25.12.10-010-01865328-2017 с изм. №1, ТУ 25.12.10-013-01865328-2017 с изм. №1, ТР ЕАЭС 043/2017 </t>
  </si>
  <si>
    <t xml:space="preserve">Паспорт и инструкция по монтажу б/н (зав.№ В00051) от                                                                </t>
  </si>
  <si>
    <t>сертификат оответсвия № ЕАЭС RU C-RU.ПБ58.В.00432/21 с 05.10.2021 по 04.10.2026.</t>
  </si>
  <si>
    <t xml:space="preserve">(зав.№ДППО-1В00049) от 26.10.2023, сертификат соответствия №ЕАЭС RU C-RU.ПБ58.В.00395/21 с 20.09.2021 по 19.09.2026, </t>
  </si>
  <si>
    <t xml:space="preserve">Паспорт и инструкция по монтажу б/н (зав.№ В00042) от 26.10.2023, Паспорт и инструкция по монтажу б/н </t>
  </si>
  <si>
    <t xml:space="preserve">(зав.№ В00052) от 26.10.2023, Паспорт и инструкция по монтажу б/н (зав.№ В00044) от 26.10.2023, </t>
  </si>
  <si>
    <t>Паспорт и инструкция по монтажу б/н (зав.№ В00050) от 26.10.2023, Паспорт и инструкция по монтажу б/н</t>
  </si>
  <si>
    <t xml:space="preserve">(зав.№ДППО-1К00048) от 26.10.2023, Паспорт и инструкция по монтажу б/н (зав.№ В00047) от 26.10.2023, </t>
  </si>
  <si>
    <t xml:space="preserve">Паспорт и инструкция по монтажу б/н (зав.№ В00053) от 26.10.2023, Паспорт и инструкция по монтажу б/н </t>
  </si>
  <si>
    <t>б/н (зав.№ В00045) от 26.10.2023, Паспорт и инструкция по монтажу б/н (зав.№ В00054) от 26.10.2023,</t>
  </si>
  <si>
    <t xml:space="preserve">26.10.2023, Паспорт и инструкция по монтажу б/н (зав.№ В00055) от 26.10.2023, Паспорт и инструкция по монтажу </t>
  </si>
  <si>
    <t xml:space="preserve">Дверь противопожарная светопрозрачная дымогазонепроницаемая двупольная АРСЕНАЛ "Brand Schutz" ДППО-1 EIWS-30 "BrandSchutz" из Ал. Профиля КПТ74/Т-створка (ДППО Пределл огнестойкости EIWS-30) 1200 x 2050 (правая) - 4 шт; </t>
  </si>
  <si>
    <t xml:space="preserve">Дверь противопожарная светопрозрачная дымогазонепроницаемая двупольная АРСЕНАЛ "Brand Schutz" ДППО-1 EIWS-30 "BrandSchutz" из Ал. Профиля КПТ74/Т-створка (ДППО Пределл огнестойкости EIWS-30) 1200 x 2050 (левая) - 6 шт; </t>
  </si>
  <si>
    <t xml:space="preserve">Дверь противопожарная светопрозрачная дымогазонепроницаемая двупольная АРСЕНАЛ "Brand Schutz" ДППО-1 EIWS-60 "BrandSchutz" из Ал. Профиля КПТ74/Т-створка (ДППО Пределл огнестойкости EIWS-30) 1200 x 2050 (правая) - 2 шт.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</si>
</sst>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dddd"/>
    <numFmt numFmtId="166" formatCode="[$-F800]dddd\,\ mmmm\ dd\,\ yyyy"/>
  </numFmts>
  <fonts count="19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b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3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1" fillId="2" borderId="0" xfId="1" applyFont="1" applyFill="1" applyAlignment="1">
      <alignment vertical="top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wrapText="1"/>
    </xf>
    <xf numFmtId="0" fontId="13" fillId="2" borderId="0" xfId="1" applyFont="1" applyFill="1"/>
    <xf numFmtId="0" fontId="13" fillId="2" borderId="0" xfId="1" applyFont="1" applyFill="1" applyAlignment="1">
      <alignment horizontal="center"/>
    </xf>
    <xf numFmtId="0" fontId="11" fillId="2" borderId="0" xfId="1" applyFont="1" applyFill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0" borderId="0" xfId="1" applyFont="1"/>
    <xf numFmtId="0" fontId="14" fillId="2" borderId="0" xfId="1" applyFont="1" applyFill="1" applyAlignment="1">
      <alignment wrapText="1"/>
    </xf>
    <xf numFmtId="14" fontId="13" fillId="0" borderId="0" xfId="1" applyNumberFormat="1" applyFont="1" applyAlignment="1">
      <alignment vertical="center" wrapText="1"/>
    </xf>
    <xf numFmtId="0" fontId="13" fillId="2" borderId="0" xfId="1" applyFont="1" applyFill="1" applyAlignment="1">
      <alignment horizontal="center" vertical="top"/>
    </xf>
    <xf numFmtId="0" fontId="10" fillId="2" borderId="0" xfId="1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12" fillId="2" borderId="0" xfId="1" applyFont="1" applyFill="1" applyAlignment="1">
      <alignment wrapText="1"/>
    </xf>
    <xf numFmtId="0" fontId="13" fillId="2" borderId="0" xfId="1" applyFont="1" applyFill="1" applyAlignment="1">
      <alignment wrapText="1"/>
    </xf>
    <xf numFmtId="0" fontId="11" fillId="2" borderId="0" xfId="1" applyFont="1" applyFill="1" applyAlignment="1">
      <alignment horizontal="center" wrapText="1"/>
    </xf>
    <xf numFmtId="0" fontId="11" fillId="2" borderId="0" xfId="1" applyFont="1" applyFill="1" applyAlignment="1">
      <alignment horizontal="center" vertical="top" wrapText="1"/>
    </xf>
    <xf numFmtId="0" fontId="15" fillId="2" borderId="2" xfId="1" applyFont="1" applyFill="1" applyBorder="1" applyAlignment="1">
      <alignment vertical="top"/>
    </xf>
    <xf numFmtId="164" fontId="10" fillId="2" borderId="0" xfId="1" applyNumberFormat="1" applyFont="1" applyFill="1" applyAlignment="1">
      <alignment vertical="center" wrapText="1"/>
    </xf>
    <xf numFmtId="164" fontId="10" fillId="2" borderId="0" xfId="1" applyNumberFormat="1" applyFont="1" applyFill="1" applyAlignment="1">
      <alignment vertical="top" wrapText="1"/>
    </xf>
    <xf numFmtId="0" fontId="15" fillId="2" borderId="0" xfId="1" applyFont="1" applyFill="1"/>
    <xf numFmtId="14" fontId="13" fillId="2" borderId="0" xfId="1" applyNumberFormat="1" applyFont="1" applyFill="1" applyAlignment="1">
      <alignment vertical="top" wrapText="1"/>
    </xf>
    <xf numFmtId="14" fontId="10" fillId="2" borderId="0" xfId="1" applyNumberFormat="1" applyFont="1" applyFill="1" applyAlignment="1">
      <alignment vertical="top" wrapText="1"/>
    </xf>
    <xf numFmtId="0" fontId="6" fillId="2" borderId="0" xfId="1" applyFont="1" applyFill="1" applyAlignment="1">
      <alignment horizontal="left" wrapText="1"/>
    </xf>
    <xf numFmtId="0" fontId="4" fillId="0" borderId="0" xfId="0" applyFont="1"/>
    <xf numFmtId="0" fontId="17" fillId="0" borderId="0" xfId="1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/>
    <xf numFmtId="0" fontId="17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2" borderId="0" xfId="1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wrapText="1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18" fillId="4" borderId="1" xfId="1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center"/>
    </xf>
    <xf numFmtId="49" fontId="12" fillId="2" borderId="0" xfId="1" applyNumberFormat="1" applyFont="1" applyFill="1" applyAlignment="1">
      <alignment horizontal="center" vertical="center"/>
    </xf>
    <xf numFmtId="0" fontId="12" fillId="2" borderId="0" xfId="1" applyFont="1" applyFill="1" applyAlignment="1">
      <alignment horizontal="left"/>
    </xf>
    <xf numFmtId="0" fontId="11" fillId="2" borderId="0" xfId="1" applyFont="1" applyFill="1" applyAlignment="1">
      <alignment horizontal="left" wrapText="1"/>
    </xf>
    <xf numFmtId="49" fontId="11" fillId="2" borderId="0" xfId="1" applyNumberFormat="1" applyFont="1" applyFill="1" applyAlignment="1">
      <alignment horizontal="center"/>
    </xf>
    <xf numFmtId="0" fontId="13" fillId="4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0" fontId="0" fillId="0" borderId="0" xfId="0" applyAlignment="1">
      <alignment horizontal="left" vertical="top" wrapText="1"/>
    </xf>
    <xf numFmtId="0" fontId="15" fillId="2" borderId="0" xfId="1" applyFont="1" applyFill="1" applyAlignment="1">
      <alignment horizontal="center" vertical="center"/>
    </xf>
    <xf numFmtId="14" fontId="13" fillId="4" borderId="1" xfId="1" applyNumberFormat="1" applyFont="1" applyFill="1" applyBorder="1" applyAlignment="1">
      <alignment horizontal="left" vertical="center" wrapText="1"/>
    </xf>
    <xf numFmtId="14" fontId="13" fillId="2" borderId="0" xfId="1" applyNumberFormat="1" applyFont="1" applyFill="1" applyAlignment="1">
      <alignment horizontal="center" wrapText="1"/>
    </xf>
    <xf numFmtId="166" fontId="13" fillId="4" borderId="1" xfId="1" applyNumberFormat="1" applyFont="1" applyFill="1" applyBorder="1" applyAlignment="1">
      <alignment horizontal="center"/>
    </xf>
    <xf numFmtId="0" fontId="11" fillId="3" borderId="0" xfId="1" applyFont="1" applyFill="1" applyAlignment="1">
      <alignment horizontal="left" wrapText="1"/>
    </xf>
    <xf numFmtId="0" fontId="11" fillId="3" borderId="1" xfId="1" applyFont="1" applyFill="1" applyBorder="1" applyAlignment="1">
      <alignment horizontal="right"/>
    </xf>
    <xf numFmtId="0" fontId="15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15" fillId="2" borderId="0" xfId="1" applyFont="1" applyFill="1" applyAlignment="1">
      <alignment horizontal="center" vertical="top"/>
    </xf>
    <xf numFmtId="0" fontId="11" fillId="3" borderId="1" xfId="1" applyFont="1" applyFill="1" applyBorder="1" applyAlignment="1">
      <alignment horizontal="right" vertical="center"/>
    </xf>
    <xf numFmtId="0" fontId="11" fillId="3" borderId="1" xfId="1" applyFont="1" applyFill="1" applyBorder="1" applyAlignment="1">
      <alignment horizontal="center"/>
    </xf>
    <xf numFmtId="14" fontId="15" fillId="2" borderId="0" xfId="1" applyNumberFormat="1" applyFont="1" applyFill="1" applyAlignment="1">
      <alignment horizontal="center" vertical="top" wrapText="1"/>
    </xf>
    <xf numFmtId="0" fontId="10" fillId="4" borderId="0" xfId="1" applyFont="1" applyFill="1" applyAlignment="1">
      <alignment horizontal="left" vertical="top" wrapText="1"/>
    </xf>
    <xf numFmtId="0" fontId="10" fillId="4" borderId="0" xfId="1" applyFont="1" applyFill="1" applyAlignment="1">
      <alignment horizontal="left" vertical="top"/>
    </xf>
    <xf numFmtId="0" fontId="15" fillId="2" borderId="0" xfId="1" applyFont="1" applyFill="1" applyAlignment="1">
      <alignment horizontal="left" vertical="top"/>
    </xf>
    <xf numFmtId="14" fontId="13" fillId="4" borderId="1" xfId="1" applyNumberFormat="1" applyFont="1" applyFill="1" applyBorder="1" applyAlignment="1">
      <alignment horizontal="left" vertical="top" wrapText="1"/>
    </xf>
    <xf numFmtId="0" fontId="13" fillId="4" borderId="1" xfId="1" applyFont="1" applyFill="1" applyBorder="1" applyAlignment="1">
      <alignment horizontal="left" wrapText="1"/>
    </xf>
    <xf numFmtId="0" fontId="11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14" fontId="13" fillId="3" borderId="1" xfId="1" applyNumberFormat="1" applyFont="1" applyFill="1" applyBorder="1" applyAlignment="1">
      <alignment horizontal="left" vertical="center" wrapText="1"/>
    </xf>
    <xf numFmtId="0" fontId="16" fillId="0" borderId="2" xfId="1" applyFont="1" applyBorder="1" applyAlignment="1">
      <alignment horizontal="center" vertical="top"/>
    </xf>
    <xf numFmtId="0" fontId="13" fillId="4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0" fillId="3" borderId="0" xfId="1" applyFont="1" applyFill="1" applyAlignment="1">
      <alignment horizontal="left" vertical="top" wrapText="1"/>
    </xf>
    <xf numFmtId="14" fontId="13" fillId="3" borderId="1" xfId="1" applyNumberFormat="1" applyFont="1" applyFill="1" applyBorder="1" applyAlignment="1">
      <alignment horizontal="left" vertical="top" wrapText="1"/>
    </xf>
    <xf numFmtId="0" fontId="13" fillId="3" borderId="1" xfId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5" fillId="2" borderId="0" xfId="1" applyFont="1" applyFill="1" applyAlignment="1">
      <alignment horizontal="right" vertical="top" wrapText="1"/>
    </xf>
    <xf numFmtId="164" fontId="10" fillId="3" borderId="0" xfId="1" applyNumberFormat="1" applyFont="1" applyFill="1" applyAlignment="1">
      <alignment horizontal="left" vertical="top" wrapText="1"/>
    </xf>
    <xf numFmtId="164" fontId="11" fillId="3" borderId="1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14" fontId="11" fillId="3" borderId="1" xfId="1" applyNumberFormat="1" applyFont="1" applyFill="1" applyBorder="1" applyAlignment="1">
      <alignment horizontal="center"/>
    </xf>
    <xf numFmtId="0" fontId="13" fillId="2" borderId="0" xfId="1" applyFont="1" applyFill="1" applyAlignment="1">
      <alignment horizontal="left" vertical="top" wrapText="1"/>
    </xf>
    <xf numFmtId="14" fontId="11" fillId="2" borderId="0" xfId="1" applyNumberFormat="1" applyFont="1" applyFill="1" applyAlignment="1">
      <alignment horizontal="center"/>
    </xf>
    <xf numFmtId="0" fontId="11" fillId="2" borderId="0" xfId="1" applyFont="1" applyFill="1" applyAlignment="1">
      <alignment horizontal="center" vertical="top"/>
    </xf>
    <xf numFmtId="14" fontId="13" fillId="4" borderId="3" xfId="1" applyNumberFormat="1" applyFont="1" applyFill="1" applyBorder="1" applyAlignment="1">
      <alignment horizontal="left" vertical="center" wrapText="1"/>
    </xf>
    <xf numFmtId="0" fontId="13" fillId="4" borderId="3" xfId="1" applyFont="1" applyFill="1" applyBorder="1" applyAlignment="1">
      <alignment horizontal="left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289560</xdr:colOff>
      <xdr:row>10</xdr:row>
      <xdr:rowOff>30480</xdr:rowOff>
    </xdr:from>
    <xdr:to>
      <xdr:col>75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955280" y="178308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23</xdr:row>
      <xdr:rowOff>0</xdr:rowOff>
    </xdr:from>
    <xdr:to>
      <xdr:col>74</xdr:col>
      <xdr:colOff>521970</xdr:colOff>
      <xdr:row>24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665720" y="418338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29</xdr:row>
      <xdr:rowOff>0</xdr:rowOff>
    </xdr:from>
    <xdr:to>
      <xdr:col>74</xdr:col>
      <xdr:colOff>521970</xdr:colOff>
      <xdr:row>32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65720" y="5059680"/>
          <a:ext cx="1131570" cy="5638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35</xdr:row>
      <xdr:rowOff>0</xdr:rowOff>
    </xdr:from>
    <xdr:to>
      <xdr:col>74</xdr:col>
      <xdr:colOff>521970</xdr:colOff>
      <xdr:row>37</xdr:row>
      <xdr:rowOff>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665720" y="6111240"/>
          <a:ext cx="1131570" cy="3505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53</xdr:row>
      <xdr:rowOff>0</xdr:rowOff>
    </xdr:from>
    <xdr:to>
      <xdr:col>74</xdr:col>
      <xdr:colOff>521970</xdr:colOff>
      <xdr:row>54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65720" y="768858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0</xdr:colOff>
      <xdr:row>69</xdr:row>
      <xdr:rowOff>0</xdr:rowOff>
    </xdr:from>
    <xdr:to>
      <xdr:col>74</xdr:col>
      <xdr:colOff>521970</xdr:colOff>
      <xdr:row>70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665720" y="9090660"/>
          <a:ext cx="113157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workbookViewId="0">
      <selection activeCell="B7" sqref="B7"/>
    </sheetView>
  </sheetViews>
  <sheetFormatPr defaultColWidth="8.77734375" defaultRowHeight="13.8" x14ac:dyDescent="0.25"/>
  <cols>
    <col min="1" max="1" width="27.109375" style="34" customWidth="1"/>
    <col min="2" max="2" width="21.6640625" style="34" customWidth="1"/>
    <col min="3" max="3" width="67.44140625" style="34" customWidth="1"/>
    <col min="4" max="5" width="10.109375" style="34" customWidth="1"/>
    <col min="6" max="6" width="44.77734375" style="34" customWidth="1"/>
    <col min="7" max="16384" width="8.77734375" style="34"/>
  </cols>
  <sheetData>
    <row r="2" spans="1:6" ht="29.55" customHeight="1" x14ac:dyDescent="0.25">
      <c r="A2" s="42" t="s">
        <v>10</v>
      </c>
      <c r="B2" s="43" t="s">
        <v>92</v>
      </c>
      <c r="C2" s="43" t="s">
        <v>91</v>
      </c>
      <c r="D2" s="41" t="s">
        <v>89</v>
      </c>
      <c r="E2" s="41" t="s">
        <v>90</v>
      </c>
    </row>
    <row r="3" spans="1:6" x14ac:dyDescent="0.25">
      <c r="A3" s="35" t="s">
        <v>12</v>
      </c>
      <c r="B3" s="34" t="s">
        <v>79</v>
      </c>
      <c r="C3" s="45" t="s">
        <v>80</v>
      </c>
      <c r="D3" s="37">
        <v>44927</v>
      </c>
      <c r="E3" s="37">
        <v>45306</v>
      </c>
    </row>
    <row r="4" spans="1:6" x14ac:dyDescent="0.25">
      <c r="A4" s="35" t="s">
        <v>12</v>
      </c>
      <c r="B4" s="34" t="s">
        <v>93</v>
      </c>
      <c r="C4" s="45" t="s">
        <v>94</v>
      </c>
      <c r="D4" s="37">
        <v>45306</v>
      </c>
      <c r="E4" s="37">
        <v>45657</v>
      </c>
    </row>
    <row r="5" spans="1:6" x14ac:dyDescent="0.25">
      <c r="A5" s="35" t="s">
        <v>14</v>
      </c>
      <c r="B5" s="34" t="s">
        <v>84</v>
      </c>
      <c r="C5" s="36" t="s">
        <v>83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96</v>
      </c>
      <c r="C6" s="36" t="s">
        <v>95</v>
      </c>
      <c r="D6" s="37">
        <v>44927</v>
      </c>
      <c r="E6" s="37">
        <v>45166</v>
      </c>
    </row>
    <row r="7" spans="1:6" ht="27.6" x14ac:dyDescent="0.25">
      <c r="A7" s="35" t="s">
        <v>14</v>
      </c>
      <c r="B7" s="49" t="s">
        <v>109</v>
      </c>
      <c r="C7" s="36" t="s">
        <v>83</v>
      </c>
      <c r="D7" s="37">
        <v>45278</v>
      </c>
      <c r="E7" s="37">
        <v>45342</v>
      </c>
      <c r="F7" s="48" t="s">
        <v>110</v>
      </c>
    </row>
    <row r="8" spans="1:6" ht="41.4" x14ac:dyDescent="0.25">
      <c r="A8" s="38" t="s">
        <v>15</v>
      </c>
      <c r="B8" s="39" t="s">
        <v>82</v>
      </c>
      <c r="C8" s="46" t="s">
        <v>81</v>
      </c>
      <c r="D8" s="40">
        <v>44927</v>
      </c>
      <c r="E8" s="40">
        <v>45657</v>
      </c>
    </row>
    <row r="9" spans="1:6" ht="41.4" x14ac:dyDescent="0.25">
      <c r="A9" s="38" t="s">
        <v>15</v>
      </c>
      <c r="B9" s="34" t="s">
        <v>108</v>
      </c>
      <c r="C9" s="47" t="s">
        <v>107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CD85"/>
  <sheetViews>
    <sheetView tabSelected="1" view="pageBreakPreview" topLeftCell="A50" zoomScaleNormal="100" zoomScaleSheetLayoutView="100" workbookViewId="0">
      <selection activeCell="D51" sqref="D51:BT51"/>
    </sheetView>
  </sheetViews>
  <sheetFormatPr defaultColWidth="8.77734375" defaultRowHeight="13.8" x14ac:dyDescent="0.25"/>
  <cols>
    <col min="1" max="24" width="1.44140625" customWidth="1"/>
    <col min="25" max="25" width="0.77734375" customWidth="1"/>
    <col min="26" max="27" width="1.44140625" customWidth="1"/>
    <col min="28" max="28" width="0.77734375" customWidth="1"/>
    <col min="29" max="29" width="2.21875" customWidth="1"/>
    <col min="30" max="30" width="1.5546875" customWidth="1"/>
    <col min="31" max="45" width="1.44140625" customWidth="1"/>
    <col min="46" max="46" width="2.6640625" customWidth="1"/>
    <col min="47" max="65" width="1.44140625" customWidth="1"/>
    <col min="66" max="66" width="1.109375" customWidth="1"/>
    <col min="67" max="67" width="0.44140625" hidden="1" customWidth="1"/>
    <col min="68" max="68" width="1.44140625" hidden="1" customWidth="1"/>
    <col min="69" max="69" width="0.44140625" customWidth="1"/>
    <col min="70" max="70" width="0.5546875" customWidth="1"/>
    <col min="71" max="71" width="7.44140625" customWidth="1"/>
    <col min="72" max="72" width="12" customWidth="1"/>
    <col min="73" max="73" width="1.44140625" customWidth="1"/>
    <col min="75" max="75" width="16" bestFit="1" customWidth="1"/>
  </cols>
  <sheetData>
    <row r="1" spans="1:77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76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7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85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7" x14ac:dyDescent="0.25">
      <c r="A3" s="56" t="s">
        <v>4</v>
      </c>
      <c r="B3" s="56"/>
      <c r="C3" s="56"/>
      <c r="D3" s="56"/>
      <c r="E3" s="56"/>
      <c r="F3" s="57" t="s">
        <v>5</v>
      </c>
      <c r="G3" s="57"/>
      <c r="H3" s="57"/>
      <c r="I3" s="58" t="s">
        <v>6</v>
      </c>
      <c r="J3" s="58"/>
      <c r="K3" s="5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78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7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86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87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7" x14ac:dyDescent="0.25">
      <c r="A6" s="56"/>
      <c r="B6" s="56"/>
      <c r="C6" s="56"/>
      <c r="D6" s="56"/>
      <c r="E6" s="56"/>
      <c r="F6" s="57"/>
      <c r="G6" s="57"/>
      <c r="H6" s="57"/>
      <c r="I6" s="58"/>
      <c r="J6" s="58"/>
      <c r="K6" s="5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59" t="s">
        <v>77</v>
      </c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</row>
    <row r="7" spans="1:77" x14ac:dyDescent="0.25">
      <c r="A7" s="8"/>
      <c r="B7" s="8"/>
      <c r="C7" s="8"/>
      <c r="D7" s="8"/>
      <c r="E7" s="8"/>
      <c r="F7" s="8"/>
      <c r="G7" s="60"/>
      <c r="H7" s="60"/>
      <c r="I7" s="58"/>
      <c r="J7" s="58"/>
      <c r="K7" s="58"/>
      <c r="L7" s="58"/>
      <c r="M7" s="58"/>
      <c r="N7" s="58"/>
      <c r="O7" s="5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</row>
    <row r="8" spans="1:77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61" t="s">
        <v>114</v>
      </c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7" x14ac:dyDescent="0.25">
      <c r="A10" s="62" t="s">
        <v>45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</row>
    <row r="11" spans="1:7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7" ht="28.2" customHeight="1" x14ac:dyDescent="0.25">
      <c r="A12" s="55" t="s">
        <v>116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Y12" t="s">
        <v>97</v>
      </c>
    </row>
    <row r="13" spans="1:77" ht="29.4" customHeight="1" x14ac:dyDescent="0.25">
      <c r="A13" s="101" t="s">
        <v>118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</row>
    <row r="14" spans="1:77" ht="29.4" customHeight="1" x14ac:dyDescent="0.25">
      <c r="A14" s="101" t="s">
        <v>117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</row>
    <row r="15" spans="1:77" x14ac:dyDescent="0.25">
      <c r="A15" s="66" t="s">
        <v>46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</row>
    <row r="16" spans="1:77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3" t="s">
        <v>9</v>
      </c>
      <c r="AB16" s="8"/>
      <c r="AC16" s="8"/>
      <c r="AD16" s="8"/>
      <c r="AE16" s="67">
        <v>45240</v>
      </c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15"/>
      <c r="AV16" s="15"/>
      <c r="AW16" s="15"/>
      <c r="AX16" s="15"/>
      <c r="AY16" s="15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  <c r="BW16" s="52">
        <f>AE16</f>
        <v>45240</v>
      </c>
    </row>
    <row r="17" spans="1:82" x14ac:dyDescent="0.25">
      <c r="A17" s="8" t="s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 t="s">
        <v>11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</row>
    <row r="18" spans="1:82" x14ac:dyDescent="0.25">
      <c r="A18" s="8" t="s">
        <v>12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68" t="str">
        <f>VLOOKUP(BJ18,подписанты!$B$3:$C$11,2,FALSE)</f>
        <v>Руководитель группы МТО АО «Газстройпроект»</v>
      </c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9" t="s">
        <v>79</v>
      </c>
      <c r="BK18" s="69"/>
      <c r="BL18" s="69"/>
      <c r="BM18" s="69"/>
      <c r="BN18" s="69"/>
      <c r="BO18" s="69"/>
      <c r="BP18" s="69"/>
      <c r="BQ18" s="69"/>
      <c r="BR18" s="69"/>
      <c r="BS18" s="69"/>
      <c r="BT18" s="69"/>
    </row>
    <row r="19" spans="1:8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0" t="s">
        <v>13</v>
      </c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27"/>
      <c r="BL19" s="27"/>
      <c r="BM19" s="27"/>
      <c r="BN19" s="27"/>
      <c r="BO19" s="27"/>
      <c r="BP19" s="16"/>
      <c r="BQ19" s="16"/>
      <c r="BR19" s="16"/>
      <c r="BS19" s="16"/>
      <c r="BT19" s="16"/>
    </row>
    <row r="20" spans="1:82" x14ac:dyDescent="0.25">
      <c r="A20" s="8" t="s">
        <v>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71" t="str">
        <f>VLOOKUP(BJ20,подписанты!$B$3:$C$11,2,FALSE)</f>
        <v>Инженер отдела технического надзора АО «Газстройпроект»</v>
      </c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69" t="s">
        <v>84</v>
      </c>
      <c r="BK20" s="69"/>
      <c r="BL20" s="69"/>
      <c r="BM20" s="69"/>
      <c r="BN20" s="69"/>
      <c r="BO20" s="69"/>
      <c r="BP20" s="69"/>
      <c r="BQ20" s="69"/>
      <c r="BR20" s="69"/>
      <c r="BS20" s="69"/>
      <c r="BT20" s="69"/>
    </row>
    <row r="21" spans="1:8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72" t="s">
        <v>13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0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82" ht="40.049999999999997" customHeight="1" x14ac:dyDescent="0.25">
      <c r="A22" s="8" t="s">
        <v>15</v>
      </c>
      <c r="B22" s="8"/>
      <c r="C22" s="8"/>
      <c r="D22" s="8"/>
      <c r="E22" s="8"/>
      <c r="F22" s="8"/>
      <c r="G22" s="8"/>
      <c r="H22" s="8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68" t="str">
        <f>VLOOKUP(BJ22,подписанты!$B$3:$C$11,2,FALSE)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73" t="s">
        <v>108</v>
      </c>
      <c r="BK22" s="73"/>
      <c r="BL22" s="73"/>
      <c r="BM22" s="73"/>
      <c r="BN22" s="73"/>
      <c r="BO22" s="73"/>
      <c r="BP22" s="73"/>
      <c r="BQ22" s="73"/>
      <c r="BR22" s="73"/>
      <c r="BS22" s="73"/>
      <c r="BT22" s="73"/>
    </row>
    <row r="23" spans="1:82" x14ac:dyDescent="0.25">
      <c r="A23" s="8"/>
      <c r="B23" s="8"/>
      <c r="C23" s="8"/>
      <c r="D23" s="8"/>
      <c r="E23" s="8"/>
      <c r="F23" s="8"/>
      <c r="G23" s="8"/>
      <c r="H23" s="8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70" t="s">
        <v>13</v>
      </c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spans="1:82" x14ac:dyDescent="0.25">
      <c r="A24" s="8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17"/>
      <c r="O24" s="74" t="s">
        <v>115</v>
      </c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8" t="s">
        <v>17</v>
      </c>
      <c r="BR24" s="13"/>
      <c r="BS24" s="13"/>
      <c r="BT24" s="13"/>
      <c r="BX24" s="63" t="s">
        <v>98</v>
      </c>
      <c r="BY24" s="63"/>
      <c r="BZ24" s="63"/>
      <c r="CA24" s="63"/>
      <c r="CB24" s="63"/>
      <c r="CC24" s="63"/>
      <c r="CD24" s="63"/>
    </row>
    <row r="25" spans="1:82" x14ac:dyDescent="0.25">
      <c r="A25" s="8"/>
      <c r="B25" s="8"/>
      <c r="C25" s="8"/>
      <c r="D25" s="8"/>
      <c r="E25" s="64" t="s">
        <v>49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X25" s="63"/>
      <c r="BY25" s="63"/>
      <c r="BZ25" s="63"/>
      <c r="CA25" s="63"/>
      <c r="CB25" s="63"/>
      <c r="CC25" s="63"/>
      <c r="CD25" s="63"/>
    </row>
    <row r="26" spans="1:82" ht="30.6" customHeight="1" x14ac:dyDescent="0.25">
      <c r="A26" s="65" t="s">
        <v>130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X26" s="63"/>
      <c r="BY26" s="63"/>
      <c r="BZ26" s="63"/>
      <c r="CA26" s="63"/>
      <c r="CB26" s="63"/>
      <c r="CC26" s="63"/>
      <c r="CD26" s="63"/>
    </row>
    <row r="27" spans="1:82" ht="30.6" customHeight="1" x14ac:dyDescent="0.25">
      <c r="A27" s="65" t="s">
        <v>131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X27" s="54"/>
      <c r="BY27" s="54"/>
      <c r="BZ27" s="54"/>
      <c r="CA27" s="54"/>
      <c r="CB27" s="54"/>
      <c r="CC27" s="54"/>
      <c r="CD27" s="54"/>
    </row>
    <row r="28" spans="1:82" ht="28.8" customHeight="1" x14ac:dyDescent="0.25">
      <c r="A28" s="65" t="s">
        <v>132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X28" s="53"/>
      <c r="BY28" s="53"/>
      <c r="BZ28" s="53"/>
      <c r="CA28" s="53"/>
      <c r="CB28" s="53"/>
      <c r="CC28" s="53"/>
      <c r="CD28" s="53"/>
    </row>
    <row r="29" spans="1:82" x14ac:dyDescent="0.25">
      <c r="A29" s="75" t="s">
        <v>50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</row>
    <row r="30" spans="1:82" x14ac:dyDescent="0.25">
      <c r="A30" s="10" t="s">
        <v>18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8"/>
      <c r="S30" s="8"/>
      <c r="T30" s="21"/>
      <c r="U30" s="76" t="s">
        <v>113</v>
      </c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X30" s="63" t="s">
        <v>99</v>
      </c>
      <c r="BY30" s="63"/>
      <c r="BZ30" s="63"/>
      <c r="CA30" s="63"/>
      <c r="CB30" s="63"/>
      <c r="CC30" s="63"/>
    </row>
    <row r="31" spans="1:82" ht="1.2" customHeight="1" x14ac:dyDescent="0.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X31" s="63"/>
      <c r="BY31" s="63"/>
      <c r="BZ31" s="63"/>
      <c r="CA31" s="63"/>
      <c r="CB31" s="63"/>
      <c r="CC31" s="63"/>
    </row>
    <row r="32" spans="1:8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8" t="s">
        <v>19</v>
      </c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X32" s="63"/>
      <c r="BY32" s="63"/>
      <c r="BZ32" s="63"/>
      <c r="CA32" s="63"/>
      <c r="CB32" s="63"/>
      <c r="CC32" s="63"/>
    </row>
    <row r="33" spans="1:82" x14ac:dyDescent="0.25">
      <c r="A33" s="10" t="s">
        <v>20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1"/>
      <c r="T33" s="21"/>
      <c r="U33" s="76" t="s">
        <v>57</v>
      </c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X33" s="63"/>
      <c r="BY33" s="63"/>
      <c r="BZ33" s="63"/>
      <c r="CA33" s="63"/>
      <c r="CB33" s="63"/>
      <c r="CC33" s="63"/>
    </row>
    <row r="34" spans="1:82" x14ac:dyDescent="0.25">
      <c r="A34" s="72" t="s">
        <v>21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</row>
    <row r="35" spans="1:82" x14ac:dyDescent="0.25">
      <c r="A35" s="8"/>
      <c r="B35" s="8"/>
      <c r="C35" s="8"/>
      <c r="D35" s="8" t="s">
        <v>22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 spans="1:82" x14ac:dyDescent="0.25">
      <c r="A36" s="8" t="s">
        <v>23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1"/>
      <c r="AJ36" s="8"/>
      <c r="AK36" s="79" t="s">
        <v>120</v>
      </c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X36" s="44" t="s">
        <v>100</v>
      </c>
    </row>
    <row r="37" spans="1:82" ht="15.6" customHeight="1" x14ac:dyDescent="0.25">
      <c r="A37" s="80" t="s">
        <v>129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X37" s="63" t="s">
        <v>101</v>
      </c>
      <c r="BY37" s="63"/>
      <c r="BZ37" s="63"/>
      <c r="CA37" s="63"/>
      <c r="CB37" s="63"/>
      <c r="CC37" s="63"/>
      <c r="CD37" s="63"/>
    </row>
    <row r="38" spans="1:82" ht="15.6" customHeight="1" x14ac:dyDescent="0.25">
      <c r="A38" s="102" t="s">
        <v>128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X38" s="63"/>
      <c r="BY38" s="63"/>
      <c r="BZ38" s="63"/>
      <c r="CA38" s="63"/>
      <c r="CB38" s="63"/>
      <c r="CC38" s="63"/>
      <c r="CD38" s="63"/>
    </row>
    <row r="39" spans="1:82" ht="15.6" customHeight="1" x14ac:dyDescent="0.25">
      <c r="A39" s="102" t="s">
        <v>127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X39" s="63"/>
      <c r="BY39" s="63"/>
      <c r="BZ39" s="63"/>
      <c r="CA39" s="63"/>
      <c r="CB39" s="63"/>
      <c r="CC39" s="63"/>
      <c r="CD39" s="63"/>
    </row>
    <row r="40" spans="1:82" ht="15.6" customHeight="1" x14ac:dyDescent="0.25">
      <c r="A40" s="102" t="s">
        <v>126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X40" s="63"/>
      <c r="BY40" s="63"/>
      <c r="BZ40" s="63"/>
      <c r="CA40" s="63"/>
      <c r="CB40" s="63"/>
      <c r="CC40" s="63"/>
      <c r="CD40" s="63"/>
    </row>
    <row r="41" spans="1:82" ht="15.6" customHeight="1" x14ac:dyDescent="0.25">
      <c r="A41" s="102" t="s">
        <v>125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X41" s="63"/>
      <c r="BY41" s="63"/>
      <c r="BZ41" s="63"/>
      <c r="CA41" s="63"/>
      <c r="CB41" s="63"/>
      <c r="CC41" s="63"/>
      <c r="CD41" s="63"/>
    </row>
    <row r="42" spans="1:82" ht="15.6" customHeight="1" x14ac:dyDescent="0.25">
      <c r="A42" s="102" t="s">
        <v>124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X42" s="63"/>
      <c r="BY42" s="63"/>
      <c r="BZ42" s="63"/>
      <c r="CA42" s="63"/>
      <c r="CB42" s="63"/>
      <c r="CC42" s="63"/>
      <c r="CD42" s="63"/>
    </row>
    <row r="43" spans="1:82" ht="15.6" customHeight="1" x14ac:dyDescent="0.25">
      <c r="A43" s="102" t="s">
        <v>123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X43" s="63"/>
      <c r="BY43" s="63"/>
      <c r="BZ43" s="63"/>
      <c r="CA43" s="63"/>
      <c r="CB43" s="63"/>
      <c r="CC43" s="63"/>
      <c r="CD43" s="63"/>
    </row>
    <row r="44" spans="1:82" x14ac:dyDescent="0.25">
      <c r="A44" s="102" t="s">
        <v>122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X44" s="63"/>
      <c r="BY44" s="63"/>
      <c r="BZ44" s="63"/>
      <c r="CA44" s="63"/>
      <c r="CB44" s="63"/>
      <c r="CC44" s="63"/>
      <c r="CD44" s="63"/>
    </row>
    <row r="45" spans="1:82" ht="15.6" customHeight="1" x14ac:dyDescent="0.25">
      <c r="A45" s="102" t="s">
        <v>121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X45" s="63"/>
      <c r="BY45" s="63"/>
      <c r="BZ45" s="63"/>
      <c r="CA45" s="63"/>
      <c r="CB45" s="63"/>
      <c r="CC45" s="63"/>
      <c r="CD45" s="63"/>
    </row>
    <row r="46" spans="1:82" ht="16.2" customHeight="1" x14ac:dyDescent="0.25">
      <c r="A46" s="70" t="s">
        <v>24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X46" s="63"/>
      <c r="BY46" s="63"/>
      <c r="BZ46" s="63"/>
      <c r="CA46" s="63"/>
      <c r="CB46" s="63"/>
      <c r="CC46" s="63"/>
      <c r="CD46" s="63"/>
    </row>
    <row r="47" spans="1:82" x14ac:dyDescent="0.25">
      <c r="A47" s="81" t="s">
        <v>73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X47" s="63"/>
      <c r="BY47" s="63"/>
      <c r="BZ47" s="63"/>
      <c r="CA47" s="63"/>
      <c r="CB47" s="63"/>
      <c r="CC47" s="63"/>
      <c r="CD47" s="63"/>
    </row>
    <row r="48" spans="1:82" ht="40.799999999999997" customHeight="1" x14ac:dyDescent="0.25">
      <c r="A48" s="17" t="s">
        <v>74</v>
      </c>
      <c r="B48" s="19"/>
      <c r="C48" s="19"/>
      <c r="D48" s="83" t="str">
        <f>A26</f>
        <v xml:space="preserve">Дверь противопожарная светопрозрачная дымогазонепроницаемая двупольная АРСЕНАЛ "Brand Schutz" ДППО-1 EIWS-30 "BrandSchutz" из Ал. Профиля КПТ74/Т-створка (ДППО Пределл огнестойкости EIWS-30) 1200 x 2050 (правая) - 4 шт; 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X48" s="63"/>
      <c r="BY48" s="63"/>
      <c r="BZ48" s="63"/>
      <c r="CA48" s="63"/>
      <c r="CB48" s="63"/>
      <c r="CC48" s="63"/>
      <c r="CD48" s="63"/>
    </row>
    <row r="49" spans="1:82" ht="41.4" customHeight="1" x14ac:dyDescent="0.25">
      <c r="A49" s="17"/>
      <c r="B49" s="19"/>
      <c r="C49" s="19"/>
      <c r="D49" s="83" t="str">
        <f>A27</f>
        <v xml:space="preserve">Дверь противопожарная светопрозрачная дымогазонепроницаемая двупольная АРСЕНАЛ "Brand Schutz" ДППО-1 EIWS-30 "BrandSchutz" из Ал. Профиля КПТ74/Т-створка (ДППО Пределл огнестойкости EIWS-30) 1200 x 2050 (левая) - 6 шт; 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X49" s="63"/>
      <c r="BY49" s="63"/>
      <c r="BZ49" s="63"/>
      <c r="CA49" s="63"/>
      <c r="CB49" s="63"/>
      <c r="CC49" s="63"/>
      <c r="CD49" s="63"/>
    </row>
    <row r="50" spans="1:82" ht="42" customHeight="1" x14ac:dyDescent="0.25">
      <c r="A50" s="17"/>
      <c r="B50" s="19"/>
      <c r="C50" s="19"/>
      <c r="D50" s="83" t="str">
        <f>A28</f>
        <v xml:space="preserve">Дверь противопожарная светопрозрачная дымогазонепроницаемая двупольная АРСЕНАЛ "Brand Schutz" ДППО-1 EIWS-60 "BrandSchutz" из Ал. Профиля КПТ74/Т-створка (ДППО Пределл огнестойкости EIWS-30) 1200 x 2050 (правая) - 2 шт. 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X50" s="63"/>
      <c r="BY50" s="63"/>
      <c r="BZ50" s="63"/>
      <c r="CA50" s="63"/>
      <c r="CB50" s="63"/>
      <c r="CC50" s="63"/>
      <c r="CD50" s="63"/>
    </row>
    <row r="51" spans="1:82" x14ac:dyDescent="0.25">
      <c r="A51" s="8"/>
      <c r="B51" s="8"/>
      <c r="C51" s="8"/>
      <c r="D51" s="84" t="s">
        <v>25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X51" s="63"/>
      <c r="BY51" s="63"/>
      <c r="BZ51" s="63"/>
      <c r="CA51" s="63"/>
      <c r="CB51" s="63"/>
      <c r="CC51" s="63"/>
      <c r="CD51" s="63"/>
    </row>
    <row r="52" spans="1:82" x14ac:dyDescent="0.25">
      <c r="A52" s="8" t="s">
        <v>26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50"/>
      <c r="Y52" s="85" t="s">
        <v>111</v>
      </c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X52" s="63"/>
      <c r="BY52" s="63"/>
      <c r="BZ52" s="63"/>
      <c r="CA52" s="63"/>
      <c r="CB52" s="63"/>
      <c r="CC52" s="63"/>
      <c r="CD52" s="63"/>
    </row>
    <row r="53" spans="1:8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0"/>
      <c r="Y53" s="72" t="s">
        <v>27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</row>
    <row r="54" spans="1:82" x14ac:dyDescent="0.25">
      <c r="A54" s="8" t="s">
        <v>28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7"/>
      <c r="AG54" s="7"/>
      <c r="AH54" s="7"/>
      <c r="AI54" s="7"/>
      <c r="AJ54" s="87" t="s">
        <v>29</v>
      </c>
      <c r="AK54" s="87"/>
      <c r="AL54" s="87"/>
      <c r="AM54" s="87"/>
      <c r="AN54" s="87"/>
      <c r="AO54" s="87"/>
      <c r="AP54" s="87"/>
      <c r="AQ54" s="87"/>
      <c r="AR54" s="87"/>
      <c r="AS54" s="87"/>
      <c r="AT54" s="88" t="s">
        <v>88</v>
      </c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X54" t="s">
        <v>102</v>
      </c>
    </row>
    <row r="55" spans="1:82" x14ac:dyDescent="0.25">
      <c r="A55" s="10" t="s">
        <v>30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21"/>
      <c r="O55" s="21"/>
      <c r="P55" s="21"/>
      <c r="Q55" s="89" t="str">
        <f>U30</f>
        <v>ПП2020РД-1.2-61.17-АР, изм.3, л. 11.</v>
      </c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X55" t="s">
        <v>103</v>
      </c>
    </row>
    <row r="56" spans="1:82" x14ac:dyDescent="0.25">
      <c r="A56" s="8"/>
      <c r="B56" s="8"/>
      <c r="C56" s="8"/>
      <c r="D56" s="10" t="s">
        <v>31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1"/>
      <c r="X56" s="8"/>
      <c r="Y56" s="32"/>
      <c r="Z56" s="32"/>
      <c r="AA56" s="90" t="str">
        <f>AK36</f>
        <v xml:space="preserve">Паспорт и инструкция по монтажу б/н (зав.№ В00051) от                                                                </v>
      </c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</row>
    <row r="57" spans="1:82" x14ac:dyDescent="0.25">
      <c r="A57" s="91" t="str">
        <f>A37</f>
        <v xml:space="preserve">26.10.2023, Паспорт и инструкция по монтажу б/н (зав.№ В00055) от 26.10.2023, Паспорт и инструкция по монтажу 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</row>
    <row r="58" spans="1:82" x14ac:dyDescent="0.25">
      <c r="A58" s="91" t="str">
        <f t="shared" ref="A58:A65" si="0">A38</f>
        <v>б/н (зав.№ В00045) от 26.10.2023, Паспорт и инструкция по монтажу б/н (зав.№ В00054) от 26.10.2023,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</row>
    <row r="59" spans="1:82" x14ac:dyDescent="0.25">
      <c r="A59" s="91" t="str">
        <f t="shared" si="0"/>
        <v xml:space="preserve">Паспорт и инструкция по монтажу б/н (зав.№ В00053) от 26.10.2023, Паспорт и инструкция по монтажу б/н 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</row>
    <row r="60" spans="1:82" x14ac:dyDescent="0.25">
      <c r="A60" s="91" t="str">
        <f t="shared" si="0"/>
        <v xml:space="preserve">(зав.№ДППО-1К00048) от 26.10.2023, Паспорт и инструкция по монтажу б/н (зав.№ В00047) от 26.10.2023, 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</row>
    <row r="61" spans="1:82" x14ac:dyDescent="0.25">
      <c r="A61" s="91" t="str">
        <f t="shared" si="0"/>
        <v>Паспорт и инструкция по монтажу б/н (зав.№ В00050) от 26.10.2023, Паспорт и инструкция по монтажу б/н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</row>
    <row r="62" spans="1:82" x14ac:dyDescent="0.25">
      <c r="A62" s="91" t="str">
        <f t="shared" si="0"/>
        <v xml:space="preserve">(зав.№ В00052) от 26.10.2023, Паспорт и инструкция по монтажу б/н (зав.№ В00044) от 26.10.2023, 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</row>
    <row r="63" spans="1:82" x14ac:dyDescent="0.25">
      <c r="A63" s="91" t="str">
        <f t="shared" si="0"/>
        <v xml:space="preserve">Паспорт и инструкция по монтажу б/н (зав.№ В00042) от 26.10.2023, Паспорт и инструкция по монтажу б/н 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</row>
    <row r="64" spans="1:82" x14ac:dyDescent="0.25">
      <c r="A64" s="91" t="str">
        <f t="shared" si="0"/>
        <v xml:space="preserve">(зав.№ДППО-1В00049) от 26.10.2023, сертификат соответствия №ЕАЭС RU C-RU.ПБ58.В.00395/21 с 20.09.2021 по 19.09.2026, 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</row>
    <row r="65" spans="1:76" x14ac:dyDescent="0.25">
      <c r="A65" s="91" t="str">
        <f t="shared" si="0"/>
        <v>сертификат оответсвия № ЕАЭС RU C-RU.ПБ58.В.00432/21 с 05.10.2021 по 04.10.2026.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</row>
    <row r="66" spans="1:76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78" t="s">
        <v>32</v>
      </c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</row>
    <row r="67" spans="1:76" x14ac:dyDescent="0.25">
      <c r="A67" s="8" t="s">
        <v>33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23"/>
    </row>
    <row r="68" spans="1:76" x14ac:dyDescent="0.25">
      <c r="A68" s="51"/>
      <c r="B68" s="8"/>
      <c r="C68" s="8"/>
      <c r="D68" s="8" t="s">
        <v>34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7"/>
      <c r="X68" s="7"/>
      <c r="Y68" s="7"/>
      <c r="Z68" s="7"/>
      <c r="AA68" s="51"/>
      <c r="AB68" s="7"/>
      <c r="AC68" s="51"/>
      <c r="AD68" s="92" t="s">
        <v>35</v>
      </c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</row>
    <row r="69" spans="1:76" x14ac:dyDescent="0.25">
      <c r="A69" s="8"/>
      <c r="B69" s="8"/>
      <c r="C69" s="8"/>
      <c r="D69" s="8"/>
      <c r="E69" s="8"/>
      <c r="F69" s="8"/>
      <c r="G69" s="8"/>
      <c r="H69" s="8"/>
      <c r="I69" s="8"/>
      <c r="J69" s="93" t="s">
        <v>36</v>
      </c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3"/>
      <c r="BE69" s="93"/>
      <c r="BF69" s="93"/>
      <c r="BG69" s="93"/>
      <c r="BH69" s="93"/>
      <c r="BI69" s="93"/>
      <c r="BJ69" s="93"/>
      <c r="BK69" s="93"/>
      <c r="BL69" s="93"/>
      <c r="BM69" s="93"/>
      <c r="BN69" s="93"/>
      <c r="BO69" s="93"/>
      <c r="BP69" s="93"/>
      <c r="BQ69" s="93"/>
      <c r="BR69" s="93"/>
      <c r="BS69" s="93"/>
      <c r="BT69" s="93"/>
    </row>
    <row r="70" spans="1:76" x14ac:dyDescent="0.25">
      <c r="A70" s="10" t="s">
        <v>37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/>
      <c r="V70" s="28"/>
      <c r="W70" s="33"/>
      <c r="X70" s="29"/>
      <c r="Y70" s="94" t="str">
        <f>U30</f>
        <v>ПП2020РД-1.2-61.17-АР, изм.3, л. 11.</v>
      </c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X70" t="s">
        <v>104</v>
      </c>
    </row>
    <row r="71" spans="1:76" ht="16.8" customHeight="1" x14ac:dyDescent="0.25">
      <c r="A71" s="8" t="s">
        <v>38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51"/>
      <c r="M71" s="24"/>
      <c r="N71" s="80" t="s">
        <v>119</v>
      </c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X71" t="s">
        <v>105</v>
      </c>
    </row>
    <row r="72" spans="1:7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X72" t="s">
        <v>106</v>
      </c>
    </row>
    <row r="73" spans="1:76" x14ac:dyDescent="0.25">
      <c r="A73" s="8" t="s">
        <v>39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2"/>
    </row>
    <row r="74" spans="1:76" x14ac:dyDescent="0.25">
      <c r="A74" s="8" t="s">
        <v>12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5" t="str">
        <f>BJ18</f>
        <v>Кострова Н.Л.</v>
      </c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8"/>
      <c r="AP74" s="8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8"/>
      <c r="BG74" s="8"/>
      <c r="BH74" s="97">
        <f>AE16</f>
        <v>45240</v>
      </c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12"/>
    </row>
    <row r="75" spans="1:7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0" t="s">
        <v>75</v>
      </c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30"/>
      <c r="AP75" s="30"/>
      <c r="AQ75" s="70" t="s">
        <v>40</v>
      </c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30"/>
      <c r="BG75" s="30"/>
      <c r="BH75" s="70" t="s">
        <v>41</v>
      </c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26"/>
    </row>
    <row r="76" spans="1:76" x14ac:dyDescent="0.25">
      <c r="A76" s="8" t="s">
        <v>42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2"/>
    </row>
    <row r="77" spans="1:76" x14ac:dyDescent="0.25">
      <c r="A77" s="8" t="s">
        <v>43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5" t="str">
        <f>BJ20</f>
        <v>Халыгов Э. А.</v>
      </c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8"/>
      <c r="AP77" s="8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8"/>
      <c r="BG77" s="8"/>
      <c r="BH77" s="97">
        <f>BH74</f>
        <v>45240</v>
      </c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12"/>
    </row>
    <row r="78" spans="1:7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0" t="s">
        <v>75</v>
      </c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30"/>
      <c r="AP78" s="30"/>
      <c r="AQ78" s="70" t="s">
        <v>40</v>
      </c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30"/>
      <c r="BG78" s="30"/>
      <c r="BH78" s="70" t="s">
        <v>41</v>
      </c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12"/>
    </row>
    <row r="79" spans="1:76" x14ac:dyDescent="0.25">
      <c r="A79" s="8" t="s">
        <v>39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12"/>
    </row>
    <row r="80" spans="1:76" x14ac:dyDescent="0.25">
      <c r="A80" s="8" t="s">
        <v>44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4" t="str">
        <f>BJ22</f>
        <v>Тюкин Е.В.</v>
      </c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8"/>
      <c r="AP80" s="8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8"/>
      <c r="BG80" s="8"/>
      <c r="BH80" s="97">
        <f>BH74</f>
        <v>45240</v>
      </c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12"/>
    </row>
    <row r="81" spans="1:7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70" t="s">
        <v>75</v>
      </c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30"/>
      <c r="AP81" s="30"/>
      <c r="AQ81" s="70" t="s">
        <v>40</v>
      </c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30"/>
      <c r="BG81" s="30"/>
      <c r="BH81" s="70" t="s">
        <v>41</v>
      </c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12"/>
    </row>
    <row r="82" spans="1:72" x14ac:dyDescent="0.25">
      <c r="A82" s="13"/>
      <c r="B82" s="13"/>
      <c r="C82" s="13"/>
      <c r="D82" s="7"/>
      <c r="E82" s="7"/>
      <c r="F82" s="7"/>
      <c r="G82" s="7"/>
      <c r="H82" s="7"/>
      <c r="I82" s="7"/>
      <c r="J82" s="7"/>
      <c r="K82" s="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12"/>
    </row>
    <row r="83" spans="1:72" x14ac:dyDescent="0.25">
      <c r="A83" s="98" t="s">
        <v>112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8"/>
      <c r="AP83" s="8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8"/>
      <c r="BG83" s="8"/>
      <c r="BH83" s="99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12"/>
    </row>
    <row r="84" spans="1:72" x14ac:dyDescent="0.25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8"/>
      <c r="W84" s="8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8"/>
      <c r="AP84" s="8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8"/>
      <c r="BG84" s="8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2"/>
    </row>
    <row r="85" spans="1:72" x14ac:dyDescent="0.25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12"/>
    </row>
  </sheetData>
  <mergeCells count="98">
    <mergeCell ref="A27:BT27"/>
    <mergeCell ref="A28:BT28"/>
    <mergeCell ref="D50:BT50"/>
    <mergeCell ref="A63:BT63"/>
    <mergeCell ref="A64:BT64"/>
    <mergeCell ref="A65:BT65"/>
    <mergeCell ref="A13:BT13"/>
    <mergeCell ref="A14:BT14"/>
    <mergeCell ref="D49:BT49"/>
    <mergeCell ref="A38:BT38"/>
    <mergeCell ref="A39:BT39"/>
    <mergeCell ref="A40:BT40"/>
    <mergeCell ref="A41:BT41"/>
    <mergeCell ref="A42:BT42"/>
    <mergeCell ref="A43:BT43"/>
    <mergeCell ref="A44:BT44"/>
    <mergeCell ref="A45:BT45"/>
    <mergeCell ref="A83:U85"/>
    <mergeCell ref="AQ83:BE83"/>
    <mergeCell ref="BH83:BS83"/>
    <mergeCell ref="AQ84:BE84"/>
    <mergeCell ref="BH84:BS84"/>
    <mergeCell ref="X80:AN80"/>
    <mergeCell ref="AQ80:BE80"/>
    <mergeCell ref="BH80:BS80"/>
    <mergeCell ref="X81:AN81"/>
    <mergeCell ref="AQ81:BE81"/>
    <mergeCell ref="BH81:BS81"/>
    <mergeCell ref="X77:AN77"/>
    <mergeCell ref="AQ77:BE77"/>
    <mergeCell ref="BH77:BS77"/>
    <mergeCell ref="X78:AN78"/>
    <mergeCell ref="AQ78:BE78"/>
    <mergeCell ref="BH78:BS78"/>
    <mergeCell ref="X74:AN74"/>
    <mergeCell ref="AQ74:BE74"/>
    <mergeCell ref="BH74:BS74"/>
    <mergeCell ref="X75:AN75"/>
    <mergeCell ref="AQ75:BE75"/>
    <mergeCell ref="BH75:BS75"/>
    <mergeCell ref="N71:BT71"/>
    <mergeCell ref="Y53:BT53"/>
    <mergeCell ref="AJ54:AS54"/>
    <mergeCell ref="AT54:BT54"/>
    <mergeCell ref="Q55:BT55"/>
    <mergeCell ref="AA56:BT56"/>
    <mergeCell ref="A57:BT57"/>
    <mergeCell ref="V66:BT66"/>
    <mergeCell ref="AD68:BT68"/>
    <mergeCell ref="J69:BT69"/>
    <mergeCell ref="Y70:BT70"/>
    <mergeCell ref="A58:BT58"/>
    <mergeCell ref="A59:BT59"/>
    <mergeCell ref="A60:BT60"/>
    <mergeCell ref="A61:BT61"/>
    <mergeCell ref="A62:BT62"/>
    <mergeCell ref="A34:BT34"/>
    <mergeCell ref="AK36:BT36"/>
    <mergeCell ref="A37:BT37"/>
    <mergeCell ref="BX37:CD52"/>
    <mergeCell ref="A46:BT46"/>
    <mergeCell ref="A47:BT47"/>
    <mergeCell ref="D48:BT48"/>
    <mergeCell ref="D51:BT51"/>
    <mergeCell ref="Y52:BT52"/>
    <mergeCell ref="A29:BT29"/>
    <mergeCell ref="U30:BT30"/>
    <mergeCell ref="BX30:CC33"/>
    <mergeCell ref="A31:BT31"/>
    <mergeCell ref="P32:BT32"/>
    <mergeCell ref="U33:BT33"/>
    <mergeCell ref="BX24:CD26"/>
    <mergeCell ref="E25:BT25"/>
    <mergeCell ref="A15:BT15"/>
    <mergeCell ref="AE16:AT16"/>
    <mergeCell ref="S18:BI18"/>
    <mergeCell ref="BJ18:BT18"/>
    <mergeCell ref="T19:BJ19"/>
    <mergeCell ref="S20:BI20"/>
    <mergeCell ref="BJ20:BT20"/>
    <mergeCell ref="T21:BJ21"/>
    <mergeCell ref="S22:BI22"/>
    <mergeCell ref="BJ22:BT22"/>
    <mergeCell ref="T23:BJ23"/>
    <mergeCell ref="O24:BP24"/>
    <mergeCell ref="A26:BT26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</mergeCells>
  <dataValidations count="4">
    <dataValidation type="list" errorStyle="information" allowBlank="1" showInputMessage="1" sqref="O24:BP24" xr:uid="{00000000-0002-0000-0100-000000000000}">
      <formula1>"выборочный,сплошной"</formula1>
    </dataValidation>
    <dataValidation type="list" allowBlank="1" showInputMessage="1" showErrorMessage="1" sqref="N24" xr:uid="{00000000-0002-0000-0100-000001000000}">
      <formula1>"выборочный,сплошной"</formula1>
    </dataValidation>
    <dataValidation type="list" allowBlank="1" showInputMessage="1" showErrorMessage="1" sqref="F6:H6 F3:H3" xr:uid="{00000000-0002-0000-0100-000002000000}">
      <formula1>"I.I,I.II,II,III,IV,V,V.I,V.II"</formula1>
    </dataValidation>
    <dataValidation type="list" showInputMessage="1" showErrorMessage="1" sqref="G7:H7" xr:uid="{00000000-0002-0000-0100-000003000000}">
      <formula1>"1,2"</formula1>
    </dataValidation>
  </dataValidations>
  <pageMargins left="0.59055118110236227" right="0.19685039370078741" top="0.39370078740157483" bottom="0.39370078740157483" header="0.19685039370078741" footer="0.19685039370078741"/>
  <pageSetup paperSize="9" scale="84" fitToHeight="0" orientation="portrait" blackAndWhite="1" copies="4" r:id="rId1"/>
  <rowBreaks count="1" manualBreakCount="1">
    <brk id="51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4000000}">
          <x14:formula1>
            <xm:f>подписанты!$B$8:$B$9</xm:f>
          </x14:formula1>
          <xm:sqref>BJ22:BT22</xm:sqref>
        </x14:dataValidation>
        <x14:dataValidation type="list" allowBlank="1" showInputMessage="1" showErrorMessage="1" xr:uid="{00000000-0002-0000-0100-000005000000}">
          <x14:formula1>
            <xm:f>подписанты!$B$5:$B$7</xm:f>
          </x14:formula1>
          <xm:sqref>BJ20:BT20</xm:sqref>
        </x14:dataValidation>
        <x14:dataValidation type="list" allowBlank="1" showInputMessage="1" showErrorMessage="1" xr:uid="{00000000-0002-0000-0100-000006000000}">
          <x14:formula1>
            <xm:f>подписанты!$B$3:$B$4</xm:f>
          </x14:formula1>
          <xm:sqref>BJ18:BT18</xm:sqref>
        </x14:dataValidation>
        <x14:dataValidation type="list" errorStyle="information" allowBlank="1" showInputMessage="1" xr:uid="{00000000-0002-0000-0100-000007000000}">
          <x14:formula1>
            <xm:f>'Лист общих данных'!$B$6:$B$15</xm:f>
          </x14:formula1>
          <xm:sqref>T30:U30</xm:sqref>
        </x14:dataValidation>
        <x14:dataValidation type="list" errorStyle="warning" allowBlank="1" showInputMessage="1" showErrorMessage="1" xr:uid="{00000000-0002-0000-0100-000008000000}">
          <x14:formula1>
            <xm:f>'Лист общих данных'!$A$6:$A$15</xm:f>
          </x14:formula1>
          <xm:sqref>S33:U33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1" customWidth="1"/>
    <col min="2" max="2" width="48.109375" style="1" customWidth="1"/>
    <col min="3" max="16384" width="9.109375" style="1"/>
  </cols>
  <sheetData>
    <row r="2" spans="1:2" x14ac:dyDescent="0.25">
      <c r="A2" s="1" t="s">
        <v>47</v>
      </c>
    </row>
    <row r="3" spans="1:2" x14ac:dyDescent="0.25">
      <c r="A3" s="1" t="s">
        <v>48</v>
      </c>
    </row>
    <row r="5" spans="1:2" x14ac:dyDescent="0.25">
      <c r="A5" s="2" t="s">
        <v>51</v>
      </c>
      <c r="B5" s="2" t="s">
        <v>52</v>
      </c>
    </row>
    <row r="6" spans="1:2" x14ac:dyDescent="0.25">
      <c r="A6" s="3" t="s">
        <v>53</v>
      </c>
      <c r="B6" s="1" t="s">
        <v>63</v>
      </c>
    </row>
    <row r="7" spans="1:2" ht="27.6" x14ac:dyDescent="0.25">
      <c r="A7" s="3" t="s">
        <v>54</v>
      </c>
      <c r="B7" s="1" t="s">
        <v>64</v>
      </c>
    </row>
    <row r="8" spans="1:2" x14ac:dyDescent="0.25">
      <c r="A8" s="3" t="s">
        <v>55</v>
      </c>
      <c r="B8" s="1" t="s">
        <v>65</v>
      </c>
    </row>
    <row r="9" spans="1:2" ht="27.6" x14ac:dyDescent="0.25">
      <c r="A9" s="3" t="s">
        <v>56</v>
      </c>
      <c r="B9" s="5" t="s">
        <v>66</v>
      </c>
    </row>
    <row r="10" spans="1:2" x14ac:dyDescent="0.25">
      <c r="A10" s="3" t="s">
        <v>57</v>
      </c>
      <c r="B10" s="1" t="s">
        <v>67</v>
      </c>
    </row>
    <row r="11" spans="1:2" x14ac:dyDescent="0.25">
      <c r="A11" s="3" t="s">
        <v>58</v>
      </c>
      <c r="B11" s="1" t="s">
        <v>68</v>
      </c>
    </row>
    <row r="12" spans="1:2" x14ac:dyDescent="0.25">
      <c r="A12" s="3" t="s">
        <v>59</v>
      </c>
      <c r="B12" s="1" t="s">
        <v>69</v>
      </c>
    </row>
    <row r="13" spans="1:2" ht="27.6" x14ac:dyDescent="0.25">
      <c r="A13" s="3" t="s">
        <v>60</v>
      </c>
      <c r="B13" s="4" t="s">
        <v>70</v>
      </c>
    </row>
    <row r="14" spans="1:2" ht="27.6" x14ac:dyDescent="0.25">
      <c r="A14" s="3" t="s">
        <v>61</v>
      </c>
      <c r="B14" s="6" t="s">
        <v>71</v>
      </c>
    </row>
    <row r="15" spans="1:2" ht="27.6" x14ac:dyDescent="0.25">
      <c r="A15" s="3" t="s">
        <v>62</v>
      </c>
      <c r="B15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подписанты</vt:lpstr>
      <vt:lpstr>№15.1 козырек</vt:lpstr>
      <vt:lpstr>Лист общих данных</vt:lpstr>
      <vt:lpstr>'№15.1 козырек'!Область_печати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2025-08-01T16:33:35Z</cp:lastPrinted>
  <dcterms:created xsi:type="dcterms:W3CDTF">2023-09-19T09:44:50Z</dcterms:created>
  <dcterms:modified xsi:type="dcterms:W3CDTF">2025-08-01T16:33:43Z</dcterms:modified>
</cp:coreProperties>
</file>