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13_ncr:1_{996026FB-679F-4178-8356-750E105C428B}" xr6:coauthVersionLast="47" xr6:coauthVersionMax="47" xr10:uidLastSave="{00000000-0000-0000-0000-000000000000}"/>
  <bookViews>
    <workbookView xWindow="-108" yWindow="-108" windowWidth="23256" windowHeight="14160" tabRatio="910" firstSheet="1" activeTab="2" xr2:uid="{00000000-000D-0000-FFFF-FFFF00000000}"/>
  </bookViews>
  <sheets>
    <sheet name="Акты до 1.09.23 НЕ ИСПОЛЬЗОВАТЬ" sheetId="1" r:id="rId1"/>
    <sheet name="Акты с 1.09.23" sheetId="11" r:id="rId2"/>
    <sheet name="реестр" sheetId="2" r:id="rId3"/>
    <sheet name="1" sheetId="63" r:id="rId4"/>
    <sheet name="7" sheetId="62" r:id="rId5"/>
    <sheet name="15" sheetId="60" r:id="rId6"/>
    <sheet name="16" sheetId="158" r:id="rId7"/>
    <sheet name="17" sheetId="159" r:id="rId8"/>
    <sheet name="18" sheetId="160" r:id="rId9"/>
    <sheet name="19" sheetId="161" r:id="rId10"/>
    <sheet name="20" sheetId="162" r:id="rId11"/>
    <sheet name="23" sheetId="84" r:id="rId12"/>
    <sheet name="24" sheetId="163" r:id="rId13"/>
    <sheet name="27" sheetId="79" r:id="rId14"/>
    <sheet name="28" sheetId="93" r:id="rId15"/>
    <sheet name="30" sheetId="89" r:id="rId16"/>
    <sheet name="33" sheetId="102" r:id="rId17"/>
    <sheet name="37" sheetId="157" r:id="rId18"/>
    <sheet name="38" sheetId="149" r:id="rId19"/>
    <sheet name="39" sheetId="150" r:id="rId20"/>
    <sheet name="43" sheetId="168" r:id="rId21"/>
    <sheet name="46" sheetId="97" r:id="rId22"/>
    <sheet name="48" sheetId="167" r:id="rId23"/>
    <sheet name="50" sheetId="166" r:id="rId24"/>
    <sheet name="53" sheetId="172" r:id="rId25"/>
    <sheet name="54" sheetId="99" r:id="rId26"/>
    <sheet name="56" sheetId="165" r:id="rId27"/>
    <sheet name="57" sheetId="101" r:id="rId28"/>
    <sheet name="58" sheetId="164" r:id="rId29"/>
    <sheet name="61" sheetId="122" r:id="rId30"/>
    <sheet name="62" sheetId="107" r:id="rId31"/>
    <sheet name="63" sheetId="113" r:id="rId32"/>
    <sheet name="68" sheetId="121" r:id="rId33"/>
    <sheet name="72" sheetId="147" r:id="rId34"/>
    <sheet name="74" sheetId="169" r:id="rId35"/>
    <sheet name="77" sheetId="103" r:id="rId36"/>
    <sheet name="78" sheetId="104" r:id="rId37"/>
    <sheet name="86" sheetId="136" r:id="rId38"/>
  </sheets>
  <externalReferences>
    <externalReference r:id="rId39"/>
    <externalReference r:id="rId40"/>
  </externalReferences>
  <definedNames>
    <definedName name="_xlnm._FilterDatabase" localSheetId="0" hidden="1">'Акты до 1.09.23 НЕ ИСПОЛЬЗОВАТЬ'!$A$1:$L$120</definedName>
    <definedName name="_xlnm._FilterDatabase" localSheetId="1" hidden="1">'Акты с 1.09.23'!$A$1:$L$128</definedName>
    <definedName name="_xlnm._FilterDatabase" localSheetId="2" hidden="1">реестр!$A$1:$AG$284</definedName>
    <definedName name="Print_Area" localSheetId="0">'Акты до 1.09.23 НЕ ИСПОЛЬЗОВАТЬ'!$A$3:$J$114</definedName>
    <definedName name="_xlnm.Print_Area" localSheetId="3">'1'!$A$1:$D$30</definedName>
    <definedName name="_xlnm.Print_Area" localSheetId="5">'15'!$A$1:$D$25</definedName>
    <definedName name="_xlnm.Print_Area" localSheetId="6">'16'!$A$1:$D$27</definedName>
    <definedName name="_xlnm.Print_Area" localSheetId="7">'17'!$A$1:$D$28</definedName>
    <definedName name="_xlnm.Print_Area" localSheetId="8">'18'!$A$1:$D$27</definedName>
    <definedName name="_xlnm.Print_Area" localSheetId="9">'19'!$A$1:$D$27</definedName>
    <definedName name="_xlnm.Print_Area" localSheetId="10">'20'!$A$1:$D$27</definedName>
    <definedName name="_xlnm.Print_Area" localSheetId="11">'23'!$A$1:$D$33</definedName>
    <definedName name="_xlnm.Print_Area" localSheetId="12">'24'!$A$1:$D$33</definedName>
    <definedName name="_xlnm.Print_Area" localSheetId="13">'27'!$A$1:$D$33</definedName>
    <definedName name="_xlnm.Print_Area" localSheetId="14">'28'!$A$1:$D$32</definedName>
    <definedName name="_xlnm.Print_Area" localSheetId="15">'30'!$A$1:$D$31</definedName>
    <definedName name="_xlnm.Print_Area" localSheetId="16">'33'!$A$1:$D$34</definedName>
    <definedName name="_xlnm.Print_Area" localSheetId="17">'37'!$A$1:$D$36</definedName>
    <definedName name="_xlnm.Print_Area" localSheetId="18">'38'!$A$1:$D$47</definedName>
    <definedName name="_xlnm.Print_Area" localSheetId="19">'39'!$A$1:$D$51</definedName>
    <definedName name="_xlnm.Print_Area" localSheetId="20">'43'!$A$1:$D$27</definedName>
    <definedName name="_xlnm.Print_Area" localSheetId="21">'46'!$A$1:$D$31</definedName>
    <definedName name="_xlnm.Print_Area" localSheetId="22">'48'!$A$1:$D$27</definedName>
    <definedName name="_xlnm.Print_Area" localSheetId="23">'50'!$A$1:$D$27</definedName>
    <definedName name="_xlnm.Print_Area" localSheetId="24">'53'!$A$1:$D$31</definedName>
    <definedName name="_xlnm.Print_Area" localSheetId="25">'54'!$A$1:$D$33</definedName>
    <definedName name="_xlnm.Print_Area" localSheetId="26">'56'!$A$1:$D$28</definedName>
    <definedName name="_xlnm.Print_Area" localSheetId="27">'57'!$A$1:$D$31</definedName>
    <definedName name="_xlnm.Print_Area" localSheetId="28">'58'!$A$1:$D$28</definedName>
    <definedName name="_xlnm.Print_Area" localSheetId="29">'61'!$A$1:$D$29</definedName>
    <definedName name="_xlnm.Print_Area" localSheetId="30">'62'!$A$1:$D$35</definedName>
    <definedName name="_xlnm.Print_Area" localSheetId="31">'63'!$A$1:$D$32</definedName>
    <definedName name="_xlnm.Print_Area" localSheetId="32">'68'!$A$1:$D$27</definedName>
    <definedName name="_xlnm.Print_Area" localSheetId="4">'7'!$A$1:$D$28</definedName>
    <definedName name="_xlnm.Print_Area" localSheetId="33">'72'!$A$1:$D$27</definedName>
    <definedName name="_xlnm.Print_Area" localSheetId="34">'74'!$A$1:$D$30</definedName>
    <definedName name="_xlnm.Print_Area" localSheetId="35">'77'!$A$1:$D$28</definedName>
    <definedName name="_xlnm.Print_Area" localSheetId="36">'78'!$A$1:$D$30</definedName>
    <definedName name="_xlnm.Print_Area" localSheetId="37">'86'!$A$1:$D$33</definedName>
    <definedName name="_xlnm.Print_Area" localSheetId="0">'Акты до 1.09.23 НЕ ИСПОЛЬЗОВАТЬ'!$A$1:$J$120</definedName>
    <definedName name="_xlnm.Print_Area" localSheetId="1">'Акты с 1.09.23'!$A$1:$J$128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5" i="104" l="1"/>
  <c r="A5" i="103"/>
  <c r="A20" i="172"/>
  <c r="F58" i="2"/>
  <c r="F56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F51" i="2"/>
  <c r="C99" i="2"/>
  <c r="AC99" i="2" s="1"/>
  <c r="L19" i="2"/>
  <c r="C19" i="2"/>
  <c r="AC19" i="2" s="1"/>
  <c r="F82" i="2"/>
  <c r="F80" i="2"/>
  <c r="F76" i="2"/>
  <c r="C61" i="2"/>
  <c r="AC61" i="2" s="1"/>
  <c r="C60" i="2"/>
  <c r="Y60" i="2" s="1"/>
  <c r="C54" i="2"/>
  <c r="AC54" i="2" s="1"/>
  <c r="C53" i="2"/>
  <c r="AC53" i="2" s="1"/>
  <c r="L45" i="2"/>
  <c r="C45" i="2"/>
  <c r="AC45" i="2" s="1"/>
  <c r="L44" i="2"/>
  <c r="C44" i="2"/>
  <c r="W44" i="2" s="1"/>
  <c r="A5" i="172" l="1"/>
  <c r="B2" i="172" s="1"/>
  <c r="F45" i="2"/>
  <c r="V99" i="2"/>
  <c r="W99" i="2"/>
  <c r="Y99" i="2"/>
  <c r="Z99" i="2"/>
  <c r="AA99" i="2"/>
  <c r="V19" i="2"/>
  <c r="W19" i="2"/>
  <c r="Y19" i="2"/>
  <c r="Z19" i="2"/>
  <c r="AA19" i="2"/>
  <c r="V61" i="2"/>
  <c r="AC60" i="2"/>
  <c r="F61" i="2"/>
  <c r="Z60" i="2"/>
  <c r="AA60" i="2"/>
  <c r="Y61" i="2"/>
  <c r="V60" i="2"/>
  <c r="Z61" i="2"/>
  <c r="W61" i="2"/>
  <c r="W60" i="2"/>
  <c r="AA61" i="2"/>
  <c r="AA53" i="2"/>
  <c r="F54" i="2"/>
  <c r="Z54" i="2"/>
  <c r="V54" i="2"/>
  <c r="W54" i="2"/>
  <c r="Y54" i="2"/>
  <c r="AA54" i="2"/>
  <c r="V53" i="2"/>
  <c r="W53" i="2"/>
  <c r="Y53" i="2"/>
  <c r="Z53" i="2"/>
  <c r="Z44" i="2"/>
  <c r="Y44" i="2"/>
  <c r="AA44" i="2"/>
  <c r="AC44" i="2"/>
  <c r="V44" i="2"/>
  <c r="AA45" i="2"/>
  <c r="V45" i="2"/>
  <c r="W45" i="2"/>
  <c r="Y45" i="2"/>
  <c r="Z45" i="2"/>
  <c r="C98" i="2"/>
  <c r="AC98" i="2" s="1"/>
  <c r="V98" i="2" l="1"/>
  <c r="W98" i="2"/>
  <c r="Y98" i="2"/>
  <c r="AA98" i="2"/>
  <c r="Z98" i="2"/>
  <c r="A19" i="169"/>
  <c r="A5" i="169"/>
  <c r="B2" i="169" s="1"/>
  <c r="A16" i="147"/>
  <c r="A5" i="147"/>
  <c r="B2" i="147" s="1"/>
  <c r="A16" i="121"/>
  <c r="A5" i="121"/>
  <c r="B2" i="121" s="1"/>
  <c r="A16" i="166"/>
  <c r="A5" i="166"/>
  <c r="B2" i="166" s="1"/>
  <c r="A5" i="167"/>
  <c r="B2" i="167" s="1"/>
  <c r="A16" i="167"/>
  <c r="A16" i="168"/>
  <c r="A5" i="168"/>
  <c r="B2" i="168" s="1"/>
  <c r="A17" i="165" l="1"/>
  <c r="A17" i="164"/>
  <c r="A22" i="163" l="1"/>
  <c r="C37" i="2"/>
  <c r="V37" i="2" s="1"/>
  <c r="L37" i="2"/>
  <c r="L34" i="2"/>
  <c r="C34" i="2"/>
  <c r="AC34" i="2" s="1"/>
  <c r="L32" i="2"/>
  <c r="C32" i="2"/>
  <c r="AC32" i="2" l="1"/>
  <c r="F32" i="2"/>
  <c r="AC37" i="2"/>
  <c r="AA37" i="2"/>
  <c r="Z37" i="2"/>
  <c r="Y37" i="2"/>
  <c r="W37" i="2"/>
  <c r="V34" i="2"/>
  <c r="Y34" i="2"/>
  <c r="Z34" i="2"/>
  <c r="AA34" i="2"/>
  <c r="W34" i="2"/>
  <c r="W32" i="2"/>
  <c r="Z32" i="2"/>
  <c r="V32" i="2"/>
  <c r="AA32" i="2"/>
  <c r="Y32" i="2"/>
  <c r="AC96" i="2"/>
  <c r="AA96" i="2"/>
  <c r="Z96" i="2"/>
  <c r="Y96" i="2"/>
  <c r="W96" i="2"/>
  <c r="V96" i="2"/>
  <c r="AC95" i="2"/>
  <c r="AA95" i="2"/>
  <c r="Z95" i="2"/>
  <c r="Y95" i="2"/>
  <c r="W95" i="2"/>
  <c r="V95" i="2"/>
  <c r="C94" i="2"/>
  <c r="C93" i="2"/>
  <c r="F94" i="2" l="1"/>
  <c r="Z93" i="2"/>
  <c r="AC94" i="2"/>
  <c r="W93" i="2"/>
  <c r="AA93" i="2"/>
  <c r="V93" i="2"/>
  <c r="W94" i="2"/>
  <c r="V94" i="2"/>
  <c r="Y94" i="2"/>
  <c r="Z94" i="2"/>
  <c r="AC93" i="2"/>
  <c r="AA94" i="2"/>
  <c r="Y93" i="2"/>
  <c r="A16" i="162" l="1"/>
  <c r="A16" i="161"/>
  <c r="A16" i="160"/>
  <c r="A17" i="159"/>
  <c r="A16" i="158"/>
  <c r="C84" i="2"/>
  <c r="Z84" i="2" s="1"/>
  <c r="C86" i="2"/>
  <c r="F86" i="2" l="1"/>
  <c r="AC86" i="2"/>
  <c r="Y86" i="2"/>
  <c r="AA86" i="2"/>
  <c r="W86" i="2"/>
  <c r="Y84" i="2"/>
  <c r="V86" i="2"/>
  <c r="AC84" i="2"/>
  <c r="W84" i="2"/>
  <c r="AA84" i="2"/>
  <c r="V84" i="2"/>
  <c r="Z86" i="2"/>
  <c r="C69" i="2" l="1"/>
  <c r="A22" i="99"/>
  <c r="F69" i="2" l="1"/>
  <c r="AC69" i="2"/>
  <c r="Z69" i="2"/>
  <c r="W69" i="2"/>
  <c r="AA69" i="2"/>
  <c r="V69" i="2"/>
  <c r="Y69" i="2"/>
  <c r="C65" i="2"/>
  <c r="Z65" i="2" l="1"/>
  <c r="V65" i="2"/>
  <c r="F65" i="2"/>
  <c r="Y65" i="2"/>
  <c r="AC65" i="2"/>
  <c r="W65" i="2"/>
  <c r="AA65" i="2"/>
  <c r="C68" i="2" l="1"/>
  <c r="AC68" i="2" s="1"/>
  <c r="C67" i="2"/>
  <c r="AC67" i="2" s="1"/>
  <c r="C63" i="2"/>
  <c r="AC63" i="2" s="1"/>
  <c r="C66" i="2"/>
  <c r="C64" i="2"/>
  <c r="C62" i="2"/>
  <c r="AC64" i="2" l="1"/>
  <c r="F64" i="2"/>
  <c r="AC66" i="2"/>
  <c r="F66" i="2"/>
  <c r="AC62" i="2"/>
  <c r="Y62" i="2"/>
  <c r="Y67" i="2"/>
  <c r="F62" i="2"/>
  <c r="Z62" i="2"/>
  <c r="Z66" i="2"/>
  <c r="Z67" i="2"/>
  <c r="Z68" i="2"/>
  <c r="Y64" i="2"/>
  <c r="Y66" i="2"/>
  <c r="Y63" i="2"/>
  <c r="Y68" i="2"/>
  <c r="Z64" i="2"/>
  <c r="Z63" i="2"/>
  <c r="V62" i="2"/>
  <c r="AA62" i="2"/>
  <c r="V64" i="2"/>
  <c r="AA64" i="2"/>
  <c r="V66" i="2"/>
  <c r="AA66" i="2"/>
  <c r="V63" i="2"/>
  <c r="AA63" i="2"/>
  <c r="V67" i="2"/>
  <c r="AA67" i="2"/>
  <c r="V68" i="2"/>
  <c r="AA68" i="2"/>
  <c r="W62" i="2"/>
  <c r="W64" i="2"/>
  <c r="W66" i="2"/>
  <c r="W63" i="2"/>
  <c r="W67" i="2"/>
  <c r="W68" i="2"/>
  <c r="A25" i="157" l="1"/>
  <c r="L39" i="2" l="1"/>
  <c r="C29" i="2"/>
  <c r="AA29" i="2" s="1"/>
  <c r="L29" i="2"/>
  <c r="AC29" i="2" l="1"/>
  <c r="W29" i="2"/>
  <c r="Y29" i="2"/>
  <c r="V29" i="2"/>
  <c r="Z29" i="2"/>
  <c r="A36" i="149"/>
  <c r="A40" i="150" l="1"/>
  <c r="G7" i="2"/>
  <c r="G6" i="2" l="1"/>
  <c r="A90" i="11" s="1"/>
  <c r="A22" i="136" l="1"/>
  <c r="A18" i="122" l="1"/>
  <c r="A21" i="113"/>
  <c r="A24" i="107"/>
  <c r="A19" i="104" l="1"/>
  <c r="A17" i="103"/>
  <c r="A23" i="102" l="1"/>
  <c r="A20" i="101"/>
  <c r="A20" i="97"/>
  <c r="A19" i="63"/>
  <c r="A17" i="62"/>
  <c r="A14" i="60"/>
  <c r="A22" i="79"/>
  <c r="A22" i="84"/>
  <c r="A20" i="89"/>
  <c r="A21" i="93"/>
  <c r="L10" i="2" l="1"/>
  <c r="L11" i="2"/>
  <c r="L12" i="2"/>
  <c r="L13" i="2"/>
  <c r="L14" i="2"/>
  <c r="L15" i="2"/>
  <c r="L16" i="2"/>
  <c r="L17" i="2"/>
  <c r="L18" i="2"/>
  <c r="L20" i="2"/>
  <c r="L21" i="2"/>
  <c r="L22" i="2"/>
  <c r="L23" i="2"/>
  <c r="L24" i="2"/>
  <c r="L25" i="2"/>
  <c r="L26" i="2"/>
  <c r="L27" i="2"/>
  <c r="L28" i="2"/>
  <c r="L46" i="2"/>
  <c r="L47" i="2"/>
  <c r="L38" i="2"/>
  <c r="L42" i="2"/>
  <c r="L33" i="2"/>
  <c r="L35" i="2"/>
  <c r="L36" i="2"/>
  <c r="L41" i="2"/>
  <c r="L43" i="2"/>
  <c r="L30" i="2"/>
  <c r="L31" i="2"/>
  <c r="L40" i="2"/>
  <c r="C97" i="2" l="1"/>
  <c r="A5" i="136" s="1"/>
  <c r="Y97" i="2" l="1"/>
  <c r="AC97" i="2"/>
  <c r="V97" i="2"/>
  <c r="Z97" i="2"/>
  <c r="W97" i="2"/>
  <c r="AA97" i="2"/>
  <c r="C83" i="2" l="1"/>
  <c r="C85" i="2"/>
  <c r="C92" i="2"/>
  <c r="F85" i="2" l="1"/>
  <c r="Y83" i="2"/>
  <c r="AC83" i="2"/>
  <c r="Y92" i="2"/>
  <c r="AC92" i="2"/>
  <c r="AC85" i="2"/>
  <c r="Y85" i="2"/>
  <c r="V92" i="2"/>
  <c r="Z92" i="2"/>
  <c r="W92" i="2"/>
  <c r="AA92" i="2"/>
  <c r="V83" i="2"/>
  <c r="Z83" i="2"/>
  <c r="AA83" i="2"/>
  <c r="W83" i="2"/>
  <c r="V85" i="2"/>
  <c r="Z85" i="2"/>
  <c r="AA85" i="2"/>
  <c r="W85" i="2"/>
  <c r="C10" i="2"/>
  <c r="C11" i="2"/>
  <c r="C12" i="2"/>
  <c r="C13" i="2"/>
  <c r="C14" i="2"/>
  <c r="C15" i="2"/>
  <c r="C16" i="2"/>
  <c r="C17" i="2"/>
  <c r="C18" i="2"/>
  <c r="C20" i="2"/>
  <c r="C21" i="2"/>
  <c r="C22" i="2"/>
  <c r="C23" i="2"/>
  <c r="C24" i="2"/>
  <c r="C25" i="2"/>
  <c r="F25" i="2" s="1"/>
  <c r="C26" i="2"/>
  <c r="C27" i="2"/>
  <c r="C28" i="2"/>
  <c r="C46" i="2"/>
  <c r="F46" i="2" s="1"/>
  <c r="C47" i="2"/>
  <c r="F47" i="2" s="1"/>
  <c r="C38" i="2"/>
  <c r="C39" i="2"/>
  <c r="C42" i="2"/>
  <c r="C33" i="2"/>
  <c r="C35" i="2"/>
  <c r="F35" i="2" s="1"/>
  <c r="C36" i="2"/>
  <c r="C41" i="2"/>
  <c r="F41" i="2" s="1"/>
  <c r="C43" i="2"/>
  <c r="C30" i="2"/>
  <c r="C31" i="2"/>
  <c r="C40" i="2"/>
  <c r="A5" i="99"/>
  <c r="C70" i="2"/>
  <c r="C71" i="2"/>
  <c r="C87" i="2"/>
  <c r="C72" i="2"/>
  <c r="C88" i="2"/>
  <c r="C89" i="2"/>
  <c r="C90" i="2"/>
  <c r="C91" i="2"/>
  <c r="A6" i="2"/>
  <c r="B6" i="2"/>
  <c r="B7" i="2"/>
  <c r="D6" i="2"/>
  <c r="A80" i="11" s="1"/>
  <c r="D7" i="2"/>
  <c r="E6" i="2"/>
  <c r="A83" i="11" s="1"/>
  <c r="E7" i="2"/>
  <c r="H6" i="2"/>
  <c r="H7" i="2"/>
  <c r="I6" i="2"/>
  <c r="I7" i="2"/>
  <c r="J6" i="2"/>
  <c r="J7" i="2"/>
  <c r="K6" i="2"/>
  <c r="K7" i="2"/>
  <c r="M6" i="2"/>
  <c r="A40" i="11" s="1"/>
  <c r="M7" i="2"/>
  <c r="N6" i="2"/>
  <c r="N7" i="2"/>
  <c r="O6" i="2"/>
  <c r="O7" i="2"/>
  <c r="P6" i="2"/>
  <c r="P7" i="2"/>
  <c r="Q7" i="2"/>
  <c r="Q6" i="2"/>
  <c r="R7" i="2"/>
  <c r="R6" i="2"/>
  <c r="S7" i="2"/>
  <c r="S6" i="2"/>
  <c r="T7" i="2"/>
  <c r="T6" i="2"/>
  <c r="A66" i="1"/>
  <c r="U7" i="2"/>
  <c r="U6" i="2"/>
  <c r="A73" i="11" s="1"/>
  <c r="A5" i="97" l="1"/>
  <c r="B2" i="97" s="1"/>
  <c r="A5" i="160"/>
  <c r="B2" i="160" s="1"/>
  <c r="A5" i="89"/>
  <c r="B2" i="89" s="1"/>
  <c r="A5" i="165"/>
  <c r="B2" i="165" s="1"/>
  <c r="A5" i="101"/>
  <c r="B2" i="101" s="1"/>
  <c r="A5" i="163"/>
  <c r="B2" i="163" s="1"/>
  <c r="A5" i="84"/>
  <c r="B2" i="84" s="1"/>
  <c r="A5" i="102"/>
  <c r="B2" i="102" s="1"/>
  <c r="A5" i="93"/>
  <c r="B2" i="93" s="1"/>
  <c r="A5" i="149"/>
  <c r="B2" i="149" s="1"/>
  <c r="A5" i="150"/>
  <c r="B2" i="150" s="1"/>
  <c r="B2" i="104"/>
  <c r="A5" i="107"/>
  <c r="B2" i="107" s="1"/>
  <c r="A5" i="164"/>
  <c r="B2" i="164" s="1"/>
  <c r="A5" i="79"/>
  <c r="B2" i="79" s="1"/>
  <c r="A5" i="157"/>
  <c r="B2" i="157" s="1"/>
  <c r="B2" i="103"/>
  <c r="A5" i="113"/>
  <c r="B2" i="113" s="1"/>
  <c r="A5" i="122"/>
  <c r="B2" i="122" s="1"/>
  <c r="B2" i="99"/>
  <c r="F28" i="2"/>
  <c r="A5" i="162"/>
  <c r="B2" i="162" s="1"/>
  <c r="F27" i="2"/>
  <c r="A5" i="161"/>
  <c r="B2" i="161" s="1"/>
  <c r="F26" i="2"/>
  <c r="A5" i="159"/>
  <c r="B2" i="159" s="1"/>
  <c r="A5" i="158"/>
  <c r="B2" i="158" s="1"/>
  <c r="F24" i="2"/>
  <c r="F71" i="2"/>
  <c r="F38" i="2"/>
  <c r="B2" i="136"/>
  <c r="Y10" i="2"/>
  <c r="A5" i="60"/>
  <c r="B2" i="60" s="1"/>
  <c r="F70" i="2"/>
  <c r="A5" i="62"/>
  <c r="B2" i="62" s="1"/>
  <c r="F31" i="2"/>
  <c r="F36" i="2"/>
  <c r="F23" i="2"/>
  <c r="F15" i="2"/>
  <c r="Y70" i="2"/>
  <c r="AC70" i="2"/>
  <c r="AC25" i="2"/>
  <c r="Y25" i="2"/>
  <c r="Y71" i="2"/>
  <c r="AC71" i="2"/>
  <c r="Y31" i="2"/>
  <c r="AC31" i="2"/>
  <c r="Y39" i="2"/>
  <c r="AC39" i="2"/>
  <c r="Y26" i="2"/>
  <c r="AC26" i="2"/>
  <c r="AC38" i="2"/>
  <c r="Y38" i="2"/>
  <c r="Y17" i="2"/>
  <c r="AC17" i="2"/>
  <c r="Y43" i="2"/>
  <c r="AC43" i="2"/>
  <c r="Y23" i="2"/>
  <c r="AC23" i="2"/>
  <c r="Y15" i="2"/>
  <c r="AC15" i="2"/>
  <c r="Y24" i="2"/>
  <c r="AC24" i="2"/>
  <c r="Y16" i="2"/>
  <c r="AC16" i="2"/>
  <c r="Y41" i="2"/>
  <c r="AC41" i="2"/>
  <c r="Y14" i="2"/>
  <c r="AC14" i="2"/>
  <c r="Y90" i="2"/>
  <c r="AC90" i="2"/>
  <c r="Y35" i="2"/>
  <c r="AC35" i="2"/>
  <c r="Y30" i="2"/>
  <c r="AC30" i="2"/>
  <c r="Y91" i="2"/>
  <c r="AC91" i="2"/>
  <c r="Y36" i="2"/>
  <c r="AC36" i="2"/>
  <c r="Y13" i="2"/>
  <c r="AC13" i="2"/>
  <c r="Y89" i="2"/>
  <c r="AC89" i="2"/>
  <c r="Y47" i="2"/>
  <c r="AC47" i="2"/>
  <c r="Y22" i="2"/>
  <c r="AC22" i="2"/>
  <c r="Y46" i="2"/>
  <c r="AC46" i="2"/>
  <c r="Y21" i="2"/>
  <c r="AC21" i="2"/>
  <c r="Y88" i="2"/>
  <c r="AC88" i="2"/>
  <c r="Y33" i="2"/>
  <c r="AC33" i="2"/>
  <c r="Y12" i="2"/>
  <c r="AC12" i="2"/>
  <c r="Y72" i="2"/>
  <c r="AC72" i="2"/>
  <c r="Y87" i="2"/>
  <c r="AC87" i="2"/>
  <c r="Y28" i="2"/>
  <c r="AC28" i="2"/>
  <c r="Y18" i="2"/>
  <c r="AC18" i="2"/>
  <c r="Y11" i="2"/>
  <c r="AC11" i="2"/>
  <c r="Y20" i="2"/>
  <c r="AC20" i="2"/>
  <c r="Y40" i="2"/>
  <c r="AC40" i="2"/>
  <c r="Y42" i="2"/>
  <c r="AC42" i="2"/>
  <c r="Y27" i="2"/>
  <c r="AC27" i="2"/>
  <c r="V70" i="2"/>
  <c r="W70" i="2"/>
  <c r="Z70" i="2"/>
  <c r="AA70" i="2"/>
  <c r="V30" i="2"/>
  <c r="Z30" i="2"/>
  <c r="AA30" i="2"/>
  <c r="W30" i="2"/>
  <c r="V38" i="2"/>
  <c r="Z38" i="2"/>
  <c r="AA38" i="2"/>
  <c r="W38" i="2"/>
  <c r="V25" i="2"/>
  <c r="Z25" i="2"/>
  <c r="AA25" i="2"/>
  <c r="W25" i="2"/>
  <c r="Z17" i="2"/>
  <c r="AA17" i="2"/>
  <c r="W17" i="2"/>
  <c r="V24" i="2"/>
  <c r="Z24" i="2"/>
  <c r="AA24" i="2"/>
  <c r="W24" i="2"/>
  <c r="Z16" i="2"/>
  <c r="AA16" i="2"/>
  <c r="W16" i="2"/>
  <c r="V71" i="2"/>
  <c r="W71" i="2"/>
  <c r="Z71" i="2"/>
  <c r="AA71" i="2"/>
  <c r="V26" i="2"/>
  <c r="W26" i="2"/>
  <c r="Z26" i="2"/>
  <c r="AA26" i="2"/>
  <c r="V43" i="2"/>
  <c r="Z43" i="2"/>
  <c r="AA43" i="2"/>
  <c r="W43" i="2"/>
  <c r="Z23" i="2"/>
  <c r="AA23" i="2"/>
  <c r="W23" i="2"/>
  <c r="Z15" i="2"/>
  <c r="AA15" i="2"/>
  <c r="W15" i="2"/>
  <c r="V41" i="2"/>
  <c r="W41" i="2"/>
  <c r="Z41" i="2"/>
  <c r="AA41" i="2"/>
  <c r="W14" i="2"/>
  <c r="Z14" i="2"/>
  <c r="AA14" i="2"/>
  <c r="V91" i="2"/>
  <c r="W91" i="2"/>
  <c r="Z91" i="2"/>
  <c r="AA91" i="2"/>
  <c r="V36" i="2"/>
  <c r="Z36" i="2"/>
  <c r="W36" i="2"/>
  <c r="AA36" i="2"/>
  <c r="Z13" i="2"/>
  <c r="W13" i="2"/>
  <c r="AA13" i="2"/>
  <c r="V31" i="2"/>
  <c r="W31" i="2"/>
  <c r="Z31" i="2"/>
  <c r="AA31" i="2"/>
  <c r="V90" i="2"/>
  <c r="Z90" i="2"/>
  <c r="AA90" i="2"/>
  <c r="W90" i="2"/>
  <c r="V35" i="2"/>
  <c r="Z35" i="2"/>
  <c r="AA35" i="2"/>
  <c r="W35" i="2"/>
  <c r="V39" i="2"/>
  <c r="W39" i="2"/>
  <c r="Z39" i="2"/>
  <c r="AA39" i="2"/>
  <c r="V89" i="2"/>
  <c r="Z89" i="2"/>
  <c r="AA89" i="2"/>
  <c r="W89" i="2"/>
  <c r="V47" i="2"/>
  <c r="Z47" i="2"/>
  <c r="AA47" i="2"/>
  <c r="W47" i="2"/>
  <c r="Z22" i="2"/>
  <c r="AA22" i="2"/>
  <c r="W22" i="2"/>
  <c r="V46" i="2"/>
  <c r="W46" i="2"/>
  <c r="Z46" i="2"/>
  <c r="AA46" i="2"/>
  <c r="W21" i="2"/>
  <c r="Z21" i="2"/>
  <c r="AA21" i="2"/>
  <c r="V88" i="2"/>
  <c r="Z88" i="2"/>
  <c r="AA88" i="2"/>
  <c r="W88" i="2"/>
  <c r="V33" i="2"/>
  <c r="W33" i="2"/>
  <c r="Z33" i="2"/>
  <c r="AA33" i="2"/>
  <c r="W20" i="2"/>
  <c r="Z20" i="2"/>
  <c r="AA20" i="2"/>
  <c r="W12" i="2"/>
  <c r="Z12" i="2"/>
  <c r="AA12" i="2"/>
  <c r="V72" i="2"/>
  <c r="Z72" i="2"/>
  <c r="AA72" i="2"/>
  <c r="W72" i="2"/>
  <c r="V87" i="2"/>
  <c r="Z87" i="2"/>
  <c r="AA87" i="2"/>
  <c r="W87" i="2"/>
  <c r="V28" i="2"/>
  <c r="W28" i="2"/>
  <c r="Z28" i="2"/>
  <c r="AA28" i="2"/>
  <c r="W18" i="2"/>
  <c r="Z18" i="2"/>
  <c r="AA18" i="2"/>
  <c r="W11" i="2"/>
  <c r="Z11" i="2"/>
  <c r="AA11" i="2"/>
  <c r="V40" i="2"/>
  <c r="Z40" i="2"/>
  <c r="W40" i="2"/>
  <c r="AA40" i="2"/>
  <c r="V42" i="2"/>
  <c r="Z42" i="2"/>
  <c r="W42" i="2"/>
  <c r="AA42" i="2"/>
  <c r="V27" i="2"/>
  <c r="Z27" i="2"/>
  <c r="W27" i="2"/>
  <c r="AA27" i="2"/>
  <c r="Z10" i="2"/>
  <c r="W10" i="2"/>
  <c r="AA10" i="2"/>
  <c r="V16" i="2"/>
  <c r="V14" i="2"/>
  <c r="V15" i="2"/>
  <c r="V13" i="2"/>
  <c r="V23" i="2"/>
  <c r="V22" i="2"/>
  <c r="V21" i="2"/>
  <c r="V20" i="2"/>
  <c r="V12" i="2"/>
  <c r="V18" i="2"/>
  <c r="V11" i="2"/>
  <c r="V10" i="2"/>
  <c r="V17" i="2"/>
  <c r="AC10" i="2"/>
  <c r="F6" i="2" l="1"/>
  <c r="A86" i="11" s="1"/>
  <c r="C6" i="2"/>
  <c r="A7" i="2" l="1"/>
  <c r="C9" i="2" l="1"/>
  <c r="C7" i="2" s="1"/>
  <c r="A5" i="63" l="1"/>
  <c r="B2" i="63" s="1"/>
  <c r="Y9" i="2"/>
  <c r="F9" i="2"/>
  <c r="F7" i="2" s="1"/>
  <c r="V9" i="2"/>
  <c r="AA9" i="2"/>
  <c r="AC9" i="2"/>
  <c r="Z9" i="2"/>
  <c r="W9" i="2"/>
  <c r="A98" i="11" l="1"/>
  <c r="A95" i="11"/>
  <c r="D93" i="11"/>
  <c r="D92" i="11"/>
  <c r="I35" i="11"/>
  <c r="B35" i="11"/>
  <c r="A121" i="11"/>
  <c r="A64" i="11"/>
  <c r="A72" i="11"/>
  <c r="A71" i="11"/>
  <c r="A70" i="11"/>
  <c r="A52" i="11"/>
  <c r="A108" i="11"/>
  <c r="E93" i="11"/>
  <c r="E92" i="11"/>
  <c r="A65" i="1" l="1"/>
  <c r="A64" i="1"/>
  <c r="A63" i="1"/>
  <c r="A58" i="1" l="1"/>
  <c r="A113" i="1"/>
  <c r="A48" i="1"/>
  <c r="A100" i="1"/>
  <c r="A38" i="1"/>
  <c r="A81" i="1" l="1"/>
  <c r="A96" i="1" s="1"/>
  <c r="L9" i="2" l="1"/>
  <c r="L6" i="2" l="1"/>
  <c r="A104" i="11" s="1"/>
  <c r="L7" i="2"/>
  <c r="A87" i="1"/>
  <c r="A90" i="1" l="1"/>
  <c r="D84" i="1"/>
  <c r="A78" i="1"/>
  <c r="A75" i="1"/>
  <c r="A72" i="1"/>
  <c r="B33" i="1"/>
  <c r="D83" i="1" l="1"/>
  <c r="I33" i="1" l="1"/>
</calcChain>
</file>

<file path=xl/sharedStrings.xml><?xml version="1.0" encoding="utf-8"?>
<sst xmlns="http://schemas.openxmlformats.org/spreadsheetml/2006/main" count="3074" uniqueCount="992">
  <si>
    <t>(наименование, почтовый или строительный адрес объекта капитального строительства)</t>
  </si>
  <si>
    <t>АКТ</t>
  </si>
  <si>
    <t>№</t>
  </si>
  <si>
    <t>(наименование скрытых работ)</t>
  </si>
  <si>
    <t>4. Предъявлены документы, подтверждающие соответствие работ предъявляемым к ним требованиям:</t>
  </si>
  <si>
    <t>окончания работ</t>
  </si>
  <si>
    <t>начала работ</t>
  </si>
  <si>
    <t>Приложения:</t>
  </si>
  <si>
    <t>(должность, фамилия, инициалы, подпись)</t>
  </si>
  <si>
    <t>№ акта</t>
  </si>
  <si>
    <t>Дата окончания работ</t>
  </si>
  <si>
    <t>Дата начала работ</t>
  </si>
  <si>
    <t>Реестр исполнительной документации</t>
  </si>
  <si>
    <t>(наименование лица, осуществляющего строительство, выполнившего работы )</t>
  </si>
  <si>
    <t>Дополнительные сведения:</t>
  </si>
  <si>
    <t>освидетельствования скрытых работ</t>
  </si>
  <si>
    <t>2. Работы выполнены по проектной документации:</t>
  </si>
  <si>
    <t>3. При выполнении работ применены:</t>
  </si>
  <si>
    <t>Представитель лица, осуществляющего строительство:</t>
  </si>
  <si>
    <t>(номер, другие реквизиты чертежа, наименование проектной документации, сведения о лицах осуществляющих подготовку раздела проектной документации)</t>
  </si>
  <si>
    <t xml:space="preserve"> </t>
  </si>
  <si>
    <t xml:space="preserve">5. Даты: </t>
  </si>
  <si>
    <t>7. Разрешается производство последующих работ по</t>
  </si>
  <si>
    <t>6. Работы выполнены в соответствии с</t>
  </si>
  <si>
    <t>Лицо, осуществляющее строительство:</t>
  </si>
  <si>
    <t>Лицо, осуществляющее подготовку проектной документации:</t>
  </si>
  <si>
    <t>(фамилия, инициалы, подпись)</t>
  </si>
  <si>
    <t>Представитель иных лиц:</t>
  </si>
  <si>
    <t>(исполнительные схемы и чертежи, результаты экспертиз, обследований, лабораторных и иных испытаний)</t>
  </si>
  <si>
    <t xml:space="preserve">«Аэропортовый комплекс на аэродроме «Левашово» I Этап. Сектор </t>
  </si>
  <si>
    <t xml:space="preserve">ООО «Газпром инвест», ОГРН 1077847507759, ИНН 7810483334, Россия, 196210, г. Санкт-Петербург, ул. Стартовая, </t>
  </si>
  <si>
    <t>д. 6, лит. Д. тел.: +7(812) 455-17-00, факс: +7(812) 455-17-41, (785) 34-741, «Союз строителей «Газораспределительная</t>
  </si>
  <si>
    <t>система. Строительство», СРО-С-048-12102009 от 19.02.2020г., ОГРН 10977800002453, ИНН780018422</t>
  </si>
  <si>
    <t xml:space="preserve">АО «Газстройпроект», ОГРН 5077746774485, ИНН 7729574863, </t>
  </si>
  <si>
    <t xml:space="preserve">Россия, 196084, Санкт-Петербург, Смоленская улица, дом 10, литера Б, тел.: +7 (812)244-40-50, Ассоциация </t>
  </si>
  <si>
    <t xml:space="preserve">«Саморегулируемая организация «Строители Ленинградской области», свидетельство № СРО-С-093-30112009 </t>
  </si>
  <si>
    <t xml:space="preserve">(фамилия, имя, отчество, адрес места жительства, ОГРНИП, ИНН индивидуального предпринимателя, наименование, ОГРН, ИНН, </t>
  </si>
  <si>
    <t>Застройщик (технический заказчик, эксплуатирующая организация или региональный оператор)</t>
  </si>
  <si>
    <t>Объект капитального строительства</t>
  </si>
  <si>
    <t xml:space="preserve">членом которой является - для индивидуальных предпринимателей и юридических лиц; фамилия, имя, отчество, паспортные данные, адрес места </t>
  </si>
  <si>
    <t>жительства, телефон/факс - для физических лиц, не являющихся индивидуальными предпринимателями)</t>
  </si>
  <si>
    <t>(фамилия, имя, отчество, адрес места жительства, ОГРНИП, ИНН индивидуального</t>
  </si>
  <si>
    <t xml:space="preserve"> предпринимателя, наименование, ОГРН, ИНН, место нахождения юридического лица, </t>
  </si>
  <si>
    <t xml:space="preserve">телефон/факс, наименование, </t>
  </si>
  <si>
    <t>от 22.06.2017г., ОГРН 1084700000791, ИНН 4706028630</t>
  </si>
  <si>
    <t>ОГРН, ИНН саморегулируемой организации, членом которой является)</t>
  </si>
  <si>
    <t xml:space="preserve">ООО «Трансстроймеханизация»  </t>
  </si>
  <si>
    <t xml:space="preserve">ОГРН 1057747413767, ИНН 7715568411, Россия 121059, г. Москва, ул. Киевская, д.7, к.2, этаж 10, ком.6 </t>
  </si>
  <si>
    <t xml:space="preserve"> предпринимателя, наименование, ОГРН, ИНН, место нахождения юридического лица, телефон/факс, наименование, </t>
  </si>
  <si>
    <t xml:space="preserve">тел.: +7(495)982-37-62, +7(495)788-84-21, факс: +7(495)733-97-46, союз дорожных проектных организаций «РОДОС», </t>
  </si>
  <si>
    <t>СРО-П-077-1112209 от 25.06.2021, ОГРН 1097799008890, ИНН 7743088946</t>
  </si>
  <si>
    <t>Представитель застройщика  (технического заказчика, эксплуатирующей организации или регионального оператора)</t>
  </si>
  <si>
    <t xml:space="preserve"> по вопросам строительного контроля</t>
  </si>
  <si>
    <t xml:space="preserve">Ведущий инженер производственного отдела    </t>
  </si>
  <si>
    <t xml:space="preserve">ОГРН 102770052801, ИНН 7740000051, Российская Федерация, 117418, г. Москва, Новочерёмушкинская улица, д. 65             </t>
  </si>
  <si>
    <t xml:space="preserve"> ОГРН, ИНН, места нахождения юридического лица, фамилии, имени, отчества, адреса места жительства, ОГРНИП, ИНН индивидуального предпринимателя)  </t>
  </si>
  <si>
    <t xml:space="preserve">              (должность, фамилия, инициалы, идентификационный номер в национальном</t>
  </si>
  <si>
    <t>Главный инженер АО «Газстройпроект</t>
  </si>
  <si>
    <t>(должность, фамилия, инициалы, реквизиты распорядительного документа, подтверждающего полномочия)</t>
  </si>
  <si>
    <t xml:space="preserve">Представитель лица, осуществляющего строительство по вопросам строительного контроля (специалист </t>
  </si>
  <si>
    <t>по организации строительства)</t>
  </si>
  <si>
    <t xml:space="preserve">(должность, фамилия, инициалы, идентификационный номер в национальном </t>
  </si>
  <si>
    <t xml:space="preserve">реестре специалистов в области строительства, реквизиты распорядительного документа, подтверждающего полномочия)   </t>
  </si>
  <si>
    <t>Представитель лица, осуществляющего подготовку проектной документации</t>
  </si>
  <si>
    <t xml:space="preserve"> (должность, фамилия, инициалы, реквизиты распорядительного документа, подтверждающего полномочия, с указанием наименования,</t>
  </si>
  <si>
    <t xml:space="preserve">ОГРН, ИНН, места нахождения юридического лица)   </t>
  </si>
  <si>
    <t>Представитель лица, выполнившего работы, подлежащие освидетельствованию</t>
  </si>
  <si>
    <t xml:space="preserve">(должность, фамилия, инициалы,  реквизиты распорядительного документа, подтверждающего полномочия,  с указанием наименования, ОГРН, </t>
  </si>
  <si>
    <t>А так же иные представители лиц, участвующих в освидетельствовании</t>
  </si>
  <si>
    <t>(должность с указанием наименования организации, фамилия, инициалы, реквизиты распорядительного документа, подтверждающего полномочия)</t>
  </si>
  <si>
    <t>Произвели осмотр  работ выполненных</t>
  </si>
  <si>
    <t>И составили настоящий акт о нижеследующем:</t>
  </si>
  <si>
    <t>1.   К освидетельствованию предъявляются следующие работы:</t>
  </si>
  <si>
    <t>(наименование строительных материалов (изделий), реквизиты сертификатов и/или другие документы, подтверждающие их качество и безопасность)</t>
  </si>
  <si>
    <t>(наименование работ,  конструкций, участков сетей инженерно-технического обеспечения)</t>
  </si>
  <si>
    <t>отсутствуют</t>
  </si>
  <si>
    <t>Халыгов Э.А.</t>
  </si>
  <si>
    <t>по вопросам строительного контроля</t>
  </si>
  <si>
    <t>Представитель лица осуществляющее строительство</t>
  </si>
  <si>
    <t xml:space="preserve"> Представитель лица, осуществляющего подготовку проектной документации</t>
  </si>
  <si>
    <t>(специалист по организации строительства)</t>
  </si>
  <si>
    <t>Представитель лица, осуществляющего строительство, по вопросам строительного контроля</t>
  </si>
  <si>
    <t>Ясинский В.И.</t>
  </si>
  <si>
    <t>Бондарев В.А.</t>
  </si>
  <si>
    <t xml:space="preserve">гражданской авиации (создание технической возможности эксплуатации гражданских судов по МК-258). Подэтап I.II. </t>
  </si>
  <si>
    <t xml:space="preserve">ОГРН  1157746780540, ИНН 7743117065, Россия, 115201, г. Москва, Каширский проезд, дом 13, строение 3      	</t>
  </si>
  <si>
    <t>Сухов А.А.</t>
  </si>
  <si>
    <t>Главный специалист отдела проектных работ СП «Проектирование АК «Левашово» Пастухов А.В. Приказ №444-5/22</t>
  </si>
  <si>
    <t xml:space="preserve">от 27.12.2022 г.,  ООО «Трансстроймеханизация» ОГРН 1057747413767, ИНН 7715568411, Россия 121059, г. Москва, </t>
  </si>
  <si>
    <t xml:space="preserve">Специалист авторского надзора  ООО«ПОДЗЕМПРОЕКТ»  Бондарев В.А., Приказ №2 от 09.01.2023 г.;  </t>
  </si>
  <si>
    <t xml:space="preserve">Инженер отдела технического надзора Халыгов Э.А., </t>
  </si>
  <si>
    <t xml:space="preserve">ООО «АИР Магистраль» </t>
  </si>
  <si>
    <t xml:space="preserve">  </t>
  </si>
  <si>
    <t>Представитель застройщика (верх)</t>
  </si>
  <si>
    <t>Представитель застройщика (низ)</t>
  </si>
  <si>
    <t>Пастухов А.В.</t>
  </si>
  <si>
    <t>Куликов Е.А.</t>
  </si>
  <si>
    <t>Приказ на Халыгова</t>
  </si>
  <si>
    <t>(исполнительные схемы и чертежи, результаты экспертиз, обследований, лабораторных и иных испытаний выполненных работ, проведенных в процессе строительного контроля)</t>
  </si>
  <si>
    <t>Дата акта</t>
  </si>
  <si>
    <t>п</t>
  </si>
  <si>
    <t>!</t>
  </si>
  <si>
    <t>ОГРН 1097799008890, ИНН 7743088946</t>
  </si>
  <si>
    <t xml:space="preserve">ул. Киевская, д.7, к.2, этаж 10, ком.6 Союз дорожных проектных организаций «РОДОС», СРО-П-077-11122009 от 25.06.2021, </t>
  </si>
  <si>
    <t xml:space="preserve">место нахождения юридического лица, телефон/факс, наименование, ОГРН, ИНН саморегулируемой организации, </t>
  </si>
  <si>
    <t>документа, подтверждающего полномочия, с указанием наименования, ОГРН, ИНН, места нахождения юридического лица, индивидуального предпринимателя)</t>
  </si>
  <si>
    <t xml:space="preserve">(наименования и структурные единицы технических регламентов, иных нормативных правовых актов, разделы проектной и/или рабочей документации) </t>
  </si>
  <si>
    <t xml:space="preserve">  реестре специалистов в области строительства, реквизиты распорядительного документа, подтверждающего полномочия, с указанием наименования, </t>
  </si>
  <si>
    <t xml:space="preserve">Представитель лица, выполнившего работы </t>
  </si>
  <si>
    <t>Приказ на Куликова 
1 строка</t>
  </si>
  <si>
    <t>Приказ на Куликова 
2 строка</t>
  </si>
  <si>
    <t>(наименование объекта капитального строительства в соответствии с проектной документацией, почтовый или строительный адрес объекта капитального строительства)</t>
  </si>
  <si>
    <t>Застройщик, технический заказчик,  лицо,  ответственное за эксплуатацию здания, сооружения, или региональный оператор</t>
  </si>
  <si>
    <t xml:space="preserve">(фамилия, имя, отчество (последнее - при наличии), адрес места жительства, ОГРНИП, ИНН индивидуального предпринимателя, полное и (или) </t>
  </si>
  <si>
    <t>сокращенное наименование, ОГРН, ИНН, адрес юридического лица в пределах его места нахождения, телефон или факс, предприниматель наименование, ОГРН,</t>
  </si>
  <si>
    <t xml:space="preserve"> ИНН саморегулируемой организации, членом которой является указанное юридическое лицо или индивидуальный полное и (или) сокращенное  (за исключением случаев, когда</t>
  </si>
  <si>
    <t xml:space="preserve"> членство в саморегулируемых организациях в области строительства, реконструкции, капитального ремонта объектов капитального  строительства не требуется);фамилия, имя, </t>
  </si>
  <si>
    <t>отчество (последнее - при наличии), паспортные данные,  адрес места жительства, телефон или факс - для физических лиц, не являющихся индивидуальными предпринимателями)</t>
  </si>
  <si>
    <t>Лицо, осуществляющее строительство, реконструкцию, капитальный ремонт</t>
  </si>
  <si>
    <t xml:space="preserve"> (фамилия, имя, отчество (последнее - при наличии), адрес места жительства, ОГРНИП, ИНН индивидуального предпринимателя, полное и (или) сокращенное наименование, ОГРН, ИНН, ,</t>
  </si>
  <si>
    <t>Лицо, осуществляющее подготовку проектной документации</t>
  </si>
  <si>
    <t xml:space="preserve">(фамилия, имя, отчество (последнее - при наличии), адрес места жительства, ОГРНИП, ИНН </t>
  </si>
  <si>
    <t>индивидуального предпринимателя, полное и (или) сокращенное наименование, ОГРН, ИНН, адрес юридического  лица в пределах его места нахождения, телефон или факс,</t>
  </si>
  <si>
    <t xml:space="preserve">Представитель  застройщика, технического заказчика, лица, ответственного за эксплуатацию  здания,  сооружения,  или </t>
  </si>
  <si>
    <t>регионального оператора по вопросам строительного контроля:</t>
  </si>
  <si>
    <t xml:space="preserve">Ведущий инженер производственного отдела  </t>
  </si>
  <si>
    <t>(должность (при наличии), фамилия, инициалы, идентификационный номер</t>
  </si>
  <si>
    <t xml:space="preserve"> ОГРН 102770052801, ИНН 7740000051, Российская Федерация, 117418, г. Москва, Новочерёмушкинская улица, д. 65      </t>
  </si>
  <si>
    <t>должность (при наличии), фамилия, инициалы, реквизиты  распорядительного документа, подтверждающего полномочия)</t>
  </si>
  <si>
    <t>Представитель    лица,    осуществляющего   строительство,   реконструкцию, капитальный ремонт, по вопросам</t>
  </si>
  <si>
    <t>строительного контроля</t>
  </si>
  <si>
    <t>Представитель  лица,  осуществляющего  подготовку проектной документации (в случае  привлечения застройщиком лица, осуществляющего подготовку проектной документации,   для   проверки  соответствия  выполняемых  работ  проектной документации   согласно   части  2  статьи  53  Градостроительного  кодекса Российской Федерации)</t>
  </si>
  <si>
    <t>предпринимателя) документа,подтверждающего полномочия, с указанием наименования, ОГРН, ИНН, места нахождения юридического лица, индивидуального предпринимателя)</t>
  </si>
  <si>
    <t>(номер, другие реквизиты чертежа, наименование проектной и (или) рабочей документации, сведения о лицах, осуществляющих подготовку раздела проектной и (или) рабочей документации)</t>
  </si>
  <si>
    <t xml:space="preserve"> (наименования и структурные единицы технических регламентов, иных нормативных правовых актов, разделы проектной и (или) рабочей документации)</t>
  </si>
  <si>
    <t xml:space="preserve">       (наименования работ, строительных конструкций, участков сетей инженерно-технического обеспечения)</t>
  </si>
  <si>
    <t>(исполнительные схемы и чертежи, результаты экспертиз,обследований, лабораторных и иных испытаний)</t>
  </si>
  <si>
    <t xml:space="preserve">Представитель  застройщика, технического заказчика, лица, ответственного за эксплуатацию  здания,  сооружения,  </t>
  </si>
  <si>
    <t>или регионального оператора по вопросам строительного контроля</t>
  </si>
  <si>
    <t>(фамилия, инициалы)</t>
  </si>
  <si>
    <t>(подпись)</t>
  </si>
  <si>
    <t>Представитель    лица,    осуществляющего   строительство,   реконструкцию, капитальный ремонт</t>
  </si>
  <si>
    <t>Сухов А. А.</t>
  </si>
  <si>
    <t xml:space="preserve">Представитель    лица,    осуществляющего   строительство,   реконструкцию, капитальный ремонт, по вопросам </t>
  </si>
  <si>
    <t>Приказ на Куликова 
3 строка</t>
  </si>
  <si>
    <t xml:space="preserve">  в национальном реестре специалистов в области строительства (за исключением случаев,  когда членство в саморегулируемых организациях в области строительства, реконструкции, </t>
  </si>
  <si>
    <t xml:space="preserve"> капитального ремонта объектов капитального строительства не требуется),  реквизиты распорядительного документа, подтверждающего полномочия,   </t>
  </si>
  <si>
    <t xml:space="preserve">   с указанием полного и (или) сокращенного наименования, ОГРН, ИНН,  адреса юридического лица в пределах его места нахождения (в случае осуществления строительного контроля на основании договора </t>
  </si>
  <si>
    <t>с застройщиком или техническим заказчиком), фамилии, имени, отчества (последнее - при наличии), адреса места жительства, ОГРНИП, ИНН индивидуального предпринимателя</t>
  </si>
  <si>
    <t>(в случае осуществления строительного контроля на основании договора)</t>
  </si>
  <si>
    <t>(за исключением случаев, когда членство в саморегулируемых организациях в области  архитектурно-строительного проектирования не требуется)</t>
  </si>
  <si>
    <t xml:space="preserve"> полное и (или) сокращенное наименование, ОГРН, ИНН саморегулируемой организации, членом которой является указанное юридическое лицо или индивидуальный предприниматель </t>
  </si>
  <si>
    <t xml:space="preserve">(должность (при наличии), фамилия, инициалы, идентификационный номер в национальном реестре специалистов в области строительства (за исключением случаев, когда членство </t>
  </si>
  <si>
    <t>реквизиты распорядительного документа, подтверждающего полномочия)</t>
  </si>
  <si>
    <t>в саморегулируемых организациях в области строительства, реконструкции, капитального ремонта объектов капитального строительства не требуется)</t>
  </si>
  <si>
    <t xml:space="preserve">  подлежащие освидетельствованию)</t>
  </si>
  <si>
    <t>(полное и (или) сокращенное наименование или фамилия, имя, отчество (последнее - при наличии) лица, выполнившего работы,</t>
  </si>
  <si>
    <t xml:space="preserve"> в пределах его места нахождения, фамилии, имени, отчества (последнее - при наличии), адреса места жительства, ОГРНИП, ИНН индивидуального </t>
  </si>
  <si>
    <t xml:space="preserve">(должность (при наличии), фамилия, инициалы, реквизиты  распорядительного документа, полномочия, с указанием полного и (или) сокращенного наименования, ОГРН, ИНН, адреса юридического лица </t>
  </si>
  <si>
    <t>Представитель  лица, выполнившего работы, подлежащие освидетельствованию (в случае  выполнения  работ  по  договорам  о  строительстве,  реконструкции, капитальном  ремонте  объектов  капитального  строительства,  заключенным с иными лицами)</t>
  </si>
  <si>
    <t>строительного контроля:</t>
  </si>
  <si>
    <t>Произвели осмотр  работ, выполненных:</t>
  </si>
  <si>
    <t xml:space="preserve">                (должность (при наличии), фамилия, инициалы, реквизиты распорядительного документа, подтверждающего полномочия, с указанием полного и (или) сокращенного наименования, </t>
  </si>
  <si>
    <t xml:space="preserve">ОГРН, ИНН, адреса юридического лица в пределах его места нахождения,  фамилии, имени, отчества (последнее - при наличии), </t>
  </si>
  <si>
    <t xml:space="preserve">адрес юридического лица в пределах его места нахождения, телефон или факс полное и (или) сокращенное наименование, ОГРН, ИНН саморегулируемой   </t>
  </si>
  <si>
    <t xml:space="preserve">(наименования строительных материалов  (изделий), реквизиты сертификатов и (или) других документов, подтверждающих их качество и безопасность, в случае если необходимо </t>
  </si>
  <si>
    <t>указывать более 5 документов, указывается ссылка на их реестр, который является неотъемлемой частью акта)</t>
  </si>
  <si>
    <t xml:space="preserve"> организации, членом которой является указанное юридическое лицо или индивидуальный предприниматель (за исключением случаев, когда  членство в саморегулируемых организациях </t>
  </si>
  <si>
    <t>в области строительства, реконструкции, капитального ремонта объектов капитального строительства не требуется)</t>
  </si>
  <si>
    <t>Представитель лица, осуществляющего строительство, реконструкцию, капитальный ремонт:</t>
  </si>
  <si>
    <t>ОП «Левашово» Сухов А.А.,  Распоряжение № Р/403 от 11.08.2021 г.</t>
  </si>
  <si>
    <t xml:space="preserve">Главный инженер АО «Газстройпроект  ОП «Левашово» Сухов А.А.,  Распоряжение № Р/403 от 11.08.2021 г.  </t>
  </si>
  <si>
    <t>Главный инженер ООО «АИР Магистраль» Ясинский В.И., Приказ № 29/05-ГСП от 29.05.2023 г.</t>
  </si>
  <si>
    <t xml:space="preserve">Российская Федерация, г. Санкт-Петербург, Выборгский район, п. Левашово, Горское шоссе, 100 </t>
  </si>
  <si>
    <t>Российская Федерация, г. Санкт-Петербург,  Выборгский район, п. Левашово, Горское шоссе, 100</t>
  </si>
  <si>
    <t>Приложение N 3 (РД 11-02-2006)</t>
  </si>
  <si>
    <t>Приложение № 3 (Приказ Минстроя №344пр от 16.05.2023)</t>
  </si>
  <si>
    <t>Серов А.В.</t>
  </si>
  <si>
    <t>1.  К освидетельствованию предъявляются следующие работы:</t>
  </si>
  <si>
    <t>Реестр материалов к п.3</t>
  </si>
  <si>
    <t>№ п/п</t>
  </si>
  <si>
    <t>Наименование документа</t>
  </si>
  <si>
    <t>Реквизиты документа (номер, дата)</t>
  </si>
  <si>
    <t>Кол-во листов</t>
  </si>
  <si>
    <t>Представитель застройщика (технического заказчика, эксплуатирующей организации или регионального оператора)</t>
  </si>
  <si>
    <t>Представитель лица, осуществляющего строительство, по вопросам строительного контроля 
(специалист по организации строительства)</t>
  </si>
  <si>
    <t>Представители иных лиц</t>
  </si>
  <si>
    <t>№ 4826-23 от 21.09.2023</t>
  </si>
  <si>
    <t>№ 4827-23 от 21.09.2023</t>
  </si>
  <si>
    <t>№ 4828-23 от 23.10.2023</t>
  </si>
  <si>
    <t>№РОСС RU.AM05.H13540 с 19.05.2022 по 18.05.2025</t>
  </si>
  <si>
    <t>№ 821 от 12.07.2023</t>
  </si>
  <si>
    <t>№ РОСС RU.HB65.H01745/21 с 15.06.2021 по 14.06.2024</t>
  </si>
  <si>
    <t>№ RU.23.KK.08.015.E.000226.03.15 от 03.03.2015</t>
  </si>
  <si>
    <t>Минеральная вата: паспорт качества № 23234-3 от 29.07.2023, декларация соответствия № РОСС RU Д-RU.РА01.В.64306/20 с 29.12.2020 до 31.12.2025, декларация о соответствии № RU Д-RU.РА01.В.00839/23 с 07.06.2023 до 06.06.2028, экспертное заключение № 77.01.16.П.000793.01.12 от 27.01.2012.</t>
  </si>
  <si>
    <t xml:space="preserve">Приложение № 1 </t>
  </si>
  <si>
    <t>ИНС-№С78-227336, Приказ № ПЗ/775 от 17.10.2023 г.</t>
  </si>
  <si>
    <t xml:space="preserve">Главный специалист Отдела организации и контроля строительно-монтажных работ Управления по реализации </t>
  </si>
  <si>
    <t xml:space="preserve">проектов авиационной инфраструктуры филиала ООО «Газпром инвест» «Газпром гражданское строительство» </t>
  </si>
  <si>
    <t>Куликов Е.А., Приказ № 107-ГС от 30.08.2023 г.</t>
  </si>
  <si>
    <t xml:space="preserve"> № 313/1 от 21.08.2023 г.</t>
  </si>
  <si>
    <t>№ 387/1 от 20.10.2023 г.</t>
  </si>
  <si>
    <t>Сертификат соответствия (Аквапанель Цементная плита внутренняя 1200х2400х12,5 мм)</t>
  </si>
  <si>
    <t>Сертификат соответствия (Кнауф-лист ГСП-А 1200х2500х12,5 мм)</t>
  </si>
  <si>
    <t>Экспертное заключение (Кнауф-лист ГСП-А 1200х2500х12,5 мм)</t>
  </si>
  <si>
    <t>-</t>
  </si>
  <si>
    <t xml:space="preserve">Заволжского управления ООО «Газпром газнадзор» Серов А.В., Приказ № 631 от 24.10.2023г., </t>
  </si>
  <si>
    <t>Алгушаев Р.Р.</t>
  </si>
  <si>
    <t>Приказ на Бондарева</t>
  </si>
  <si>
    <t>заполнению минеральной ватой монтажных швов ограждающих стеновых сэндвич-панелей</t>
  </si>
  <si>
    <t xml:space="preserve">монтажу фасонных элементов стеновых сэндвич-панелей и фасада </t>
  </si>
  <si>
    <t xml:space="preserve">укладке минераловатных плит кровли толщ. 100 мм </t>
  </si>
  <si>
    <t>устройству уклонообразующего слоя кровли</t>
  </si>
  <si>
    <t>укладке теплоизоляционных плит толщ. 50 мм</t>
  </si>
  <si>
    <t>укладке кровельной ПВХ мембраны</t>
  </si>
  <si>
    <t>монтажу утеплителя на элементы фахверка на кровле</t>
  </si>
  <si>
    <t>заполнению монтажных зазоров наружных оконных блоков</t>
  </si>
  <si>
    <t>герметизации и проклейки диффузионной лентой монтажного стыка оконных блоков</t>
  </si>
  <si>
    <t>монтажу фасонных элементов оконных блоков</t>
  </si>
  <si>
    <t>монтажу фасонных элементов ворот</t>
  </si>
  <si>
    <t>заполнению монтажных зазоров наружных дверных блоков</t>
  </si>
  <si>
    <t>герметизации монтажных зазоров наружных дверных блоков</t>
  </si>
  <si>
    <t>монтажу фасонных элементов наружных дверных блоков</t>
  </si>
  <si>
    <t>штукатурке потолков лестничной клетки, в т.ч. низа и торцов лестничных маршей и переходных площадок</t>
  </si>
  <si>
    <t>шпатлеванию потолков лестничной клетки, в т.ч. низа и торцов лестничных маршей и переходных площадок</t>
  </si>
  <si>
    <t>устройству стяжек пола</t>
  </si>
  <si>
    <t>заполнению монтажных зазоров внутренних стальных, в т.ч. противопожарных дверных блоков</t>
  </si>
  <si>
    <t>устройству дверных откосов</t>
  </si>
  <si>
    <t>заполнению монтажных зазоров дверных МДФ блоков</t>
  </si>
  <si>
    <t>монтажу доборов и наличников МДФ дверей</t>
  </si>
  <si>
    <t>утеплению и монтажу откосов оконных проемов</t>
  </si>
  <si>
    <t>Монтаж потолочных плит и кассет в помещениях</t>
  </si>
  <si>
    <t>утеплению цокольной части здания минеральной ватой</t>
  </si>
  <si>
    <t xml:space="preserve">установке в кровле монтажного стакана системы дымоудаления </t>
  </si>
  <si>
    <t xml:space="preserve">Специалист авторского надзора  ООО«ПОДЗЕМПРОЕКТ»  Бондарев В.А., Приказ №25/2 от 01.06.2024 г.;  </t>
  </si>
  <si>
    <t>подготовке к антикоррозийной обработке сварных соединений антенн на кровле</t>
  </si>
  <si>
    <t>антикоррозийной обработке сварных соединений антенн на кровле</t>
  </si>
  <si>
    <t>Халыгов</t>
  </si>
  <si>
    <t>Бондарев</t>
  </si>
  <si>
    <t>ИНС-№С78-227336, Приказ № ПЗ/127 от 22.02.2024 г.</t>
  </si>
  <si>
    <t>ИНС-№С78-227336, Приказ № ПЗ/298 от 05.04.2024 г.</t>
  </si>
  <si>
    <t>ИНС-№С78-227336, Приказ № ПЗ/422 от 22.08.2024 г.</t>
  </si>
  <si>
    <t>Алгушаев</t>
  </si>
  <si>
    <t>Серов</t>
  </si>
  <si>
    <t>Сураев</t>
  </si>
  <si>
    <t xml:space="preserve">Башкирского управления  Заволжского управления ООО «Газпром газнадзор» Алгушаев Р.Р., Приказ № 798 от 28.12.2023г., </t>
  </si>
  <si>
    <t xml:space="preserve">Башкирского управления  Заволжского управления ООО «Газпром газнадзор» Алгушаев Р.Р., Распоряжение № 68 от 28.02.2024г., </t>
  </si>
  <si>
    <t xml:space="preserve">Заволжского управления ООО «Газпром газнадзор» Серов А.В., Распоряжение № 27 от 31.01.2024г., </t>
  </si>
  <si>
    <t xml:space="preserve">Заволжского управления ООО «Газпром газнадзор» Сураев С.П., Приказ № 576 от 27.09.2023г., </t>
  </si>
  <si>
    <t>Сураев С.П.</t>
  </si>
  <si>
    <t xml:space="preserve">Заволжского управления ООО «Газпром газнадзор» Сураев С.П., Распоряжение № 108 от 27.03.2023г., </t>
  </si>
  <si>
    <t xml:space="preserve">Заволжского управления ООО «Газпром газнадзор» Серов А.В., Распоряжение № 182 от 25.04.2024г., </t>
  </si>
  <si>
    <t xml:space="preserve">Башкирского управления  Заволжского управления ООО «Газпром газнадзор» Алгушаев Р.Р., Распоряжение № 108 от 27.03.2024г., </t>
  </si>
  <si>
    <t xml:space="preserve">Заволжского управления ООО «Газпром газнадзор» Сураев С.П., Распоряжение № 248 от 03.06.2023г., </t>
  </si>
  <si>
    <t xml:space="preserve">Башкирского управления  Заволжского управления ООО «Газпром газнадзор» Алгушаев Р.Р., Распоряжение № 357 от 01.08.2024г., </t>
  </si>
  <si>
    <t xml:space="preserve">Заволжского управления ООО «Газпром газнадзор» Серов А.В., Распоряжение № 419 от 30.08.2024г., </t>
  </si>
  <si>
    <t xml:space="preserve">Куликов Е.А. </t>
  </si>
  <si>
    <t>Пена монтажная, паспорт качества № 1006 от 15.09.2023г., св-во о гос. регистрации № BY.70.06.01.008.E.000257.02.21 от 04.02.2021г., сертификат соотв.№ РОСС RU.HE06.H10947 c 11.08.2023 по 10.08.2026</t>
  </si>
  <si>
    <t>Паспорт (высокоскоростные ворота)</t>
  </si>
  <si>
    <t>№ 14267 от 10.10.2023г.</t>
  </si>
  <si>
    <t>№ 13479 от 26.09.2023г.</t>
  </si>
  <si>
    <t>№ 13892 от 03.10.2023г.</t>
  </si>
  <si>
    <t>№ 12176 от 01.09.2023г.</t>
  </si>
  <si>
    <t xml:space="preserve"> № 12032 от 30.08.2023г.</t>
  </si>
  <si>
    <t>№ 12 405 от 26.10.2023 г.</t>
  </si>
  <si>
    <t>Сертификат соответствия 
(Кнауф-Профили стальные ПС 50х50х06)</t>
  </si>
  <si>
    <t>Сертификат соответствия 
(Кнауф-Профили стальные ПН 50х40х06)</t>
  </si>
  <si>
    <t>№ 04ИДЮ116.RU.С00546 
с 23.06.2023 по 22.06.2026</t>
  </si>
  <si>
    <t>№ б/н от 20.09.2023 г.</t>
  </si>
  <si>
    <t>№ 456 от 11.11.2023г.</t>
  </si>
  <si>
    <t>Сертификат соответствия 
(Кнауф-Фуген смесь сухая шпатлевочная)</t>
  </si>
  <si>
    <t>Свидетельство о государственной регистрации 
(Кнауф-Фуген смесь сухая шпатлевочная)</t>
  </si>
  <si>
    <t>Экспертное заключение 
(Кнауф-Фуген смесь сухая шпатлевочная)</t>
  </si>
  <si>
    <t>№ 78-20-09.008.П.25124 от 07.07.2021г.</t>
  </si>
  <si>
    <t>Декларация о соответствии 
(Кнауф-Фуген смесь сухая шпатлевочная)</t>
  </si>
  <si>
    <t>№ РОСС RU Д-RU.РА02.В.02233/21 
с 28.10.2021 по 14.10.2026г.</t>
  </si>
  <si>
    <t>№ RU.78.01.10.008.Е.000611.10.21 
от 07.10.2021г.</t>
  </si>
  <si>
    <t>№ ССБК RU.ПБ31.Н.00081 с 04.08.2023 по 03.08.2028г.</t>
  </si>
  <si>
    <t xml:space="preserve"> № б/н от 12.09.2023г.</t>
  </si>
  <si>
    <t>№ 78.01.09.574.П.837 от 20.03.201г.</t>
  </si>
  <si>
    <t>№ РОСС RU.СЛ84.Н01817 с 26.03.2021 по 26.03.2024г.</t>
  </si>
  <si>
    <t>№ RU C-RU.ПБ37.В.00950/23 с 20.03.2023 по 19.03.2028г.</t>
  </si>
  <si>
    <t>№ RU C-RU.ПБ37.В.00567/21 с 28.09.2021 по 27.09.2026г.</t>
  </si>
  <si>
    <t xml:space="preserve">№ 6 от 18.01.2024г. </t>
  </si>
  <si>
    <t>Свидетельство о государственной регистрации 
(Грунтовка Vetonit MD 16)</t>
  </si>
  <si>
    <t>№ RU.01.РА.02.015.Е.000969.05.23 
от 15.05.2023г.</t>
  </si>
  <si>
    <t>№382/1 от 28.08.2023г.</t>
  </si>
  <si>
    <t>Информационное письмо 
(КНАУФ-Лента для швов стекловолокнистая)</t>
  </si>
  <si>
    <t>№ 01-1094 от 26.08.2016г.</t>
  </si>
  <si>
    <t>№ б/н от 25.09.2023г.</t>
  </si>
  <si>
    <t>Информационное письмо (Клей для швов Аквапанель)</t>
  </si>
  <si>
    <t>№ 101-кс/1217 от 23.08.2011г.</t>
  </si>
  <si>
    <t>Сантехнические кабины: паспорт №240611/5 от 11.06.2024, сертификат соотв. №РОСС RU.АЮ31.Н17977 с 29.04.2022 г. по 28.04.2025 г., инф. письмо Исх.№17  от 17.05.2019 г., сертификат соотв. №РОСС RU.HE06.H10047 с 24.07.2023 г. по 23.07.2026 г., сертификат соотв. №RU.ДМ31.Н00758 с 25.08.2023 г. по 24.08.2026 г.</t>
  </si>
  <si>
    <t>Узел крепления антенны: документ о качестве стальных строительных конструкций Серия УКА №56-40 от 20.11.2023</t>
  </si>
  <si>
    <t>Дверной блок влагостойкий POSEIDON: паспорт № б/н от 01.03.2024г.</t>
  </si>
  <si>
    <t>№ 1566 от 04.10.2023г.</t>
  </si>
  <si>
    <t>№ 77.01.12.П.000680.03.21 от 19.03.2021г.</t>
  </si>
  <si>
    <t xml:space="preserve">№ RU C-RU.ПБ09.В.00235/21 
с 02.07.2021 по 01.07.2026г. </t>
  </si>
  <si>
    <t xml:space="preserve">№ 23343-3 от 04.09.2023г. </t>
  </si>
  <si>
    <t xml:space="preserve">№ РОСС RU.И062.04ОС.Н073 
с 30.08.2023 по 30.08.2026г. </t>
  </si>
  <si>
    <t xml:space="preserve">№ RU Д-RU.РА01.В.00839/23 
с 07.06.2023 по 06.06.2028 </t>
  </si>
  <si>
    <t xml:space="preserve">№ 77.01.16.П.000793.01.12 от 27.01.2012г. </t>
  </si>
  <si>
    <t xml:space="preserve">Сертификат соответствия (Плита минераловатная)  </t>
  </si>
  <si>
    <t xml:space="preserve">Декларация о соответствии (Плита минераловатная)  </t>
  </si>
  <si>
    <t xml:space="preserve">Экспертное заключение (Плита минераловатная)  </t>
  </si>
  <si>
    <t>б/н от 15.11.2023г.</t>
  </si>
  <si>
    <t>№ 3029 от 10.10.2023г.</t>
  </si>
  <si>
    <t>№ РСК RU.0С04.000309 
с 16.11.2020 по 15.11.2023г.</t>
  </si>
  <si>
    <t>№ 000699 от 05.05.2022г.</t>
  </si>
  <si>
    <t xml:space="preserve">№ РОСС.RU.31675.04ПБК0.ОС01.Н000981
 с 23.12.2019 по 22.12.2024г. </t>
  </si>
  <si>
    <t xml:space="preserve">Сертификат соответствия (Подоконник ПВХ)    </t>
  </si>
  <si>
    <t xml:space="preserve">Экспертное заключение (Подоконник ПВХ)     </t>
  </si>
  <si>
    <t>№ 1006 от 15.09.2023г.</t>
  </si>
  <si>
    <t xml:space="preserve">№ BY.70.06.01.008.E.000257.02.21 от 04.02.2021г. </t>
  </si>
  <si>
    <t>№ РОСС RU.HE06.H10947 c 11.08.2023 по 10.08.2026</t>
  </si>
  <si>
    <t xml:space="preserve">Паспорт качества (Пена монтажная)  </t>
  </si>
  <si>
    <t xml:space="preserve">Сидетельство о государственной регистрации 
(Пена монтажная)   </t>
  </si>
  <si>
    <t xml:space="preserve">Сертификат соответствия (Пена монтажная)   </t>
  </si>
  <si>
    <t>Сертификат соответствия (Линолеум Polystyl Alfa 103)</t>
  </si>
  <si>
    <t>Экспертное заключение (Линолеум Polystyl Alfa 103)</t>
  </si>
  <si>
    <t xml:space="preserve">Керамогранит: паспорт №03-0811 от 08.11.2023г., сертификат соотв. РОСС RU.32001.04ИБФ1.ОСП20.18536 с 01.04.2022г. по 31.03.2025г. </t>
  </si>
  <si>
    <t>Лючки ревизионные: паспорт № 67 от 22.01.2024, информационное письмо исх. №2020-12/2 от 14.12.2020г.</t>
  </si>
  <si>
    <t>Растворитель, паспорт № 5 от 05.2023г.</t>
  </si>
  <si>
    <t>Эмаль КО-811, паспорт б/н на партию №119 от 10.01.2024г.</t>
  </si>
  <si>
    <t>Акт составлен в 4 экземплярах.</t>
  </si>
  <si>
    <t>Плиты теплоизоляционные LOGICPIR PROF Ф/Ф толщ. 50 мм: паспорт качества №8346/6582 от 31.07.2023г.</t>
  </si>
  <si>
    <t>Кровельная ПВХ мембрана: паспорт качества № 1868 от 14.05.2023г.</t>
  </si>
  <si>
    <t xml:space="preserve">Оконные блоки: паспорт № 10 от 17.10.2023г., паспорт № 20 от 17.10.2023г. </t>
  </si>
  <si>
    <t>Плиты минераловатные толщ. 100 мм: паспорт качества № 15813 от 08.11.2023г.</t>
  </si>
  <si>
    <t>Фасонные элементы: паспорт №3593 от 22.09.2023г.
Герметик полиуретановый: паспорт удостоверения качества б/н на партию 1342/9570 от 20.10.2023 г., сертификат соотв. № РОСС RU.НВ65.Н01745/21 с 15.06.2021 по 14.06.2024 г., свид-во о гос. регистрации № RU.23.КК.08.015.Е.000226.03.15 от 03.03.2015 г.</t>
  </si>
  <si>
    <t>Рулонная битумная пароизоляция: паспорт качества б/н на партию № 69 065 от 06.09.2023г.</t>
  </si>
  <si>
    <t xml:space="preserve"> Стиз-В: паспорт № 564 от 11.09.2023г.,  свид-во о гос. регистрации № RU.77.01.34.008.E.000751.04.21 от 14.04.2021г., сертификат соотв. № RQ RU.1301.Н00190 с 03.02.2021 по 02.02.2024; Лента диффузионная: паспорт № 00240 от 30.08.2023г., сертификат соотв. № РОСС RU.Я2331.04ПВК0.Н01627 с 06.12.2023 по 05.12.2026г.</t>
  </si>
  <si>
    <t>б/н, зав. № 8000170129 от 27.10.2023г.</t>
  </si>
  <si>
    <t xml:space="preserve"> б/н, зав. № 8000170130 от 27.10.2023г. </t>
  </si>
  <si>
    <t xml:space="preserve"> б/н, зав. № 8000170131 от 27.10.2023г. </t>
  </si>
  <si>
    <t>Фасонные элементы: паспорт № 3593 от 22.09.2023г.
Герметик полиуретановый: паспорт удостоверения качества б/н на партию 1386/9645 от 09.10.2023 г., сертификат соотв. № РОСС RU.НВ65.Н01745/21 с 15.06.2021 по 14.06.2024 г., свид-во о гос. регистрации № RU.23.КК.08.015.Е.000226.03.15 от 03.03.2015 г.</t>
  </si>
  <si>
    <t>Пена монтажная: паспорт качества № 1006 от 15.09.2023г., св-во о гос. регистрации № BY.70.06.01.008.E.000257.02.21 от 04.02.2021г., сертификат соотв. № РОСС RU.HE06.H10947 c 11.08.2023 по 10.08.2026 г.</t>
  </si>
  <si>
    <t>№ НСОПБ.RU.ЭО.ПР150.Н.01523  
с 26.02.2020 по 25.02.2025</t>
  </si>
  <si>
    <t>Информационное письмо (Кнауф Дихтунгсбанд Профи 0,7х30 лента уплотнительная)</t>
  </si>
  <si>
    <t>укладке пленки под стяжку</t>
  </si>
  <si>
    <t>№ 23343-3 от 04.09.2023 г.</t>
  </si>
  <si>
    <t>№ 01505/23 от 30.10.2023 г.</t>
  </si>
  <si>
    <t>№ б/н от 14.07.2023 г.</t>
  </si>
  <si>
    <t>№ РОСС RU.И062.04ОС.Н073 с 30.08.2023 г. по 30.08.2026 г.</t>
  </si>
  <si>
    <t>№ RU Д-RU.PA01.B.00839/23 с 07.06.2023 г. по 06.06.2028 г.</t>
  </si>
  <si>
    <t>№77.01.16.П.000793.01.12 от 27.01.2012 г.</t>
  </si>
  <si>
    <t>№ 78.01.09.574.П.837 от 20.03.2015г.</t>
  </si>
  <si>
    <t>Сертификат качества (Кнауф Дихтунгсбанд Профи 0,7х30 лента уплотнительная) - 38,00 м.п.</t>
  </si>
  <si>
    <t xml:space="preserve">Паспорт качества  (Грунтовка Vetonit MD 16) - 4,00 л.  </t>
  </si>
  <si>
    <t>Паспорт качества (Клей для швов Аквапанель) - 2170,00 мл</t>
  </si>
  <si>
    <t xml:space="preserve">Паспорт качества 
(Кнауф-Профили стальные ПН 50х40х06) - 27,00 м.п. </t>
  </si>
  <si>
    <t>Сертификат качества (Кнауф Дихтунгсбанд Профи 0,7х30 лента уплотнительная) - 46,00 м.п.</t>
  </si>
  <si>
    <t xml:space="preserve">Паспорт качества  (Грунтовка Vetonit MD 16) - 3,00 л.  </t>
  </si>
  <si>
    <t>Паспорт качества (Клей для швов Аквапанель) - 2480,00 мл</t>
  </si>
  <si>
    <t xml:space="preserve">Паспорт качества (Кнауф-Профили стальные ПН 50х40х06) - 21,00 м.п. </t>
  </si>
  <si>
    <t>Пленка 200 мкм: паспорт № 08092023 от 08.09.2023г., сертификат соответствия № РОСС RU.32001.04ИБФ1.ОСП26.24140 с 22.09.2022 по 21.09.2025 г.</t>
  </si>
  <si>
    <t>Документ о качестве (Цемент М400)</t>
  </si>
  <si>
    <t>№ Т2311/3 на партию № 1123/11 от 23.10.2023 г.</t>
  </si>
  <si>
    <t>б/н на партию № 1107-18 от 11.07.2023 г.</t>
  </si>
  <si>
    <t>№0026134 от 27.10.2023 г.</t>
  </si>
  <si>
    <t xml:space="preserve">№ ПФЛ4.RU.0501.Н.00019 
c 15.03.2021 по 14.03.2024г. </t>
  </si>
  <si>
    <t>№RU.MCC.183.355.36791 
с 22.11.2021 по 22.11.2024 г.</t>
  </si>
  <si>
    <t>Сертификат соответствия 
(Фиброволокно)</t>
  </si>
  <si>
    <t>Сертификат соответствия 
(Сетка 100х100х4 ВР-1)</t>
  </si>
  <si>
    <t>укладке керамогранита</t>
  </si>
  <si>
    <t>нанесению грунтовки / гидроизоляции / ровнителя</t>
  </si>
  <si>
    <t>Смеси сухие напольные Vetonit 3000: Паспорт качества № 37 от 31.01.2024 г., сертификат соответствия № RU С-RU.ПБ37.В.00931/23 с 27.02.2023 по 27.03.2028 г., декларация о соответствии № РОСС RU Д-RU.РА01.В.23174/22 с 30.06.2022 по 29.06.2027 г., сви-во о гос. регистрации продукции № RU.77.01.34.008.Е.001085.05.22 от 12.05.2022 г.</t>
  </si>
  <si>
    <t>№ ПМЦБ-004562 от 05.03.2024 г.</t>
  </si>
  <si>
    <t>№ ПМЦБ-004691 от 13.03.2024 г.</t>
  </si>
  <si>
    <t>№ ПМЦБ-004850 от 06.03.2024 г.</t>
  </si>
  <si>
    <t>№ ПМЦБ-004608 от 20.03.2024 г.</t>
  </si>
  <si>
    <t>Смеси сухие гидроизоляционные Vetonit tec 824: Паспорт качаства №16 от 15.01.2024, сертификат соответствия № BY/112 02.01.022.03927 с 12.11.2019 по 12.11.2024 г., свид-во о гос. регистрации № KG.11.01.09.013.Е.002672.06.19 от 27.06.2019 г.
Лента гидроизоляционная: Паспорт качества № 1523 от 04.10.2023 г., свид-во о гос. регистрации № RU.67.СО.01.008.Е.0022564.03.12 от 29.03.2012 г.</t>
  </si>
  <si>
    <t>№ РОСС RU С-RU.СЛ02.В.00626/23 с 15.12.2023 по 11.10.2024 г.</t>
  </si>
  <si>
    <t>нанесению грунтовки / гидроизоляции</t>
  </si>
  <si>
    <t>Паспорт (Песок) - 34,90 м3</t>
  </si>
  <si>
    <t>Документ о качестве продукции (Фиброволокно) - 23,80 кг</t>
  </si>
  <si>
    <t>Паспорт (Сетка 100х100х4 ВР-1) - 600,00 м2</t>
  </si>
  <si>
    <t>Паспорт качества (Демпферная лента) - 479,10 мп</t>
  </si>
  <si>
    <t xml:space="preserve">  ОГРН 1157746789540, ИНН 7743117065, Россия, 115201, г. Москва, Каширский проезд, дом 13, строение 3      	</t>
  </si>
  <si>
    <t>№ 78-2023 от 30.11.2023 г.</t>
  </si>
  <si>
    <t>№ RU.АСК.124.138.01784 с 21.12.2022 по 20.12.2027 г.</t>
  </si>
  <si>
    <t>№ 8667-2023 от 22.12.2023 г.</t>
  </si>
  <si>
    <t>№ 04ИДЮ13.RU.С00380 с 30.03.2021 по 29.03.2024 г.</t>
  </si>
  <si>
    <t>№ RU С-RU.ПБ68.В.00324/19 с 16.12.2019 по 15.12.2024 г.</t>
  </si>
  <si>
    <t>система. Строительство», СРО-С-048-12102009 от 19.02.2020г., ОГРН 1097800002453, ИНН 7840018422</t>
  </si>
  <si>
    <t>АО «Газстройпроект», ОГРН 5077746774485, ИНН 7729574863, Россия, 196084, г. Санкт-Петербург, Смоленская улица,</t>
  </si>
  <si>
    <t>№ 23 от 25.10.2023 г.</t>
  </si>
  <si>
    <t>№ РОСС RU.32132.04СПЖ0.ОС001.00660 с  15.05.2023 по 14.05.2026 г.</t>
  </si>
  <si>
    <t>№ RU.32468.04ЛЕГ0.007.12593 с 15.05.2023 по 14.05.2026 г.</t>
  </si>
  <si>
    <t>№ RU.77.01.34.008.Е.001677.06.23 от 23.06.2023</t>
  </si>
  <si>
    <t>№ 2627 от 20.10.2023 г.</t>
  </si>
  <si>
    <t>№ RU.32468.04ЛЕГ0.007.12581 с 15.05.2023 по 14.05.2026 г.</t>
  </si>
  <si>
    <t>№ RU.77.01.34.008.Е.001695.06.23 от 26.06.2023 г.</t>
  </si>
  <si>
    <t>б/н на партию №ALF-251023 от 25.10.2023 г.</t>
  </si>
  <si>
    <t>№ RU C-RU.ПБ97.В.00400/20 с 27.03.2020 по 26.03.2025 г.</t>
  </si>
  <si>
    <t>№ 64169 от 05.04.2023 г.</t>
  </si>
  <si>
    <t>б/н на партию № wel-231217 от 17.12.2023 г.</t>
  </si>
  <si>
    <t>№ 78-20-09.006.Л.25324 от 14.08.2020 г.</t>
  </si>
  <si>
    <t>Исх. № 402 от 16.12.2021 г.</t>
  </si>
  <si>
    <t>№ 3558 от 05.10.2023 г.</t>
  </si>
  <si>
    <t>№ 9680 от 12.12.20023 г.</t>
  </si>
  <si>
    <t>№ 092/22 от 16.08.2022 г.</t>
  </si>
  <si>
    <t>№ RU.23.КК.08.015.Е.000871.07.16 от 07.07.2016 г.</t>
  </si>
  <si>
    <t>№ 7094/3 от 04.12.2023 г.</t>
  </si>
  <si>
    <t>б/н на партию  № NAG-261023 от 26.10.2023 г</t>
  </si>
  <si>
    <t>№ RU Д-RU.РА01.В.01573/21 с 17.05.2021 по 16.05.2026 г.</t>
  </si>
  <si>
    <t>№ РОСС RU.04ЧГ.ЭС318 с 25.06.2021 по 24.06.2024 г.</t>
  </si>
  <si>
    <t>Паспорт качества (Коннелюрный плинтус) - 164,00 м.п.</t>
  </si>
  <si>
    <t>Паспорт качества (Коннелюрный плинтус) - 116,00 м.п.</t>
  </si>
  <si>
    <t>Паспорт качества (Плинтус Кварц-винил) - 66,00 м.п.</t>
  </si>
  <si>
    <t>Сертификат соответствия (Керамогранит 300х300х8 мм матовый серый соль-перец)</t>
  </si>
  <si>
    <t>Сертификат соответствия (Керамогранит Coliseum Linate Grey 450х900х9)</t>
  </si>
  <si>
    <t>Паспорт качества (Керамогранит Coliseum Linate Grey 450х900х9) - 105,71 м2</t>
  </si>
  <si>
    <t>Сертификат соответствия (Клей для плитки и керамогранита Церезит СМ 11 pro)</t>
  </si>
  <si>
    <t>Свидетельство о государственной регистрации продукции (Клей для плитки и керамогранита Церезит СМ 11 pro)</t>
  </si>
  <si>
    <t>Сертификат соответствия (Затирка влагостойкая Церезит СЕ 33)</t>
  </si>
  <si>
    <t>Свидетельство о государственной регистрации продукции (Затирка влагостойкая Церезит СЕ 33)</t>
  </si>
  <si>
    <t>Паспорт (Линолеум Polystyl Alfa 103) - 287,00 м2</t>
  </si>
  <si>
    <t>Паспорт (Линолеум Polystyl Alfa 103) - 177,00 м2</t>
  </si>
  <si>
    <t>Паспорт (Сварочный шнур для швов из ПВХ композиций) - 110,00 м.п.</t>
  </si>
  <si>
    <t>Экспертное заключение (Сварочный шнур для швов из ПВХ композиций)</t>
  </si>
  <si>
    <t>Письмо (Сварочный шнур для швов из ПВХ композиций)</t>
  </si>
  <si>
    <t>Паспорт (Сварочный шнур для швов из ПВХ композиций) - 60,00 м.п.</t>
  </si>
  <si>
    <t>Паспорт качества (Виниловая плитка Art Vinyl Tarkett Lounge Sound) - 70,00 м2</t>
  </si>
  <si>
    <t>Декларация о соответствии (Виниловая плитка Art Vinyl Tarkett Lounge Sound)</t>
  </si>
  <si>
    <t>Сертификат соответствия (Виниловая плитка Art Vinyl Tarkett Lounge Sound)</t>
  </si>
  <si>
    <t>Свидетельство о государственной регистрации (Клей для напольных ПВХ покрытий ПВХ Fordo Eurocol 599)</t>
  </si>
  <si>
    <t>Информационное письмо (Клей для напольных ПВХ покрытий ПВХ Fordo Eurocol 599)</t>
  </si>
  <si>
    <t>Паспорт качества (Клей для напольных ПВХ покрытий ПВХ Fordo Eurocol 599) - 117,94 кг</t>
  </si>
  <si>
    <t>Паспорт качества (Клей для напольных ПВХ покрытий ПВХ Fordo Eurocol 599) - 101,55 кг</t>
  </si>
  <si>
    <t>Свидетельство о государственной регистрации Клей для напольных ПВХ покрытий ПВХ Fordo Eurocol 599)</t>
  </si>
  <si>
    <t>№ 1/10051333/1 от 20.12.2023 г.</t>
  </si>
  <si>
    <t>Сертификат соответствия (Плитка Kerama Marazzi Александрия светлый матовый 200х300)</t>
  </si>
  <si>
    <t>№ НСОПБ.RU.ЭО.ПР.095.Н.00297 с 01.10.2023 по 30.09.2026 г.</t>
  </si>
  <si>
    <t>№ 4389-4401 от 20.10.2023 г.</t>
  </si>
  <si>
    <t>№ 1628-1630 от 13.10.2023 г.</t>
  </si>
  <si>
    <t xml:space="preserve">Акрилатная краска Pufas GOLD STAR 2: Паспорт качества №57015 от 20.11.2023г., Свид-во о гос.регистрации продукции № RU.77.01.34.008.Е.003700.12.17 от 19.12.2017г., Сертификат соотв. № РОСС RU.НХ37.Н00576 с 14.05.2020 по 13.05.2023 г., Сертификат соотв. № РОСС RU.32079.04СПБ1.ОС05.09503 с 20.05.2021 по 19.05.2024 г. </t>
  </si>
  <si>
    <t>Паспорт качества (Плитка Kerama Marazzi Александрия светлый матовый 200х300) - 35,60 м2</t>
  </si>
  <si>
    <t>Паспорт качества (Клей для плитки и керамогранита Церезит СМ 11 pro) -  214,05 кг</t>
  </si>
  <si>
    <t>Паспорт качества (Затирка влагостойкая Церезит СЕ 33) - 17,82 кг</t>
  </si>
  <si>
    <t>Паспорт и инструкция по монтажу (Дверь противопожарная стальная, зав. № 2053)</t>
  </si>
  <si>
    <t>Паспорт и инструкция по монтажу (Дверь противопожарная стальная, зав. № 2054)</t>
  </si>
  <si>
    <t>Паспорт и инструкция по монтажу (Дверь противопожарная стальная, зав. № 2039)</t>
  </si>
  <si>
    <t>Паспорт и инструкция по монтажу (Дверь противопожарная стальная, зав. № 2043)</t>
  </si>
  <si>
    <t>Паспорт и инструкция по монтажу (Дверь противопожарная стальная, зав. № 2038)</t>
  </si>
  <si>
    <t>№ ЕАЭС RU C-RU.ПБ58.В.00196/21 с 31.03.2021 по 30.03.2026 г.</t>
  </si>
  <si>
    <t>Паспорт и инструкция по монтажу (Дверь противопожарная стальная, зав. № 2040)</t>
  </si>
  <si>
    <t>Паспорт и инструкция по монтажу (Дверь противопожарная стальная, зав. № 2041)</t>
  </si>
  <si>
    <t>Паспорт и инструкция по монтажу (Дверь противопожарная стальная, зав. № 2042)</t>
  </si>
  <si>
    <t>Паспорт и инструкция по монтажу (Дверь противопожарная стальная, зав. № 2045)</t>
  </si>
  <si>
    <t>Паспорт и инструкция по монтажу (Дверь противопожарная стальная, зав. № 2046)</t>
  </si>
  <si>
    <t>Паспорт и инструкция по монтажу (Дверь противопожарная стальная, зав. № 2049)</t>
  </si>
  <si>
    <t>Паспорт и инструкция по монтажу (Дверь противопожарная стальная, зав. № 2050)</t>
  </si>
  <si>
    <t>Паспорт и инструкция по монтажу (Дверь противопожарная стальная, зав. № 2044)</t>
  </si>
  <si>
    <t>Паспорт и инструкция по монтажу (Дверь противопожарная стальная, зав. № 2052)</t>
  </si>
  <si>
    <t>Паспорт и инструкция по монтажу (Дверь противопожарная стальная, зав. № 2058)</t>
  </si>
  <si>
    <t>Паспорт и инструкция по монтажу (Дверь противопожарная стальная, зав. № 2059)</t>
  </si>
  <si>
    <t>Сертификат соответствия (Дверь противопожарная стальная)</t>
  </si>
  <si>
    <t>грунтованию перед шпатлеванием откосов дверных проемов</t>
  </si>
  <si>
    <t>Паспорт и инструкция по монтажу (Дверь противопожарная стальная, зав. № 2047)</t>
  </si>
  <si>
    <t>Паспорт и инструкция по монтажу (Дверь противопожарная стальная, зав. № 2048)</t>
  </si>
  <si>
    <t>б/н от 13.11.2023г.</t>
  </si>
  <si>
    <t xml:space="preserve">Паспорт качества (Подоконник ПВХ) - 31,50 м/п  </t>
  </si>
  <si>
    <t xml:space="preserve">Паспорт качества (Кнауф-лист ГСП-А 1200х2500х12,5 мм) - 20,44 м2 </t>
  </si>
  <si>
    <t xml:space="preserve">Паспорт качества (Аквапанель Цементная плита внутренняя 1200х2400х12,5 мм) - 20,44 м2 </t>
  </si>
  <si>
    <t xml:space="preserve">Паспорт (Плита минераловатная) - 20,44 м2 </t>
  </si>
  <si>
    <t>Декларация о соответствии 
(Плиты минераловатные 1300х610х50)</t>
  </si>
  <si>
    <t>Экспертное заключение (Плиты минераловатные 1300х610х50)</t>
  </si>
  <si>
    <t>Сертификат соответствия 
(Плиты минераловатные 1300х610х50)</t>
  </si>
  <si>
    <t>б/н (зав. № 1951) от 10.11.2023г.</t>
  </si>
  <si>
    <t xml:space="preserve">  б/н (зав. № 1954) от 10.11.2023г.</t>
  </si>
  <si>
    <t>№ ЕАЭС RU C-RU.ПБ58.В.00196/21 с 31.03.2021 по 30.03.2026г.</t>
  </si>
  <si>
    <t>Паспорт (Дверь противопожарная стальная однопольная)</t>
  </si>
  <si>
    <t>Паспорт(Дверь противопожарная стальная однопольная)</t>
  </si>
  <si>
    <t>Сертификат соответствия (Дверь противопожарная стальная однопольная)</t>
  </si>
  <si>
    <t>б/н от 25.10.2023г.</t>
  </si>
  <si>
    <t>Паспорт (Двери стальные двупольные, 1280х2060)</t>
  </si>
  <si>
    <t>Паспорт(Двери стальные однопольные, 980х2060)</t>
  </si>
  <si>
    <t>Паспорт качества (Пена монтажная)</t>
  </si>
  <si>
    <t>№ BY.70.06.01.008.E.000257.02.21 от 04.02.2021г.</t>
  </si>
  <si>
    <t>Свидетельство о государственной регистрации (Пена монтажная)</t>
  </si>
  <si>
    <t>Сертификат соответствия (Пена монтажная)</t>
  </si>
  <si>
    <t xml:space="preserve"> б/н на партию № 115305 от 02.08.2023г.</t>
  </si>
  <si>
    <t>Паспорт (Пена монтажная противопожарная)</t>
  </si>
  <si>
    <t>№ РОСС RU.32396.04НТЦ0.ОС02.02963 с 31.05.2023 по 30.05.2026г.</t>
  </si>
  <si>
    <t>№ РОСС RU.32623.ОС02.00552 с 26.09.2022 по 25.09.2025г.</t>
  </si>
  <si>
    <t>Сертификат соответствия (Пена монтажная противопожарная)</t>
  </si>
  <si>
    <t>сертификат соответствия (Пена монтажная противопожарная)</t>
  </si>
  <si>
    <t>№ 564 от 11.09.2023г.</t>
  </si>
  <si>
    <t>Паспорт (Стиз-В)</t>
  </si>
  <si>
    <t>№ RU.77.01.34.008.E.000751.04.21 от 14.04.2021г.</t>
  </si>
  <si>
    <t>№ RQ RU.1301.Н00190 с 03.02.2021 по 02.02.2024</t>
  </si>
  <si>
    <t>№ 00240 от 30.08.2023г.</t>
  </si>
  <si>
    <t>№ РОСС RU.Я2331.04ПВК0.Н01627 с 06.12.2023 по 05.12.2026г.</t>
  </si>
  <si>
    <t>Сертификат соответствия (Стиз-В)</t>
  </si>
  <si>
    <t>Свидетельство о государственной регистрации (Стиз-В)</t>
  </si>
  <si>
    <t>Паспорт (Лента диффузионная)</t>
  </si>
  <si>
    <t>Сертификат соответствия (Лента диффузионная)</t>
  </si>
  <si>
    <t>№ 3788 от 22.11.2023г.</t>
  </si>
  <si>
    <t>Паспорт (Фасонные элементы)</t>
  </si>
  <si>
    <t>№3593 от 22.09.2023г.</t>
  </si>
  <si>
    <t>б/н на партию 1386/9645 от 09.10.2023 г.</t>
  </si>
  <si>
    <t xml:space="preserve">Паспорт удостоверения качества (Герметик полиуретановый) </t>
  </si>
  <si>
    <t>№ РОСС RU.НВ65.Н01745/21 с 15.06.2021 по 14.06.2024 г.</t>
  </si>
  <si>
    <t>№ RU.23.КК.08.015.Е.000226.03.15 от 03.03.2015 г.</t>
  </si>
  <si>
    <t xml:space="preserve"> Паспорт (Фасонные элементы)</t>
  </si>
  <si>
    <t xml:space="preserve">Сертификат соответствия (Герметик полиуретановый) </t>
  </si>
  <si>
    <t xml:space="preserve">Свидетельство о государственно регистрации (Герметик полиуретановый) </t>
  </si>
  <si>
    <t>б/н от 14.10.2023 г.</t>
  </si>
  <si>
    <t>Паспорт руководство по эксплуатации (Лист металлический, уголок)</t>
  </si>
  <si>
    <t>№ 506727 от 10.10.2023г.</t>
  </si>
  <si>
    <t xml:space="preserve"> Сертификат качества  (Прокат листовой)</t>
  </si>
  <si>
    <t xml:space="preserve"> Сертификат качества (Уголок)</t>
  </si>
  <si>
    <t>№ 130-52953 от  13.10.2023г.</t>
  </si>
  <si>
    <t xml:space="preserve"> Паспорт качества (Грунт ГФ-021)</t>
  </si>
  <si>
    <t>№ 2287 от 17.11.2023г.</t>
  </si>
  <si>
    <t>Исх. № 230928-01 от 28.09.2023г</t>
  </si>
  <si>
    <t>Информационное письмо (Грунт ГФ-021)</t>
  </si>
  <si>
    <t>Паспорт качества (Плиты уклонообразующие ТехноНИКОЛЬ ТЕХНОРУФ Н ПРОФ КЛИН 2.1% ) (Объем-96,941 м3)</t>
  </si>
  <si>
    <t>Паспорт качества (Плиты уклонообразующие ТехноНИКОЛЬ ТЕХНОРУФ Н ПРОФ КЛИН 2.1% ) (Объем-12,859 м3)</t>
  </si>
  <si>
    <t>Паспорт качества (Плиты уклонообразующие ТехноНИКОЛЬ ТЕХНОРУФ Н ПРОФ КЛИН 4.2%) (Объем-79,20 м3)</t>
  </si>
  <si>
    <t>Паспорт качества (Плиты уклонообразующие ТехноНИКОЛЬ ТЕХНОРУФ Н ПРОФ КЛИН 4.2%) (Объем-66,528 м3)</t>
  </si>
  <si>
    <t>Паспорт качества (Плиты уклонообразующие ТехноНИКОЛЬ ТЕХНОРУФ Н ПРОФ КЛИН 4.2%) (Объем-48,572 м3)</t>
  </si>
  <si>
    <t>Паспорт качества (Экструдированный пенополистирол Технониколь XPS CARBON PROF 50 мм) (объем-83,75 м3)</t>
  </si>
  <si>
    <t>№ 242 от 25.04.2024г.</t>
  </si>
  <si>
    <t>№ ПП-0010991 от 22.01.2024г.</t>
  </si>
  <si>
    <t>Сертификат соответствия (Плита потолочная кассетная 600х600мм алюминиевая белая, кромка Board)</t>
  </si>
  <si>
    <t>№RU C-RU.ПБ37.В.00683/22 с 11.02.2022 по 10.02.2027 г.</t>
  </si>
  <si>
    <t>№ РОСС RU.НЕ06.Н03259 с 03.03.2023 по 02.03.2026 г.</t>
  </si>
  <si>
    <t>Экспертное заключение (Акустические панели Ecophon Advantage A 600х600х15)</t>
  </si>
  <si>
    <t>№ 745 от 08.07.2015 г.</t>
  </si>
  <si>
    <t>№ 10/10-2023 от 10.10.2023г.</t>
  </si>
  <si>
    <t>Сертификат соответствия (Плита потолочная Армстронг Retail 12х600х600мм кромка Board)</t>
  </si>
  <si>
    <t>Экспертное заключение (Плита потолочная Армстронг Retail 12х600х600мм кромка Board)</t>
  </si>
  <si>
    <t>Паспорт качества (Плита потолочная кассетная 600х600мм алюминиевая белая, кромка Board) - 4,68 м2</t>
  </si>
  <si>
    <t>Паспорт продукции (Плита потолочная Армстронг Retail 12х600х600мм кромка Board) - 38,88 м2</t>
  </si>
  <si>
    <t>Паспорт качества (Плита потолочная кассетная 600х600мм алюминиевая белая, кромка Board) - 195,48 м2</t>
  </si>
  <si>
    <t>Паспорт качества (Акустические панели Ecophon Advantage A 600х600х15) - 18,36 м2</t>
  </si>
  <si>
    <t>Паспорт продукции (Плита потолочная Армстронг Retail 12х600х600мм кромка Board) - 406,80 м2</t>
  </si>
  <si>
    <t>окраске в 2 слоя стен и потолков лестничной клетки, в т.ч. низа и торцов лестничных маршей и переходных площадок</t>
  </si>
  <si>
    <t>грунтовке перед окраской потолков лестничной клетки, в т.ч. низа и торцов лестничных маршей и переходных площадок</t>
  </si>
  <si>
    <t>грунтовке потолков лестничной клетки, в т.ч. низа и торцов лестничных маршей и переходных площадок</t>
  </si>
  <si>
    <t xml:space="preserve">Заволжского управления ООО «Газпром газнадзор» Сураев С.П., Распоряжение № 108 от 27.03.2024г., </t>
  </si>
  <si>
    <t xml:space="preserve">Заволжского управления ООО «Газпром газнадзор» Сураев С.П., Распоряжение № 108 от 27.03.2024 г., </t>
  </si>
  <si>
    <t>№ 13.072 от 27.09.2023г.</t>
  </si>
  <si>
    <t>№RU.77.01.34.008.E.000197.01.20 от 29.01.2020г.</t>
  </si>
  <si>
    <t>№77.01.12.П.002722.07.17 от 25.07.2017г.</t>
  </si>
  <si>
    <t>№ РОСС RU.31675.04ПБК0.ОС42.Н001993 с 18.04.2022 по 17.04.2025 г.</t>
  </si>
  <si>
    <t>Экспертное заключение (Шпатлевка Крепс КР)</t>
  </si>
  <si>
    <t>сертификат соответствия (Стеклохолст X-Glass)</t>
  </si>
  <si>
    <t>Свидетельство о государственной регистрации продукции (Шпатлевка Крепс КР)</t>
  </si>
  <si>
    <t>№ 57015 от 20.11.2023 г.</t>
  </si>
  <si>
    <t xml:space="preserve">Свидетельство о государственной регистрации (Акрилатная краска Pufas GOLD STAR 2) </t>
  </si>
  <si>
    <t>№  RU 77.01.34.008.Е.003700.12.17 от 19.12.2017 г.</t>
  </si>
  <si>
    <t xml:space="preserve">Сертификат соответствия (Акрилатная краска Pufas GOLD STAR 2) </t>
  </si>
  <si>
    <t>№ РОСС RU.32079.04СПБ1.ОС05.09503 с 20.05.2021 по 19.05.2024 г.</t>
  </si>
  <si>
    <t>№ РОСС RU.НХ37.Н00576 с 14.05.2020 по 13.05.2023 г.</t>
  </si>
  <si>
    <t xml:space="preserve">Экспертное заключение (Акрилатная краска Pufas GOLD STAR 2) </t>
  </si>
  <si>
    <t>№ 77.01.12.П.003938.11.17 от 02.11.2017 г.</t>
  </si>
  <si>
    <t>Подвес для подвесного потолка 1,5м: паспорт № ПО-12328 от 22.01.2024г.,
Уголок периметральный 19х19мм белый (3м): Паспорт качества № УО-00042780 от 22.01.2024г,
Профиль для подвесного потолка (Т-профиль 24) белый (0,6/1,2/3,6м) GL: Паспорт качества № УО-00042754 от 22.01.2024г.
Сертификат соответсвия № РОСС RU.НЕ06.Н03259 с 03.03.2023 по 02.03.2026 г.</t>
  </si>
  <si>
    <t>Штукатурка КРЕПС Мастер: паспорт качества № 11.984 от 29.09.2023г.,свидетельсво о гос.регистрации № RU.77.01.34.008.E.000205.01.20 от 29.01.2020г., экспертное заключение № 77.01.12.П.002725.07.17 от 25.07.2017г., декларация о соответствии № РОСС RU Д-RU.PA01.В.59101/20 с 23.03.2020г. по 20.03.2025г.</t>
  </si>
  <si>
    <t>грунтованию поверхности пола</t>
  </si>
  <si>
    <t xml:space="preserve">Паспорт качества (Кнауф-лист ГСП-А 1200х2500х12,5 мм) - 16,82 м2 </t>
  </si>
  <si>
    <t xml:space="preserve">Паспорт (Плита минераловатная) - 16,82 м2 </t>
  </si>
  <si>
    <t xml:space="preserve">Паспорт качества (Аквапанель Цементная плита внутренняя 1200х2400х12,5 мм) - 16,82 м2 </t>
  </si>
  <si>
    <t>шпатлевание стен лестничной клетки</t>
  </si>
  <si>
    <t>грунтованию стен лестничной клетки</t>
  </si>
  <si>
    <t>грунтованию перед окраской стен лестничной клетки</t>
  </si>
  <si>
    <t>штукатурке стен лестничной клетки</t>
  </si>
  <si>
    <t>монтажу керамогранитных элементов цоколя</t>
  </si>
  <si>
    <t>Документ о качестве (Цемент М400) - 920,60 кг</t>
  </si>
  <si>
    <t>Паспорт (Песок) - 1,70 м3</t>
  </si>
  <si>
    <t>Сертификат соответствия (Цемент М400)</t>
  </si>
  <si>
    <t>Документ о качестве продукции (Фиброволокно) - 1,10 кг</t>
  </si>
  <si>
    <t>Паспорт (Сетка 100х100х4 ВР-1) - 29,60 м2</t>
  </si>
  <si>
    <t>Паспорт качества (Демпферная лента) - 42,30 м.п.</t>
  </si>
  <si>
    <t>Документ о качестве (Цемент М400) - 979,70 кг</t>
  </si>
  <si>
    <t>Паспорт (Песок) - 1,90 м3</t>
  </si>
  <si>
    <t>Документ о качестве продукции (Фиброволокно) - 1,20 кг</t>
  </si>
  <si>
    <t>Паспорт (Сетка 100х100х4 ВР-1) - 31,40 м2</t>
  </si>
  <si>
    <t>Паспорт качества (Демпферная лента) - 43,00 м.п.</t>
  </si>
  <si>
    <t>Документ о качестве (Цемент М400) - 18724,50 кг</t>
  </si>
  <si>
    <t>№ РОСС RU.HE06.H10947 c 11.08.2023 по 10.08.2026г.</t>
  </si>
  <si>
    <t>б/н от 02.08.2023г.</t>
  </si>
  <si>
    <t>Свидетельсво о государственной регистрации (Пена монтажная)</t>
  </si>
  <si>
    <t>Документ о качестве (Профиль ПН 27/28 Кнауф 3000мм) - 48,20 м.п.</t>
  </si>
  <si>
    <t>№ 377/1 от 20.10.2023г</t>
  </si>
  <si>
    <t>Сертификат соответсвия (Профиль ПН 27/28 Кнауф 3000мм)</t>
  </si>
  <si>
    <t>№ 04ИДЮ116.RU/C00546 с 23.06.2023 по 22.06.2026 г.</t>
  </si>
  <si>
    <t>№ НСОПБ.RU.ЭО.ПР150.Н.01523 с 26.02.2020 по 25.02.2025 г.</t>
  </si>
  <si>
    <t>25/2</t>
  </si>
  <si>
    <t xml:space="preserve"> Паспорт (Шпатлевка Крепс КР) - 4697,07кг</t>
  </si>
  <si>
    <t>Паспорт качества (Стеклохолст X-Glass) - 1307,77кг</t>
  </si>
  <si>
    <t>№ 1250 от 01.12.2023г.</t>
  </si>
  <si>
    <t xml:space="preserve"> Паспорт (Шпатлевка Крепс КР) - 329,72кг</t>
  </si>
  <si>
    <t>Паспорт качества (Стеклохолст X-Glass) - 91,80кг</t>
  </si>
  <si>
    <t xml:space="preserve"> Паспорт (Шпатлевка Крепс КР) - 252,72кг</t>
  </si>
  <si>
    <t>Паспорт качества (Стеклохолст X-Glass) - 82,90кг</t>
  </si>
  <si>
    <t xml:space="preserve"> Паспорт (Шпатлевка Крепс КР) - 2524,53кг</t>
  </si>
  <si>
    <t>Паспорт качества (Стеклохолст X-Glass) - 702,89кг</t>
  </si>
  <si>
    <t xml:space="preserve"> Паспорт (Шпатлевка Крепс КР) - 1009,93кг</t>
  </si>
  <si>
    <t>Паспорт качества (Стеклохолст X-Glass) - 281,19кг</t>
  </si>
  <si>
    <t>Паспорт качества (Акрилатная краска Pufas GOLD STAR 2) - 19,14л</t>
  </si>
  <si>
    <t>№ 57003 от 14.11.2023 г.</t>
  </si>
  <si>
    <t>Паспорт качества (Акрилатная краска Pufas GOLD STAR 2) - 86,98л</t>
  </si>
  <si>
    <t xml:space="preserve">гражданской авиации (создание технической возможности эксплуатации гражданских судов по МК-258). Этап I.II. </t>
  </si>
  <si>
    <t>№ 14 063 от 06.10.2023 г.</t>
  </si>
  <si>
    <t>Паспорт качества (Плиты минераловатные ТЕХНОЛАЙТ ЭКСТРА толщ. 100мм) - 4,32 м3</t>
  </si>
  <si>
    <t>№000576 от 18.08.2021 г.</t>
  </si>
  <si>
    <t>Декларация о соответствии (Плиты минераловатные ТЕХНОЛАЙТ ЭКСТРА толщ. 100мм)</t>
  </si>
  <si>
    <t xml:space="preserve"> Экспертное заключение (Плиты минераловатные ТЕХНОЛАЙТ ЭКСТРА толщ. 100мм)</t>
  </si>
  <si>
    <t>№ RU C-RU.ЧС13.В.00358/20 с 20.04.2020 г. по 20.04.2025 г.</t>
  </si>
  <si>
    <t>Паспорт (Плиты минераловатные РОКВУЛ ЛАЙТ БАТТС толщ. 50мм) - 1,2 м3</t>
  </si>
  <si>
    <t>Декларация о соответсвии (Плиты минераловатные РОКВУЛ ЛАЙТ БАТТС толщ. 50мм)</t>
  </si>
  <si>
    <t>Сертификат соответствия (Плиты минераловатные РОКВУЛ ЛАЙТ БАТТС толщ. 50мм)</t>
  </si>
  <si>
    <t>№ РОСС RU Д-RU.РА01.В.64806/21 с 24.11.2021 г. по 23.11.2026 г.</t>
  </si>
  <si>
    <t>№ 101023/1/84621404 от 10.10.2023 г.</t>
  </si>
  <si>
    <t>№ РОСС RU Д-RU.РА01.В.17254/23 с 12.05.2023 г. по 11.05.2028 г.</t>
  </si>
  <si>
    <t>№ RU.СМИК.001.Н.00271 с 25.05.2023 г. по 24.05.2026 г.</t>
  </si>
  <si>
    <t xml:space="preserve"> № 73 210 от 22.09.2023г.</t>
  </si>
  <si>
    <t>№ RU.СМИК.001.Н.00140 с 18.04.2022 г. по 17.04.2025 г.</t>
  </si>
  <si>
    <t xml:space="preserve"> Сертификат соответствия (Гидро-Ветрозащитная мембрана ISOBOX 95 (технониколь))</t>
  </si>
  <si>
    <t>Паспорт соответствия партии продукции (Гидро-Ветрозащитная мембрана ISOBOX 95 (технониколь)) - 111 м2</t>
  </si>
  <si>
    <t>№2832 от 12.01.2024 г.</t>
  </si>
  <si>
    <t>Исх. №01505/23 от 30.10.2023 г.</t>
  </si>
  <si>
    <t>Паспорт качества (Лента перфорированная) - 320 м.п.</t>
  </si>
  <si>
    <t>Информационное письмо (Лента перфорированная)</t>
  </si>
  <si>
    <t>Фасонные элементы: паспорт № 3593 от 22.09.2023г., Герметик: паспорт удостоверения качества №б/н на партию № 1740/9270 от 20.10.2023г., сертификат соотв. №РОСС RU.HЕ06.H04174 с 22.03.2023г. по 21.03.2026г.</t>
  </si>
  <si>
    <t>Паспорт качества (Керамогранит 300х300х8 мм матовый серый соль-перец) - 164,70 м2</t>
  </si>
  <si>
    <t>Паспорт качества (Клей для плитки и керамогранита Церезит СМ 11 pro) - 988,70 кг</t>
  </si>
  <si>
    <t>Паспорт качества (Затирка влагостойкая Церезит СЕ 33) - 82,82 кг</t>
  </si>
  <si>
    <t>Паспорт качества (Керамогранит 300х300х8 мм матовый серый соль-перец) - 35,10 м2</t>
  </si>
  <si>
    <t>Паспорт качества (Клей для плитки и керамогранита Церезит СМ 11 pro) - 831,74 кг</t>
  </si>
  <si>
    <t>Паспорт качества (Затирка влагостойкая Церезит СЕ 33) - 70,81 кг</t>
  </si>
  <si>
    <t>Паспорт (Панель стеновая) - 1238,400 м²</t>
  </si>
  <si>
    <t>Паспорт (Панель стеновая) - 553,188 м²</t>
  </si>
  <si>
    <t>Паспорт (Панель стеновая) - 252,066 м²</t>
  </si>
  <si>
    <t>Паспорт качества (Изолон) - 398 шт</t>
  </si>
  <si>
    <t>Сертификат соответствия (Изолон)</t>
  </si>
  <si>
    <t xml:space="preserve"> б/н на партию № 1490/2471 от 06.09.2023</t>
  </si>
  <si>
    <t>Сертификат соответствия (Силиконовый герметик)</t>
  </si>
  <si>
    <t>Свидетельство о государственной регистрации (Силиконовый герметик)</t>
  </si>
  <si>
    <t>Паспорт удостоверения качества (Силиконовый герметик) - 58 туб.</t>
  </si>
  <si>
    <t>№ 445 от 04.12.2023г.</t>
  </si>
  <si>
    <t>Паспорт качества (Плиты минераловатные 1300х610х50) - 31,12 м2</t>
  </si>
  <si>
    <t xml:space="preserve">Паспорт качества (Кнауф-лист ГСП-А 1200х2500х12,5 мм) - 83,61 м2 </t>
  </si>
  <si>
    <t xml:space="preserve">Паспорт качества (Аквапанель Цементная плита внутренняя 1200х2400х12,5 мм) - 40,00 м2 </t>
  </si>
  <si>
    <t xml:space="preserve">Паспорт качества (Кнауф-лист ГСП-А 1200х2500х12,5 мм) - 26,87 м2 </t>
  </si>
  <si>
    <t xml:space="preserve">Паспорт качества (Аквапанель Цементная плита внутренняя 1200х2400х12,5 мм) - 48,58 м2 </t>
  </si>
  <si>
    <t>Документ о качестве (Кнауф-Фуген смесь сухая шпатлевочная) - 4,00 кг</t>
  </si>
  <si>
    <t>Документ о качестве (КНАУФ-Лента для швов стекловолокнистая) -10,00 м.п.</t>
  </si>
  <si>
    <t xml:space="preserve">Документ о качестве 
(Кнауф-Профили стальные ПС 50х50х06) - 76,00 м.п. </t>
  </si>
  <si>
    <t xml:space="preserve">Документ о качестве
(Кнауф-Профили стальные ПС 50х50х06) - 64,00 м.п. </t>
  </si>
  <si>
    <t>Документ о качестве (КНАУФ-Лента для швов стекловолокнистая) -32,00 м.п.</t>
  </si>
  <si>
    <t>Документ о качестве (Кнауф-Фуген смесь сухая шпатлевочная) - 16,00 кг</t>
  </si>
  <si>
    <t>№ б/н от 26.09.2023 г.</t>
  </si>
  <si>
    <t>Стекло триплекс 16 мм (8зак8зак3) 1900х1200, 2200х1200: Паспорт качества б/н от 15.04.2024 г., Сертификат соотв. № РОСС RU.ПБ44.Н15390 с 11.07.2023 по 10.07.2026 г., Сертификат соотв. № РОСС RU.ПБ44.Н15391 с 11.07.2023 по 10.07.2026 г., Информационное письмо № 73 от 07.04.2023 г.</t>
  </si>
  <si>
    <t xml:space="preserve">дом 10, литера Б, тел.: +7 (812)244-40-50, факс: 244-14-15, Ассоциация «Саморегулируемая организация «Строители </t>
  </si>
  <si>
    <t>Ленинградской области», свидетельство № СРО-С-093-30112009 от 22.06.2017г., ОГРН 1084700000791, ИНН 4706028630</t>
  </si>
  <si>
    <t>СРО-П-077-11122009 от 25.06.2021, ОГРН 1097799008890, ИНН 7743088946</t>
  </si>
  <si>
    <t>Vetonit MD16: паспорт № 6 от 18.01.2024г., свид-во о гос. регистрации № RU.01.РА.02.015.Е.000969.05.23 от 15.05.2023г.</t>
  </si>
  <si>
    <t>Кронштейн: паспорт №5281 от 07.12.2023г., Профиль: паспорт №5172 от 30.11.2023г., сертификат соотв. №РОСС.RU.04CCH0.05596 c 16.10.2023г. по 15.10.2026г., Уголок: документ о качестве №00481 от 05.10.2023г.</t>
  </si>
  <si>
    <t>монатжу фасонных элементов цоколя</t>
  </si>
  <si>
    <r>
      <t xml:space="preserve">Проект шифр ПП2020РД-1.2-61.17-АР «Служебное здание АС. Архитектурные решения», изм.3, л.17, 19, 20; </t>
    </r>
    <r>
      <rPr>
        <sz val="10"/>
        <color rgb="FFFF0000"/>
        <rFont val="Times New Roman"/>
        <family val="1"/>
        <charset val="204"/>
      </rPr>
      <t>Письмо от ООО "Газпром инвест" № 29/2/2-7882-ГС; Письмо от ООО "Трансстроймеханизация" № 23530-СЗЛ/23 ; Учетный лист ЖАН № 74; Письмо от ООО "Газпром инвест" № 29/2/1/06-2063-ГС; Письмо от ООО "Трансстроймеханизация" № 3809-СЗЛ/25 ; Учетный лист ЖАН № 6; ООО «Трансстроймеханизация» ГИП Кратирова Е.Л.</t>
    </r>
  </si>
  <si>
    <t>АИР-М-1.2-61.17-АР-1</t>
  </si>
  <si>
    <t>АИР-М-1.2-61.17-АР-2</t>
  </si>
  <si>
    <t>АИР-М-1.2-61.17-АР-3</t>
  </si>
  <si>
    <t>АИР-М-1.2-61.17-АР-4</t>
  </si>
  <si>
    <t>АИР-М-1.2-61.17-АР-5</t>
  </si>
  <si>
    <t>АИР-М-1.2-61.17-АР-6</t>
  </si>
  <si>
    <t>АИР-М-1.2-61.17-АР-7</t>
  </si>
  <si>
    <t>АИР-М-1.2-61.17-АР-8</t>
  </si>
  <si>
    <t>АИР-М-1.2-61.17-АР-9</t>
  </si>
  <si>
    <t>АИР-М-1.2-61.17-АР-10</t>
  </si>
  <si>
    <t>АИР-М-1.2-61.17-АР-11</t>
  </si>
  <si>
    <t>АИР-М-1.2-61.17-АР-12</t>
  </si>
  <si>
    <t>АИР-М-1.2-61.17-АР-13</t>
  </si>
  <si>
    <t>АИР-М-1.2-61.17-АР-14</t>
  </si>
  <si>
    <t>АИР-М-1.2-61.17-АР-15</t>
  </si>
  <si>
    <t>АИР-М-1.2-61.17-АР-16</t>
  </si>
  <si>
    <t>АИР-М-1.2-61.17-АР-17</t>
  </si>
  <si>
    <t>АИР-М-1.2-61.17-АР-18</t>
  </si>
  <si>
    <t>АИР-М-1.2-61.17-АР-19</t>
  </si>
  <si>
    <t>АИР-М-1.2-61.17-АР-20</t>
  </si>
  <si>
    <t>АИР-М-1.2-61.17-АР-21</t>
  </si>
  <si>
    <t>АИР-М-1.2-61.17-АР-39</t>
  </si>
  <si>
    <t>АИР-М-1.2-61.17-АР-41</t>
  </si>
  <si>
    <t>АИР-М-1.2-61.17-АР-42</t>
  </si>
  <si>
    <t>АИР-М-1.2-61.17-АР-43</t>
  </si>
  <si>
    <t>АИР-М-1.2-61.17-АР-44</t>
  </si>
  <si>
    <t>АИР-М-1.2-61.17-АР-45</t>
  </si>
  <si>
    <t>АИР-М-1.2-61.17-АР-46</t>
  </si>
  <si>
    <t>АИР-М-1.2-61.17-АР-47</t>
  </si>
  <si>
    <t>АИР-М-1.2-61.17-АР-48</t>
  </si>
  <si>
    <t>АИР-М-1.2-61.17-АР-49</t>
  </si>
  <si>
    <t>АИР-М-1.2-61.17-АР-50</t>
  </si>
  <si>
    <t>АИР-М-1.2-61.17-АР-51</t>
  </si>
  <si>
    <t>АИР-М-1.2-61.17-АР-52</t>
  </si>
  <si>
    <t>АИР-М-1.2-61.17-АР-53</t>
  </si>
  <si>
    <t>АИР-М-1.2-61.17-АР-54</t>
  </si>
  <si>
    <t>АИР-М-1.2-61.17-АР-55</t>
  </si>
  <si>
    <t>АИР-М-1.2-61.17-АР-56</t>
  </si>
  <si>
    <t>АИР-М-1.2-61.17-АР-57</t>
  </si>
  <si>
    <t>АИР-М-1.2-61.17-АР-58</t>
  </si>
  <si>
    <t>АИР-М-1.2-61.17-АР-59</t>
  </si>
  <si>
    <t>АИР-М-1.2-61.17-АР-60</t>
  </si>
  <si>
    <t>АИР-М-1.2-61.17-АР-61</t>
  </si>
  <si>
    <t>АИР-М-1.2-61.17-АР-62</t>
  </si>
  <si>
    <t>АИР-М-1.2-61.17-АР-63</t>
  </si>
  <si>
    <t>АИР-М-1.2-61.17-АР-64</t>
  </si>
  <si>
    <t>АИР-М-1.2-61.17-АР-65</t>
  </si>
  <si>
    <t>АИР-М-1.2-61.17-АР-66</t>
  </si>
  <si>
    <t>АИР-М-1.2-61.17-АР-67</t>
  </si>
  <si>
    <t>АИР-М-1.2-61.17-АР-68</t>
  </si>
  <si>
    <t>АИР-М-1.2-61.17-АР-69</t>
  </si>
  <si>
    <t>АИР-М-1.2-61.17-АР-70</t>
  </si>
  <si>
    <t>АИР-М-1.2-61.17-АР-71</t>
  </si>
  <si>
    <t>АИР-М-1.2-61.17-АР-72</t>
  </si>
  <si>
    <t>АИР-М-1.2-61.17-АР-73</t>
  </si>
  <si>
    <t>АИР-М-1.2-61.17-АР-74</t>
  </si>
  <si>
    <t>АИР-М-1.2-61.17-АР-75</t>
  </si>
  <si>
    <t>АИР-М-1.2-61.17-АР-76</t>
  </si>
  <si>
    <t>АИР-М-1.2-61.17-АР-77</t>
  </si>
  <si>
    <t>АИР-М-1.2-61.17-АР-78</t>
  </si>
  <si>
    <t>АИР-М-1.2-61.17-АР-79</t>
  </si>
  <si>
    <t>АИР-М-1.2-61.17-АР-80</t>
  </si>
  <si>
    <t>АИР-М-1.2-61.17-АР-81</t>
  </si>
  <si>
    <t>АИР-М-1.2-61.17-АР-82</t>
  </si>
  <si>
    <t>АИР-М-1.2-61.17-АР-83</t>
  </si>
  <si>
    <t>АИР-М-1.2-61.17-АР-84</t>
  </si>
  <si>
    <t>АИР-М-1.2-61.17-АР-85</t>
  </si>
  <si>
    <t>АИР-М-1.2-61.17-АР-86</t>
  </si>
  <si>
    <t>АИР-М-1.2-61.17-АР-87</t>
  </si>
  <si>
    <t>АИР-М-1.2-61.17-АР-88</t>
  </si>
  <si>
    <t>АИР-М-1.2-61.17-АР-89</t>
  </si>
  <si>
    <t>АИР-М-1.2-61.17-АР-90</t>
  </si>
  <si>
    <t>АИР-М-1.2-61.17-АР-91</t>
  </si>
  <si>
    <t>Проект шифр ПП2020РД-1.2-61.17-АР «Служебное здание АС. Архитектурные решения», изм.3, л. 19; ООО «Трансстроймеханизация» ГИП Кратирова Е.Л.</t>
  </si>
  <si>
    <t>Проект шифр ПП2020РД-1.2-61.17-АР "Служебное здание АС. Архитектурные решения", изм.4, л. 17, 25-27.1; ООО "Трансстроймеханизация" ГИП Кратирова Е.Л.</t>
  </si>
  <si>
    <t>Проект шифр ПП2020РД-1.2-61.17-АР "Служебное здание АС. Архитектурные решения", изм.4, л. 17, 37, 27.1; ООО "Трансстроймеханизация" ГИП Кратирова Е.Л.</t>
  </si>
  <si>
    <t>Проект шифр ПП2020РД-1.2-61.17-АР "Служебное здание АС. Архитектурные решения", изм.3, л. 4; ООО "Трансстроймеханизация" ГИП Кратирова Е.Л.</t>
  </si>
  <si>
    <t>Проект шифр ПП2020РД-1.2-61.17-АР "Служебное здание АС. Архитектурные решения", изм.3, л. 2, 3, 11, 28; ООО "Трансстроймеханизация" ГИП Кратирова Е.Л.</t>
  </si>
  <si>
    <t>Проект шифр ПП2020РД-1.2-61.17-АР "Служебное здание АС. Архитектурные решения", изм.3, л.2, 11, 31; ООО "Трансстроймеханизация" ГИП Кратирова Е.Л.</t>
  </si>
  <si>
    <t>Проект шифр ПП2020РД-1.2-61.17-АР "Служебное здание АС. Архитектурные решения", изм.3, л. 2, 11, 27; ООО "Трансстроймеханизация" ГИП Кратирова Е.Л.</t>
  </si>
  <si>
    <t>Проект шифр ПП2020РД-1.2-61.17-АР "Служебное здание АС. Архитектурные решения", изм.3, л. 27-29; ООО "Трансстроймеханизация" ГИП Кратирова Е.Л.</t>
  </si>
  <si>
    <t>Проект шифр ПП2020РД-1.2-61.17-АР "Служебное здание АС. Архитектурные решения", изм.3, лист 7.1; ООО "Трансстроймеханизация" ГИП Кратирова Е.Л.</t>
  </si>
  <si>
    <t>Проект шифр ПП2020РД-1.2-61.17-АР "Служебное здание АС. Архитектурные решения", изм.3, л. 5; ООО "Трансстроймеханизация" ГИП Кратирова Е.Л.</t>
  </si>
  <si>
    <t>Служебное здание АС. Герметизация монтажных зазоров наружных дверных блоков в/о А-В/1-10</t>
  </si>
  <si>
    <t>Служебное здание АС. Заполнение монтажных зазоров наружных дверных блоков в/о А-В/1-10</t>
  </si>
  <si>
    <t>Служебное здание АС. Монтаж наружных дверных блоков в/о А-В/1-10 (Кол-во противопожарных - 7 шт.)</t>
  </si>
  <si>
    <t>Служебное здание АС. Монтаж ворот в/о А/1-4 (Кол-во ворот - 3 компл.)</t>
  </si>
  <si>
    <t>Служебное здание АС. Герметизация и проклейка диффузионной лентой монтажного стыка оконных блоков в/о А-В/1-10</t>
  </si>
  <si>
    <t>Служебное здание АС. Заполнение монтажных зазоров наружных оконных блоков в/о А-В/1-10</t>
  </si>
  <si>
    <t>Проект шифр ПП2020РД-1.2-61.17-АР "Служебное здание АС. Архитектурные решения", изм.3, л. 6; ООО "Трансстроймеханизация" ГИП Кратирова Е.Л.</t>
  </si>
  <si>
    <t>Проект шифр ПП2020РД-1.2-61.17-АР "Служебное здание АС. Архитектурные решения", изм.3, л. 7, 14.1; ООО "Трансстроймеханизация" ГИП Кратирова Е.Л.</t>
  </si>
  <si>
    <t>Проект шифр ПП2020РД-1.2-61.17-АР "Служебное здание АС. Архитектурные решения", изм.3, л. 8, 14.1; ООО "Трансстроймеханизация" ГИП Кратирова Е.Л.</t>
  </si>
  <si>
    <t>АИР-М-1.2-61.17-АР-22</t>
  </si>
  <si>
    <t>АИР-М-1.2-61.17-АР-23</t>
  </si>
  <si>
    <t>АИР-М-1.2-61.17-АР-24</t>
  </si>
  <si>
    <t>АИР-М-1.2-61.17-АР-25</t>
  </si>
  <si>
    <t>АИР-М-1.2-61.17-АР-26</t>
  </si>
  <si>
    <t>АИР-М-1.2-61.17-АР-27</t>
  </si>
  <si>
    <t>АИР-М-1.2-61.17-АР-28</t>
  </si>
  <si>
    <t>АИР-М-1.2-61.17-АР-29</t>
  </si>
  <si>
    <t>АИР-М-1.2-61.17-АР-30</t>
  </si>
  <si>
    <t>АИР-М-1.2-61.17-АР-31</t>
  </si>
  <si>
    <t>АИР-М-1.2-61.17-АР-32</t>
  </si>
  <si>
    <t>АИР-М-1.2-61.17-АР-33</t>
  </si>
  <si>
    <t>АИР-М-1.2-61.17-АР-34</t>
  </si>
  <si>
    <t>АИР-М-1.2-61.17-АР-35</t>
  </si>
  <si>
    <t>АИР-М-1.2-61.17-АР-36</t>
  </si>
  <si>
    <t>АИР-М-1.2-61.17-АР-37</t>
  </si>
  <si>
    <t>АИР-М-1.2-61.17-АР-38</t>
  </si>
  <si>
    <t>АИР-М-1.2-61.17-АР-40</t>
  </si>
  <si>
    <t>Проект шифр ПП2020РД-1.2-61.17-АР "Служебное здание АС. Архитектурные решения", изм.3, л.7, 14.1; ООО "Трансстроймеханизация" ГИП Кратирова Е.Л.</t>
  </si>
  <si>
    <t>Проект шифр ПП2020РД-1.2-61.17-АР "Аварийно-спасательная станция. Архитектурные решения", изм.3, л. 7, 14.1; ООО "Трансстроймеханизация" ГИП Кратирова Е.Л.</t>
  </si>
  <si>
    <t>Служебное здание АС. Монтаж внутренних противопожарных дверных блоков 1 этажа в/о А-В/4-10 (Кол-во противопожарных дверей - 10 шт.)</t>
  </si>
  <si>
    <t>Служебное здание АС. Заполнение монтажных зазоров внутренних противопожарных дверных блоков 1 этажа в/о А-В/5-10</t>
  </si>
  <si>
    <t>Проект шифр ПП2020РД-1.2-61.17-АР "Служебное здание АС. Архитектурные решения", изм.3, л. 2, 27; ООО "Трансстроймеханизация" ГИП Кратирова Е.Л.</t>
  </si>
  <si>
    <t>Проект шифр ПП2020РД-1.2-61.17-АР "Служебное здание АС. Архитектурные решения", изм.3, л. 2, 11, 24; ООО "Трансстроймеханизация" ГИП Кратирова Е.Л.</t>
  </si>
  <si>
    <t>Служебное здание АС. Монтаж внутренних противопожарных дверных блоков 2 этажа в/о А-В/5-10 (Кол-во противопожарных дверей - 8 шт.)</t>
  </si>
  <si>
    <t>Проект шифр ПП2020РД-1.2-61.17-АР "Служебное здание АС. Архитектурные решения", изм.3, л. 3, 11, 24; ООО "Трансстроймеханизация" ГИП Кратирова Е.Л.</t>
  </si>
  <si>
    <t>Проект шифр ПП2020РД-1.2-61.17-АР "Служебное здание АС. Архитектурные решения", изм.3, л. 3, 11, 27; ООО "Трансстроймеханизация" ГИП Кратирова Е.Л.</t>
  </si>
  <si>
    <t>Служебное здание АС. Заполнение монтажных зазоров внутренних противопожарных дверных блоков 2 этажа в/о А-В/5-10</t>
  </si>
  <si>
    <t>Проект шифр ПП2020РД-1.2-61.17-АР "Служебное здание АС. Архитектурные решения", изм.3, л. 3. 27; ООО "Трансстроймеханизация" ГИП Кратирова Е.Л.</t>
  </si>
  <si>
    <t>Служебное здание АС. Монтаж внутренних дверных МДФ блоков на 1 этаже в/о Б-В/5-10 (Кол-во МДФ дверей - 12 шт.)</t>
  </si>
  <si>
    <t>Проект шифр ПП2020РД-1.2-61.17-АР "Служебное здание АС. Архитектурные решения", изм.3, л. 3, 24; ООО "Трансстроймеханизация" ГИП Кратирова Е.Л.</t>
  </si>
  <si>
    <t>Служебное здание АС. Монтаж внутренних дверных МДФ блоков на 2 этаже в/о Б-В/5.1-10 (Кол-во МДФ дверей - 10 шт.)</t>
  </si>
  <si>
    <t>Служебное здание АС. Заполнение монтажных зазоров дверных МДФ блоков на 1 этаже в/о Б-В/5-10, на 2 этаже в/о Б-В/5.1-10</t>
  </si>
  <si>
    <t>Проект шифр ПП2020РД-1.2-61.17-АР "Служебное здание АС. Архитектурные решения", изм.3, л. 5, 6, 28; ООО "Трансстроймеханизация" ГИП Кратирова Е.Л.</t>
  </si>
  <si>
    <t>Служебное здание АС. Монтаж подоконников 1 этажа в/о А-В/6-10 и 2 этажа в/о А-В/5-10 Общей длинной - 34,5 м.п.</t>
  </si>
  <si>
    <t>Проект шифр ПП2020РД-1.2-61.17-АР "Служебное здание АС. Архитектурные решения", изм.3, л. 5, 24, 28; ООО "Трансстроймеханизация" ГИП Кратирова Е.Л.</t>
  </si>
  <si>
    <t>Проект шифр ПП2020РД-1.2-61.17-АР "Служебное здание АС. Архитектурные решения", изм.3, л. 6, 24, 28; ООО "Трансстроймеханизация" ГИП Кратирова Е.Л.</t>
  </si>
  <si>
    <t xml:space="preserve">Служебное здание АС. Монтаж облицовок и перегородок: тип 01. S=142,93 м², тип 02  S=27,17 м², тип 03 S=31,41 м², тип 04.1 S=16,02 м², тип 04.2 S=3,47 м², тип 05 S=64,5 м² 1 этажа в/о А-В/1-10 </t>
  </si>
  <si>
    <t>Служебное здание АС. Монтаж облицовок: тип 01. S=141,24 м², тип 02  S=68,61 м², тип 03 S=19,34 м²,тип 05 S=54,40 м² 2 этажа в/о А-В/5-10</t>
  </si>
  <si>
    <t>Проект шифр ПП2020РД-1.2-61.17-АР "Служебное здание АС. Архитектурные решения", изм.3, л. 5, 13, 13.1, 14.1; ООО "Трансстроймеханизация" ГИП Кратирова Е.Л.</t>
  </si>
  <si>
    <t>Проект шифр ПП2020РД-1.2-61.17-АР "Служебное здание АС. Архитектурные решения", изм.3, л. 6, 14, 14.1; ООО "Трансстроймеханизация" ГИП Кратирова Е.Л.</t>
  </si>
  <si>
    <t>Проект шифр ПП2020РД-1.2-61.17-АР "Служебное здание АС. Архитектурные решения", изм.3, л. 9, 14.1; ООО "Трансстроймеханизация" ГИП Кратирова Е.Л.</t>
  </si>
  <si>
    <t>Проект шифр ПП2020РД-1.2-61.17-АР "Служебное здание АС. Архитектурные решения", изм.3, л. 5, 6, 14.1; ООО "Трансстроймеханизация" ГИП Кратирова Е.Л.</t>
  </si>
  <si>
    <t>Проект шифр ПП2020РД-1.2-61.17-АР "Служебное здание АС. Архитектурные решения", изм.3, л. 24; ООО "Трансстроймеханизация" ГИП Кратирова Е.Л.</t>
  </si>
  <si>
    <t>Служебное здание АС. Монтаж подвесной системы потолков в помещениях 1 этаже в/о А-В/3-10 (S=307,15 м2)</t>
  </si>
  <si>
    <t>Служебное здание АС. Монтаж потолочных плит и кассет в помещениях 1 этажа в/о А-В/3-10 (S=307,15 м2)</t>
  </si>
  <si>
    <t>Служебное здание АС. Монтаж подвесной системы потолков в помещениях 2 этажа, в т.ч. лестничных клеток в/о А-В/5-10 (S=298,08 м2)</t>
  </si>
  <si>
    <t xml:space="preserve">Служебное здание АС. Монтаж ограждений лестничных маршей в/о  А-Б/5-5.1 и А-Б/9-10 </t>
  </si>
  <si>
    <t>Проект шифр ПП2020РД-1.2-61.17-АР "Служебное здание АС. Архитектурные решения", изм.3, лист 15; ООО "Трансстроймеханизация" ГИП Кратирова Е.Л.</t>
  </si>
  <si>
    <t>Ограждение лестничное: технический паспорт №8 от 01.03.2024 г.</t>
  </si>
  <si>
    <t>Проект шифр ПП2020РД-1.2-61.17-АР "Служебное здание АС. Архитектурные решения", изм.3, л. 5. 6; ООО "Трансстроймеханизация" ГИП Кратирова Е.Л.</t>
  </si>
  <si>
    <t>Проект шифр ПП2020РД-1.2-61.17-АР "Служебное здание АС. Архитектурные решения", изм.3, л. 10, 14.1, 30; ООО "Трансстроймеханизация" ГИП Кратирова Е.Л.</t>
  </si>
  <si>
    <t>Проект шифр ПП2020РД-1.2-61.17-АР "Служебное здание АС. Архитектурные решения", изм.3, л. 9, 14.1. 30; ООО "Трансстроймеханизация" ГИП Кратирова Е.Л.</t>
  </si>
  <si>
    <t>Проект шифр ПП2020РД-1.2-61.17-АР "Служебное здание АС. Архитектурные решения", изм.3, л. 9, 14.1, 30; ООО "Трансстроймеханизация" ГИП Кратирова Е.Л.</t>
  </si>
  <si>
    <t>Проект шифр ПП2020РД-1.2-56-АР "Аварийно-спасательная станция. Архитектурные решения", изм.4, л. 18; ООО "Трансстроймеханизация" ГИП Кратирова Е.Л.</t>
  </si>
  <si>
    <t xml:space="preserve">Служебное здание АС. Монтаж антенны на кровле </t>
  </si>
  <si>
    <t>Проект шифр ПП2020РД-1.2-61.17-АР "Служебное здание АС. Архитектурные решения", изм.3, л. 18; ООО "Трансстроймеханизация" ГИП Кратирова Е.Л.</t>
  </si>
  <si>
    <t>Проект шифр ПП2020РД-1.2-61.17-АР "Служебное здание АС. Архитектурные решения", изм.3, л. 2, 3, 14.1; ООО "Трансстроймеханизация" ГИП Кратирова Е.Л.</t>
  </si>
  <si>
    <t>Проект шифр ПП2020РД-1.2-61.17-АР "Служебное здание АС. Архитектурные решения", изм.3, л. 22; ООО "Трансстроймеханизация" ГИП Кратирова Е.Л.</t>
  </si>
  <si>
    <t>Проект шифр ПП2020РД-1.2-61.17-АР "Служебное здание АС. Архитектурные решения", изм.3, л. 22, 26; ООО "Трансстроймеханизация" ГИП Кратирова Е.Л.</t>
  </si>
  <si>
    <t>Служебное здание АС. Монтаж пешеходной дорожки в/о А-Б/1-10</t>
  </si>
  <si>
    <t>Проект шифр ПП2020РД-1.2-61.17-АР "Служебное здание АС. Архитектурные решения", изм.3, л. 4, 14.1; ООО "Трансстроймеханизация" ГИП Кратирова Е.Л.</t>
  </si>
  <si>
    <t>Проект шифр ПП2020РД-1.2-61.17-АР "Служебное здание АС. Архитектурные решения", изм.3, л. 4, 26; ООО "Трансстроймеханизация" ГИП Кратирова Е.Л.</t>
  </si>
  <si>
    <t>Проект шифр ПП2020РД-1.2-61.17-АР "Служебное здание АС. Архитектурные решения", изм.4, л. 4; ООО "Трансстроймеханизация" ГИП Кратирова Е.Л.</t>
  </si>
  <si>
    <t>Проект шифр ПП2020РД-1.2-61.17-АР "Служебное здание АС. Архитектурные решения", изм.3, л. 4., 29; ООО "Трансстроймеханизация" ГИП Кратирова Е.Л.</t>
  </si>
  <si>
    <t>Служебное здание АС. Укладка минераловатных плит кровли толщ. 100 мм в/о А-В/1-10</t>
  </si>
  <si>
    <t xml:space="preserve">Служебное здание АС. Укладка рулонной битумной пароизоляции кровли в/о А-В/1-10 </t>
  </si>
  <si>
    <t>Служебное здание АС. Монтаж внутренних фасонных элементов стеновых сэндвич-панелей в/о А-В/1-10</t>
  </si>
  <si>
    <t>Служебное здание АС. Монтаж фасонных элементов стеновых сэндвич-панелей и фасада в/о А-М/1-16 от отм. +0.300 до отм. +9.400</t>
  </si>
  <si>
    <t xml:space="preserve">Служебное здание АС. Заполнение минеральной ватой монтажных швов ограждающих стеновых сэндвич-панелей в/о 1-10/А-В от отм. +0.300 до отм. +9.400 </t>
  </si>
  <si>
    <t>Служебное здание АС. Монтаж ограждающих стеновых сэндвич-панелей в/о 1-10/А-В от отм. +0.300 до отм. +9.400</t>
  </si>
  <si>
    <t>Служебное здание АС. Устройство уклонообразующего слоя кровли в/о А-В/1-10</t>
  </si>
  <si>
    <t>Служебное здание АС. Укладка теплоизоляционных плит толщ. 50 мм в/о А-В/1-10</t>
  </si>
  <si>
    <t>Служебное здание АС. Укладка кровельной ПВХ мембраны в/о А-В/1-10</t>
  </si>
  <si>
    <t>Служебное здание АС. Монтаж фасонных элементов парапетов кровли в/о А-В/1-10</t>
  </si>
  <si>
    <t>Служебное здание АС. Монтаж наружных оконных блоков в/о А-В/1-10</t>
  </si>
  <si>
    <t>Исп. схема № 61.17-АР-13 от 13.12.2023. Заполнение монтажных зазоров наружных оконных блоков в/о А-В/1-10</t>
  </si>
  <si>
    <t>Исп. схема № 61.17-АР-14 от 15.12.2023. Герметизация и проклейка диффузионной лентой монтажного стыка оконных блоков в/о А-В/1-10</t>
  </si>
  <si>
    <t>Служебное здание АС. Подготовка к антикоррозийной обработке сварных соединений антенны на кровле</t>
  </si>
  <si>
    <t>Служебное здание АС. Антикоррозийная обработка сварных соединений антенны на кровле</t>
  </si>
  <si>
    <t>Исп. схема № 61.17-АР-СП1 от 21.11.2023  Вертикальность сэндвич-панелей в/о 1-10/А-В; Исп. схема № 61.17-АР-1 от 21.11.2023 Монтаж ограждающих стеновых сэндвич-панелей в/о 1-10/А-В от отм. +0.300 до отм. +9.400; АОРПИ: № АИР 1.2-61.17-АР/1 от 28.09.2023, № АИР 1.2-61.17-АР/2 от 28.09.2023, № АИР 1.2-61.17-АР/3 от 25.10.2023, № АИР 1.2-61.17-АР/32 от 30.10.2023.</t>
  </si>
  <si>
    <t>Исп.схема № 61.17-АР-2 от 21.11.2024 Заполнение минеральной ватой монтажных швов ограждающих стеновых сэндвич-панелей в/о 1-10/А-В от отм. +0.300 до отм. +9.400; АОРПИ № АИР 1.2-61.17-АР/32 от 30.10.2023.</t>
  </si>
  <si>
    <t>Исп. схема № 61.17-АР-3 от 25.11.2023. Монтаж фасонных элементов стеновых сэндвич-панелей и фасада в/о А-М/1-16 от отм. +0.300 до отм. +9.400; АОРПИ № АИР 1.2-61.17-АР/221 от 02.11.2023г., № АИР 1.2-61.17-АР/32 от 30.10.2023г.</t>
  </si>
  <si>
    <t>Исп. схема № 61.17-АР-4 от 30.11.2023. Монтаж внутренних фасонных элементов стеновых сэндвич-панелей в/о А-В/1-10; АОРПИ № АИР 1.2-61.17-АР/221 от 02.11.2023г., № АИР 1.2-61.17-АР/32 от 30.10.2023г.</t>
  </si>
  <si>
    <t>Исп. схема № 61.17-АР-5 от 28.11.2023. Укладка рулонной битумной пароизоляции кровли в/о А-В/1-10; АОРПИ № АИР 1.2-61.17-АР/К2 от 10.11.2023г.</t>
  </si>
  <si>
    <t>Исп. схема № 61.17-АР-6 от 30.11.2023. Укладка минераловатных плит кровли толщ. 100 мм в/о А-В/1-10; АОРПИ № АИР 1.2-61.17-АР/347 от 11.11.2023г.</t>
  </si>
  <si>
    <t>Исп. схема № 61.17-АР-7 от 07.12.2023. Устройство уклонообразующего слоя кровли в/о А-В/1-10; АОРПИ: № АИР 1.2-61.17-АР/321 от 11.10.2023г., № АИР 1.2-61.17-АР/346 от 10.10.2023г., АИР 1.2-61.17-АР/К5 от 10.11.2023г.</t>
  </si>
  <si>
    <t>Исп. схема № 61.17-АР-8 от 11.12.2023. Укладка теплоизоляционных плит толщ. 50 мм в/о А-В/1-10; АОРПИ № АИР 1.2-61.17-АР/320 от 11.10.2023г.</t>
  </si>
  <si>
    <t>Исп. схема № 61.17-АР-9 от 16.12.2023. Укладка кровельной ПВХ мембраны в/о А-В/1-10; АОРПИ № АИР 1.2-61.17-АР/319 от 11.10.2023г.</t>
  </si>
  <si>
    <t>Исп. схема № 61.17-АР-10 от 20.12.2023. Монтаж фасонных элементов парапетов кровли в/о А-В/1-10; АОРПИ № АИР 1.2-61.17-АР/221 от 02.11.2023г., № АИР 1.2-61.17-АР/32 от 30.10.2023г.</t>
  </si>
  <si>
    <t>Исп. схема № 61.17-АР-11 от 20.12.2023. Монтаж пешеходной дорожки в/о А-Б/1-10; АОРПИ № АИР 1.2-61.17-АР/221 от 02.11.2023г., № АИР 1.2-61.17-АР/32 от 30.10.2023г.</t>
  </si>
  <si>
    <t>Исп. схема № 61.17-АР-12 от 12.12.2023. Монтаж наружных оконных блоков в/о А-В/1-10; АОРПИ № АИР 1.2-61.17-АР/4 от 04.12.2023г.</t>
  </si>
  <si>
    <t>Исп. схема № 61.17-АР-15 от 16.12.2023.  Монтаж ворот в/о А/1-4; АОРПИ № АИР 1.2-61.17-АР/6 от 10.12.2023г.</t>
  </si>
  <si>
    <t xml:space="preserve">Исп. схема № 61.17-АР-16 от 13.12.2023. Монтаж наружных дверных блоков в/о А-М/1-16; АОРПИ: № АИР 1.2-61.17-АР/59 от 23.11.2023г., АИР 1.2-61.17-АР/61 от 14.11.2023г. </t>
  </si>
  <si>
    <t>Исп. схема № 61.17-АР-17 от 14.12.2023. Заполнение монтажных зазоров наружных дверных блоков в/о А-В/1-10</t>
  </si>
  <si>
    <t>Исп. схема № 61.17-АР-18 от 15.12.2023. Герметизация монтажных зазоров наружных дверных блоков в/о А-В/1-10</t>
  </si>
  <si>
    <t xml:space="preserve">Служебное здание АС. Монтаж перекрытия лотков ВК из листового металла по уголкам в ж/б конструкциях ФП в/о А-В/2-9 (S перекрытия лотков - 45,23 м²) </t>
  </si>
  <si>
    <t>Служебное здание АС. Монтаж фасонных элементов ворот, оконных и наружных дверных блоков 1 и 2 этажа в/о А-В/1-10 (Длина фасонных элементов 56 м.п.)</t>
  </si>
  <si>
    <t>Исп. схема № 61.17-АР-19 от 19.12.2023. Монтаж фасонных элементов ворот, оконных и наружных дверных блоков 1 и 2 этажа в/о А-В/1-10; АОРПИ: № АИР 1.2-61.17-АР/10Н от 01.12.2023г.,  № АИР 1.2-61.17-АР/221 от 02.11.2023г.</t>
  </si>
  <si>
    <t>Исп. схема № 61.17-АР-20 от 05.02.2024. Монтаж перекрытия лотков ВК из листового металла по уголкам в ж/б конструкциях ФП в/о А-В/2-9; АОРПИ № АИР 1.2-61.17-АР/46 от 27.10.2023г.</t>
  </si>
  <si>
    <t>Служебное здание АС. Укладка пленки 200 мкм под стяжки пола 1 этажа на отм. 0.000 в/о А-В/1-10 (S= 125,12 м2)</t>
  </si>
  <si>
    <t>Исп. схема № 61.17-АР-21 от 29.02.2024. Укладка пленки 200 мкм под стяжки пола 1 этажа на отм. 0.000 в/о А-В/1-10; АОРПИ: № АИР 1.2-61.17-АР/16 от 10.09.2023г.</t>
  </si>
  <si>
    <t>Служебное здание АС. Укладка пленки 200 мкм под стяжки пола 2 этажа в/о А-В/5-10 (S=152,23 м2)</t>
  </si>
  <si>
    <t>Исп. схема № 61.17-АР-22 от 03.03.2024. Укладка пленки 200 мкм под стяжки пола 2 этажа в/о А-В/5-10; АОРПИ: № АИР 1.2-61.17-АР/16 от 10.09.2023 г.</t>
  </si>
  <si>
    <t>Служебное здание АС. Устройство стяжкек пола 1 этажа в/о А-В/5-10 (S=125,12 м2)</t>
  </si>
  <si>
    <t>Исп. схема № 61.17-АР-23 от 04.04.2024.Устройство стяжкек пола 1 этажа в/о А-В/5-10; АОРПИ: № АИР 1.2-61.17-АР/15 от 27.03.2024 г., № АИР 1.2-61.17-АР/33 от 15.09.2023 г., АИР 1.2-61.17-АР/17 от 30.10.2023 г., АИР 1.2-61.17-АР/19Г от 23.10.2023 г.
Акт отбора проб № Р 1-04/04 от 04.04.2024 г., Протокол № Р2-11/04 от 11.04.2024 г.</t>
  </si>
  <si>
    <t>Служебное здание АС. Устройство стяжек пола 2 этажа в/о А-В/1-10 (S= 152,23 м2)</t>
  </si>
  <si>
    <t>Исп. схема № 61.17-АР-24 от 06.04.2024. Устройство стяжек пола 2 этажа в/о А-В/1-10; АОРПИ: № АИР 1.2-61.17-АР/16 от 10.09.2023 г.</t>
  </si>
  <si>
    <t>Служебное здание АС. Грунтование пола 1 этажа в пом. 1.02-1.04, 1.13, 1.28 в/о А-В/1-9 (S=125,12 м2)</t>
  </si>
  <si>
    <t>Исп. схема № 61.17-АР-25 от 07.04.2024.  Грунтование пола 1 этажа в пом. 1.02-1.04, 1.13, 1.28 в/о А-В/1-9; АОРПИ: № АИР 1.2-61.17-АР/64 от 29.03.2024 г.</t>
  </si>
  <si>
    <t>Служебное здание АС. Устройство стяжки пола самовыравнивающейся 1 этажа в/о А-В/2-10 (S=84,02 м2)</t>
  </si>
  <si>
    <t>Исп. схема № 61.17-АР-26 от 07.04.2024. Устройство стяжки пола самовыравнивающейся 1 этажа в/о А-В/2-10; АОРПИ: № АИР 1.2-61.17-АР/15 от 27.03.2024 г., № АИР 1.2-61.17-АР/33 от 15.09.2023 г., АИР 1.2-61.17-АР/17 от 30.10.2023 г., АИР 1.2-61.17-АР/19Г от 23.10.2023 г.
Акт отбора проб № Р 1-07/04 от 07.04.2024г., Протокол № Р2-14/04 от 14.04.2024г.</t>
  </si>
  <si>
    <t>Служебное здание АС. Устройство наливного полиуретанового пола 1 этажа в пом. 1.04, 1.28 в/о А-В/1-5 (S=26,51 м2)</t>
  </si>
  <si>
    <t>Служебное здание АС. Укладка напольного ПВХ покрытия на клею и монтаж ПВХ плинтусов в помещениях 1 этажа в/о А-В/6-10 (S=54,30м2)</t>
  </si>
  <si>
    <t>Исп. схема № 61.17-АР-28 от 16.04.2024 Укладка напольного ПВХ покрытия на клею и монтаж ПВХ плинтусов в помещениях 1 этажа в/о А-В/6-10; АОРПИ: № АИР 1.2-61.17-АР/15 от 27.03.2024 г., № АИР 1.2-61.17-АР/33 от 15.09.2023 г., АИР 1.2-61.17-АР/17 от 30.10.2023 г., АИР 1.2-61.17-АР/19Г от 23.10.2023 г.</t>
  </si>
  <si>
    <t>Исп. схема № 61.17-АР-27 от 15.04.2024. Устройство наливного полиуретанового пола 1 этажа в пом. 1.04, 1.28 в/о А-В/1-5; АОРПИ: № АИР 1.2-61.17-АР/16 от 10.09.2023 г.</t>
  </si>
  <si>
    <t>Служебное здание АС. Нанесение обмазочной гидроизоляции по стяжке с заведением на стены 1 этажа в/о Б-В/5-8 (S=25,48 м2)</t>
  </si>
  <si>
    <t>Исп. схема № 61.17-АР-29 от 19.04.2024.  Нанесение обмазочной гидроизоляции по стяжке с заведением на стены 1 этажа в/о Б-В/5-8; АОРПИ: № АИР 1.2-61.17-АР/16 от 10.09.2023г.</t>
  </si>
  <si>
    <t>Служебное здание АС. Укладка плитки из керамогранита с затиркой швов по полу в помещениях 1 этажа в/о А-В/5-10 (S= 154,23 м2)</t>
  </si>
  <si>
    <t>Исп. схема № 61.17-АР-30 от 25.04.2024.Укладка плитки из керамогранита с затиркой швов по полу в помещениях 1 этажа в/о А-В/5-10; АОРПИ: № АИР 1.2-61.17-АР/15 от 27.03.2024 г., № АИР 1.2-61.17-АР/33 от 15.09.2023 г., АИР 1.2-61.17-АР/17 от 30.10.2023 г., АИР 1.2-61.17-АР/19Г от 23.10.2023 г.</t>
  </si>
  <si>
    <t>Служебное здание АС. Нанесение обмазочной гидроизоляции по стяжке с заведением на стены 2 этажа в/о Б-В/7-9 (S=102,87 м2)</t>
  </si>
  <si>
    <t>Исп. схема № 61.17-АР-31 от 09.05.2024. Нанесение обмазочной гидроизоляции по стяжке с заведением на стены 2 этажа в/о Б-В/7-9; АОРПИ: № АИР 1.2-61.17-АР/47 от 16.02.2024 г., № АИР 1.2-61.17-АР/19Г от 23.10.2023 г.</t>
  </si>
  <si>
    <t>Служебное здание АС. Грунтование поверхности перед укладкой керамогранита по полу в помещениях 2 этажа в/о Б-В/5-10 (S=25,94 м2)</t>
  </si>
  <si>
    <t>Исп. схема № 61.17-АР-32 от 12.05.2024.  Грунтование поверхности перед укладкой керамогранита по полу в помещениях 2 этажа в/о Б-В/5-10; АОРПИ: № АИР 1.2-61.17-АР/47 от 16.02.2024 г., № АИР 1.2-61.17-АР/19Г от 23.10.2023 г.</t>
  </si>
  <si>
    <t>Служебное здание АС.Укладка плитки из керамогранита с затиркой швов по полу в помещениях 2 этажа в/о Б-В/5-10 (S=145,23 м2)</t>
  </si>
  <si>
    <t>Исп. схема № 61.17-АР-33 от 14.05.2024. Укладка плитки из керамогранита с затиркой швов по полу в помещениях 2 этажа в/о Б-В/5-10; АОРПИ: № АИР 1.2-61.17-АР/47 от 16.02.2024 г., № АИР 1.2-61.17-АР/19Г от 23.10.2023 г.</t>
  </si>
  <si>
    <t>Служебное здание АС. Грунтование пола 2 этажа в пом. 2.08 в/о Б-В/5-10 (S=32,10 м2)</t>
  </si>
  <si>
    <t>Исп. схема № 61.17-АР-34 от 29.05.2024. Грунтование пола 2 этажа в пом. 2.08 в/о Б-В/5-10; АОРПИ: № АИР 1.2-61.17-АР/27 от 16.02.2024 г.</t>
  </si>
  <si>
    <t>Служебное здание АС. Устройство стяжки самовыравнивающейся 2 этажа в пом. 2.08 в/о Б-В/5-10 (S=32,10 м2)</t>
  </si>
  <si>
    <t xml:space="preserve">Исп. схема № 61.17-АР-35 от 01.06.2024. Устройство стяжки самовыравнивающейся 2 этажа в пом. 2.08 в/о Б-В/5-10; АОРПИ: № АИР 1.2-61.17-АР/27 от 16.02.2024 </t>
  </si>
  <si>
    <t>Служебное здание АС. Грунтование ровнителя пола 2 этажа в пом. 2.08 в/о Б-В/5-10 (S=32,10 м2)</t>
  </si>
  <si>
    <t>Исп. схема № 61.17-АР-36 от 29.05.2024. Грунтование ровнителя пола 2 этажа в пом. 2.08 в/о Б-В/5-10; АОРПИ: № АИР 1.2-61.17-АР/27 от 16.02.2024 г.</t>
  </si>
  <si>
    <t>Служебное здание АС. Укладка напольного ПВХ покрытия на клею и монтаж ПВХ плинтусов 2 этажа в пом. 2.08 в/о Б-В/5-10 (S=32,10 м2)</t>
  </si>
  <si>
    <t xml:space="preserve">Исп. схема № 61.17-АР-37 от 01.06.2024. Укладка напольного ПВХ покрытия на клею и монтаж ПВХ плинтусов 2 этажа в пом. 2.08 в/о Б-В/5-10; АОРПИ: № АИР 1.2-61.17-АР/27 от 16.02.2024 </t>
  </si>
  <si>
    <t>Служебное здание АС. Устройство откосов дверей и оконных проемов 1 этажа в/о А-В/1-10 (Общей площадью - 58,04 м2)</t>
  </si>
  <si>
    <t>Служебное здание АС. Устройство откосов дверей и оконных проемов 2 этажа в/о А-В/5-10 (Общей площадью - 49,85 м2)</t>
  </si>
  <si>
    <t>Служебное здание АС. Монтаж доборов и наличников МДФ дверей на 1 этаже  в/о А-В/1-10 и 2 этаже в/о А-В/5-10</t>
  </si>
  <si>
    <t>Исп. схема № 61.17-АР-38 от 19.03.2024. Монтаж облицовок и перегородок 1 этажа в/о А-В/1-10 ; АОРПИ: № АИР 1.2-61.17-АР/31 от 11.09.2023г., № АИР 1.2-61.17-АР/20 от 05.09.2023г., № АИР 1.2-61.17-АР/23 от 19.09.2023г., № АИР 1.2-61.17-АР/113 от 08.09.2023г., № АИР 1.2-61.17-АР/18 от 25.09.2023г., № АИР 1.2-61.17-АР/19 от 15.09.2023г., № АИР 1.2-61.17-АР/24 от 30.01.2024г., № АИР 1.2-61.17-АР/35 от 06.09.2023г., № АИР 1.2-61.17-АР/25 от 28.11.2023г., № АИР 1.2-61.17-АР/30К от 17.10.2023г.</t>
  </si>
  <si>
    <t>Служебное здание АС. Грунтование перегородок и облицовок, в т.ч. откосов на 1 этаже в/о А-В/1-10 (Общей площадью - 78,26 м2)</t>
  </si>
  <si>
    <t xml:space="preserve">Исп. схема № 61.17-АР-40 от 09.05.2024. Грунтование перегородок и облицовок, в т.ч. откосов на 1 этаже в/о А-В/1-10; АОРПИ № АИР 1.2-61.17-АР/24 от 30.01.2024г. </t>
  </si>
  <si>
    <t>Служебное здание АС. Штукатурка перегородок и облицовок на 1 этаже в/о А-В/1-10 (Общей площадью - 78,26 м2)</t>
  </si>
  <si>
    <t>Исп. схема № 61.17-АР-41 от 12.05.2024. Штукатурка перегородок и облицовок на 1 этаже в/о А-В/1-10; АОРПИ № АИР 1.2-61.17-АР/52 от 14.11.2023г., № АИР 1.2-61.17-АР/60 от 16.02.2024г.</t>
  </si>
  <si>
    <t>Служебное здание АС. Грунтование перегородок и облицовок на 1 этаже. в/о А-В/1-10 (Общей площадью - 78,26 м2)</t>
  </si>
  <si>
    <t xml:space="preserve">Исп. схема № 61.17-АР-42 от 12.05.2024.  Грунтование перегородок и облицовок на 1 этаже. в/о А-В/1-10; АОРПИ № АИР 1.2-61.17-АР/24 от 30.01.2024г. </t>
  </si>
  <si>
    <t>Служебное здание АС. Шпатлевание перегородок и облицовок, в т.ч. откосов на 1 этаже в/о А-В/1-10 (Общей площадью - 87,52 м2)</t>
  </si>
  <si>
    <t>Исп. схема № 61.17-АР-43 от 15.05.2024. Шпатлевание перегородок и облицовок, в т.ч. откосов на 1 этаже в/о А-В/1-10; АОРПИ № АИР 1.2-61.17-АР/52 от 14.11.2023г., № АИР 1.2-61.17-АР/60 от 16.02.2024г.</t>
  </si>
  <si>
    <t>Служебное здание АС. Грунтование перегородок и облицовок, в т.ч. откосов на 1 этаже. в/о А-В/1-10 (Общей площадью - 87,52 м2)</t>
  </si>
  <si>
    <t xml:space="preserve">Исп. схема № 61.17-АР-44 от 12.05.2024. Грунтование перегородок и облицовок, в т.ч. откосов на 1 этаже. в/о А-В/1-10; АОРПИ № АИР 1.2-61.17-АР/24 от 30.01.2024г. </t>
  </si>
  <si>
    <t>Служебное здание АС. Окраска в 2 слоя перегородок и облицовок, в т.ч. откосов на 1 этаже в/о А-В/1-10 (S=87,52 м2)</t>
  </si>
  <si>
    <t xml:space="preserve">Исп. схема № 61.17-АР-45 от 23.05.2024. Окраска в 2 слоя перегородок и облицовок, в т.ч. откосов на 1 этаже в/о А-В/1-10; АОРПИ: № АИР 1.2-61.17-АР/60 от 16.02.2024г. </t>
  </si>
  <si>
    <t>Служебное здание АС. Укладка керамической плитки и запирка швов по перегородкам и облицовкам на 1 этаже в/о А-В/1-10 (S=45,61 м2)</t>
  </si>
  <si>
    <t xml:space="preserve">Исп. схема № 61.17-АР-46 от 16.05.2024. Укладка керамической плитки и запирка швов по перегородкам и облицовкам на 1 этаже в/о А-В/1-10; АОРПИ № АИР 1.2-61.17-АР/49 от 16.02.2024г., № АИР 1.2-61.17-АР/20Г от 30.09.2023г. </t>
  </si>
  <si>
    <t>Служебное здание АС. Грунтование перегородок и облицовок, в т.ч. откосов на 2 этаже в/о А-В/5-10 (Общей площадью - 79,58 м2)</t>
  </si>
  <si>
    <t xml:space="preserve">Исп. схема № 61.17-АР-47 от 09.05.2024. Грунтование перегородок и облицовок, в т.ч. откосов на 2 этаже в/о А-В/5-10; АОРПИ № АИР 1.2-61.17-АР/24 от 30.01.2024г. </t>
  </si>
  <si>
    <t>Служебное здание АС. Штукатурка перегородок и облицовок на 2 этаже в/о А-В/5-10 (Общей площадью - 79,58 м2)</t>
  </si>
  <si>
    <t>Исп. схема № 61.17-АР-48 от 12.05.2024. Штукатурка перегородок и облицовок на 2 этаже в/о А-В/5-10; АОРПИ № АИР 1.2-61.17-АР/52 от 14.11.2023г., № АИР 1.2-61.17-АР/60 от 16.02.2024г.</t>
  </si>
  <si>
    <t>Служебное здание АС. Грунтование перегородок и облицовок на 2 этаже. в/о А-В/51-10 (Общей площадью - 79,58 м2)</t>
  </si>
  <si>
    <t xml:space="preserve">Исп. схема № 61.17-АР-49 от 12.05.2024. Грунтование перегородок и облицовок на 2 этаже. в/о А-В/51-10; АОРПИ № АИР 1.2-61.17-АР/24 от 30.01.2024г. </t>
  </si>
  <si>
    <t>Служебное здание АС. Шпатлевание перегородок и облицовок, в т.ч. откосов на 2 этаже в/о А-В/5-10 (Общей площадью - 79,58 м2)</t>
  </si>
  <si>
    <t>Исп. схема № 61.17-АР-50 от 15.05.2024. Шпатлевание перегородок и облицовок, в т.ч. откосов на 2 этаже в/о А-В/5-10; АОРПИ № АИР 1.2-61.17-АР/52 от 14.11.2023г., № АИР 1.2-61.17-АР/60 от 16.02.2024г.</t>
  </si>
  <si>
    <t>Служебное здание АС. Грунтование перегородок и облицовок, в т.ч. откосов на 2 этаже. в/о А-В/5-10 (Общей площадью - 79,58 м2)</t>
  </si>
  <si>
    <t xml:space="preserve">Исп. схема № 61.17-АР-51 от 12.05.2024. Грунтование перегородок и облицовок, в т.ч. откосов на 2 этаже. в/о А-В/5-10; АОРПИ № АИР 1.2-61.17-АР/24 от 30.01.2024г. </t>
  </si>
  <si>
    <t>Служебное здание АС. Окраска в 2 слоя перегородок и облицовок, в т.ч. откосов на 2 этаже в/о А-В/5-10 (S=54,84 м2)</t>
  </si>
  <si>
    <t xml:space="preserve">Исп. схема № 61.17-АР-52 от 23.05.2024. Окраска в 2 слоя перегородок и облицовок, в т.ч. откосов на 2 этаже в/о А-В/5-10; АОРПИ: № АИР 1.2-61.17-АР/60 от 16.02.2024г. </t>
  </si>
  <si>
    <t xml:space="preserve">Исп. схема № 61.17-АР-53 от 16.05.2024. Укладка керамической плитки и запирка швов по перегородкам и облицовкам на 2 этаже в/о А-В/5-10; АОРПИ № АИР 1.2-61.17-АР/49 от 16.02.2024г., № АИР 1.2-61.17-АР/20Г от 30.09.2023г. </t>
  </si>
  <si>
    <t>Исп. схема № 61.17-АР-54 от 04.05.2024.  Монтаж внутренних противопожарных дверных блоков 1 этажа в/о А-В/4-10; АОРПИ: № АИР 1.2-61.17-АР/59 от 23.11.2023г., № АИР 1.2-61.17-АР/62 от 16.11.2023г., № АИР 1.2-61.17-АР/63 от 20.11.2023г.</t>
  </si>
  <si>
    <t xml:space="preserve">Исп. схема № 61.17-АР-55 от 05.05.2024. Монтаж внутренних дверных МДФ блоков на 1 этаже в/о Б-В/5-1; АОРПИ: № АИР 1.2-61.17-АР/54 от 22.03.2024г. </t>
  </si>
  <si>
    <t>Исп. схема № 61.17-АР-56 от 05.05.2024. Заполнение монтажных зазоров внутренних противопожарных дверных блоков 1 этажа в/о А-В/5-10</t>
  </si>
  <si>
    <t>Исп. схема № 61.17-АР-57 от 08.05.2024. Монтаж внутренних противопожарных дверных блоков 2 этажа в/о А-В/5-10; АОРПИ: № АИР 1.2-56-АР/59 от 23.11.2023г., № АИР 1.2-56-АР/62 от 16.11.2023г., № АИР 1.2-56-АР/63 от 20.11.2023г.</t>
  </si>
  <si>
    <t xml:space="preserve">Исп. схема № 61.17-АР-59 от 12.05.2024. Монтаж внутренних дверных МДФ блоков на 2 этаже в/о Б-В/5.1-10; АОРПИ № АИР 1.2-61.17-АР/54 от 22.03.2024г. </t>
  </si>
  <si>
    <t>Исп. схема № 61.17-АР-60 от 13.05.2024. Заполнение монтажных зазоров дверных МДФ блоков на 1 этаже в/о Б-В/5-10, на 2 этаже в/о Б-В/5.1-10</t>
  </si>
  <si>
    <t xml:space="preserve">Исп. схема № 61.17-АР-61 от 06.05.2024. Монтаж подоконников 1 этажа в/о А-В/6-10 и 2 этажа в/о А-В/5-10; АОРПИ № АИР 1.2-61.17-АР/53 от 16.10.2023г. </t>
  </si>
  <si>
    <t>Исп. схема № 61.17-АР-62 от 08.05.2024. Устройство откосов дверей и оконных проемов 1 этажа в/о А-В/1-10; АОРПИ: № АИР 1.2-61.17-АР/18 от 25.09.2023г., № АИР 1.2-61.17-АР/19 от 15.09.2023г., № АИР 1.2-61.17-АР/113 от 08.09.2023г.</t>
  </si>
  <si>
    <t>Исп. схема № 61.17-АР-63 от 12.05.2024. Устройство откосов дверей и оконных проемов 2 этажа в/о А-В/5-10; АОРПИ: № АИР 1.2-61.17-АР/18 от 25.09.2023г., № АИР 1.2-61.17-АР/19 от 15.09.2023г., № АИР 1.2-61.17-АР/113 от 08.09.2023г.</t>
  </si>
  <si>
    <t xml:space="preserve">Исп. схема № 61.17-АР-64 от 24.05.2024. Монтаж доборов и наличников МДФ дверей на 1 этаже  в/о А-В/1-10 и 2 этаже в/о А-В/5-10; АОРПИ № АИР 1.2-61.17-АР/54 от 22.03.2024г. </t>
  </si>
  <si>
    <t>Служебное здание АС. Грунтование потолков 1 этажа лестничных клеток, в т.ч. низа и торцов лестничных маршей и переходных площадок в/о А-Б/5-5.1 и А-Б/9-10 (Общей площадью - 54,26 м2)</t>
  </si>
  <si>
    <t xml:space="preserve">Исп. схема № 61.17-АР-65 от 09.05.2024. Грунтование потолков 1 этажа лестничных клеток, в т.ч. низа и торцов лестничных маршей и переходных площадок в/о А-Б/5-5.1 и А-Б/9-10; АОРПИ № АИР 1.2-61.17-АР/24 от 30.01.2024г. </t>
  </si>
  <si>
    <t>Служебное здание АС. Штукатурка потолков 1 этажа лестничных клеток, в т.ч. низа и торцов лестничных маршей и переходных площадок в/о А-Б/5-5.1 и А-Б/9-10 (Общей площадью - 54,26 м2)</t>
  </si>
  <si>
    <t xml:space="preserve">Исп. схема № 61.17-АР-66 от 12.05.2024. Штукатурка потолков 1 этажа лестничных клеток, в т.ч. низа и торцов лестничных маршей и переходных площадок в/о А-Б/5-5.1 и А-Б/9-10; АОРПИ № АИР 1.2-61.17-АР/50 от 13.12.2023г. </t>
  </si>
  <si>
    <t>Служебное здание АС. Грунтование перед шпатлеванием потолков 1 этажа лестничных клеток, в т.ч. низа и торцов лестничных маршей и переходных площадок в/о А-Б/5-5.1 и А-Б/9-10 (Общей площадью - 54,26 м2)</t>
  </si>
  <si>
    <t xml:space="preserve">Исп. схема № 61.17-АР-67 от 13.05.2024. Грунтование перед шпатлеванием потолков 1 этажа лестничных клеток, в т.ч. низа и торцов лестничных маршей и переходных площадок в/о А-Б/5-5.1 и А-Б/9-10; АОРПИ № АИР 1.2-61.17-АР/24 от 30.01.2024г. </t>
  </si>
  <si>
    <t>Служебное здание АС. Шпатлевание потолков 1 этажа лестничных клеток, в т.ч. низа и торцов лестничных маршей и переходных площадок в/о А-Б/5-5.1 и А-Б/9-10 (Общей площадью - 54,26 м2)</t>
  </si>
  <si>
    <t xml:space="preserve">Исп. схема № 61.17-АР-68 от 15.05.2024. Шпатлевание потолков 1 этажа лестничных клеток, в т.ч. низа и торцов лестничных маршей и переходных площадок в/о А-Б/5-5.1 и А-Б/9-10; АОРПИ № АИР 1.2-61.17-АР/50 от 13.12.2023г. </t>
  </si>
  <si>
    <t>Служебное здание АС. Грунтование стен лестничной клетки, в т.ч. низа и торцов лестничных маршей и переходных площадок в/о А-Б/5-5.1 и А-Б/9-10 (Общей площадью - 64,19 м2)</t>
  </si>
  <si>
    <t xml:space="preserve">Исп. схема № 61.17-АР-69 от 16.05.2024.  Грунтование стен лестничной клетки, в т.ч. низа и торцов лестничных маршей и переходных площадок в/о А-Б/5-5.1 и А-Б/9-10; АОРПИ № АИР 1.2-61.17-АР/24 от 30.01.2024г. </t>
  </si>
  <si>
    <t>Служебное здание АС. Штукатурка стен лестничных клеток в/о А-Б/5-5.1 и А-Б/9-10 (Общей площадью - 64,19 м2)</t>
  </si>
  <si>
    <t xml:space="preserve">Исп. схема № 61.17-АР-70 от 18.05.2024. Штукатурка стен лестничных клеток в/о А-Б/5-5.1 и А-Б/9-10; АОРПИ № АИР 1.2-61.17-АР/50 от 13.12.2023г. </t>
  </si>
  <si>
    <t>Служебное здание АС. Грунтование перед шпаклевкой стен лестничных клеток в/о А-Б/5-5.1 и А-Б/9-10 (Общей площадью - 64,19 м2)</t>
  </si>
  <si>
    <t xml:space="preserve">Исп. схема № 61.17-АР-71 от 19.05.2024. Грунтование перед шпаклевкой стен лестничных клеток в/о А-Б/5-5.1 и А-Б/9-10; АОРПИ № АИР 1.2-61.17-АР/24 от 30.01.2024г. </t>
  </si>
  <si>
    <t>Служебное здание АС. Шпатлевание стен лестничных клеток в/о А-Б/5-5.1 и А-Б/9-10 (Общей площадью - 64.19 м2)</t>
  </si>
  <si>
    <t xml:space="preserve">Исп. схема № 61.17-АР-72 от 21.05.2024.  Шпатлевание стен лестничных клеток в/о А-Б/5-5.1 и А-Б/9-10; АОРПИ № АИР 1.2-61.17-АР/50 от 13.12.2023г. </t>
  </si>
  <si>
    <t>Служебное здание АС. Грунтование стен и потолков 1 этажа перед покраской лестничных клеток, в т.ч. низа и торцов лестничных маршей и переходных площадок в/о А-Б/5-5.1 и А-Б/9-10 (Общей площадью - 74,56 м2)</t>
  </si>
  <si>
    <t xml:space="preserve">Исп. схема № 61.17-АР-73 от 05.06.2024. Грунтование стен и потолков 1 этажа перед покраской лестничных клеток, в т.ч. низа и торцов лестничных маршей и переходных площадок в/о А-Б/5-5.1 и А-Б/9-10; АОРПИ № АИР 1.2-61.17-АР/24 от 30.01.2024г. </t>
  </si>
  <si>
    <t>Служебное здание АС. Окраска в 2 слоя стен и потолков 1 этажа лестничных клеток, в т.ч. низа и торцов лестничных маршей и переходных площадок в/о А-Б/5-5.1 и А-Б/9-10 (Общей площадью - 74,56 м2)</t>
  </si>
  <si>
    <t>Исп. схема № 61.17-АР-75 от 20.05.2024. Монтаж подвесной системы потолков в помещениях 1 этаже в/о А-В/3-10; АОРПИ № АИР-1.2-61.17-АР/55 от 22.03.2024г.</t>
  </si>
  <si>
    <t>Исп. схема № 61.17-АР-76 от 27.05.2024. Монтаж подвесной системы потолков в помещениях 2 этажа, в т.ч. лестничных клеток в/о А-В/5-10; АОРПИ № АИР-1.2-61.17-АР/55 от 22.03.2024г.</t>
  </si>
  <si>
    <t>Исп. схема № 61.17-АР-77 от 27.05.2024. Монтаж потолочных плит и кассет в помещениях 1 этажа в/о А-В/3-10; АОРПИ: № АИР-1.2-61.17-АР/58 от 22.03.2024г., № АИР-1.2-61.17-АР/56 от 22.03.2024г.</t>
  </si>
  <si>
    <t>Служебное здание АС. Монтаж потолочных плит и кассет в помещениях 2 этажа в/о А-В/5-10 (S=298,08 м2)</t>
  </si>
  <si>
    <t>Исп. схема № 61.17-АР-78 от 08.06.2024. Монтаж потолочных плит и кассет в помещениях 2 этажа в/о А-В/5-10; АОРПИ: № АИР-1.2-61.17-АР/58 от 22.03.2024г., № АИР-1.2-61.17-АР/56 от 22.03.2024г., № АИР-1.2-61.17-АР/57 от 25.06.2024г.</t>
  </si>
  <si>
    <t>Исп. схема № 61.17-АР-79 от 31.05.2024. Монтаж ограждений лестничных маршей в/о  А-Б/5-5.1 и А-Б/9-10 ; АОРПИ; № АИР 1.2-61.17-АР/43 от 04.03.2024г.</t>
  </si>
  <si>
    <t>Служебное здание АС. Монтаж люков ревизионных инженерных сетей на 1 этаже в/о А-В/5.1-9 и 2 этаже в/о А-В/7-10 (Общее кол-во - 13 шт)</t>
  </si>
  <si>
    <t>Исп. схема № 61.17-АР-80 от 23.05.2024. Монтаж люков ревизионных инженерных сетей на 1 этаже в/о А-В/5.1-9 и 2 этаже в/о А-В/7-10; АОРПИ № АИР 1.2-61.17-АР/65 от 18.02.2024г.</t>
  </si>
  <si>
    <t>Исп. схема № 61.17-АР-81 от 21.05.2024. Монтаж антенны на кровле; АОРПИ № АИР 1.2-61.17-АР/130р от 08.12.2023г.</t>
  </si>
  <si>
    <t>Исп. схема № 61.17-АР-82 от 22.05.2024. Подготовка к антикоррозийной обработке сварных соединений антенны на кровле</t>
  </si>
  <si>
    <t>Исп. схема № 61.17-АР-83 от 23.05.2024. Антикоррозийная обработка сварных соединений антенны на кровле</t>
  </si>
  <si>
    <t>Служебное здание АС. Монтаж сантехнических кабин в пом. санузлов на 1 и 2 этаже (S=10,1 м2)</t>
  </si>
  <si>
    <t>Исп. схема № 61.17-АР-84 от 19.06.2024. Монтаж сантехнических кабин в пом. санузлов на 1 и 2 этаже;  АОСР № АИР-1.2-61.17-АР/45 от 16.06.2024г.</t>
  </si>
  <si>
    <t>Служебное здание АС. Монтаж подсистемы обшивки цоколя в/о А-В/1-10 (S=48,60 м2)</t>
  </si>
  <si>
    <t>Исп. схема № 61.17-АР-85 от 05.09.2024. Монтаж подсистемы обшивки цоколя в/о А-В/1-10; АОРПИ № АИР 1.2-61.17-АР/44 от 29.02.2024г.</t>
  </si>
  <si>
    <t>Служебное здание АС. Утепление цокольной части здания минеральной ватой в/о А-В/1-10 (S=48,60 м2)</t>
  </si>
  <si>
    <t>Исп. схема № 61.17-АР-86 от 08.09.2024. Утепление цокольной части здания минеральной ватой в/о А-В/1-10; АОРПИ:  № АИР 1.2-61.17-АР/36 от 12.10.2023г., № АИР 1.2-61.17АР/37 от 13.10.2023г., № АИР 1.2-61.17-АР/38 от 27.09.2023г., № АИР 1.2-61.17-АР/44 от 29.02.2024г.</t>
  </si>
  <si>
    <t>Служебное здание АС. Монтаж керамогранитных плит обшивки цоколя в/о А-В/1-10 (S=48,60 м2)</t>
  </si>
  <si>
    <t>Исп. схема № 61.17-АР-87 от 11.09.2024. Монтаж керамогранитных плит обшивки цоколя в/о А-В/1-10; АОРПИ № АИР 1.2-61.17-АР/39 от 25.10.2023г.</t>
  </si>
  <si>
    <t>Служебное здание АС. Монтаж фасонных элементов цоколя в/о А-В/1-10 (Общая длина - 320,00 м.п.)</t>
  </si>
  <si>
    <t xml:space="preserve">Исп. схема № 61.17-АР-88 от 14.09.2024. Монтаж фасонных элементов цоколя в/о А-В/1-10; АОРПИ: № АИР 1.2-61.17-АР/221 от 06.12.2023г., № АИР 1.2-61.17-АР/41 от 02.11.2023г. </t>
  </si>
  <si>
    <t>Служебное здание АС. Монтаж стенового клапана дымоудаления в/о А-Б/1-2 (Кол-во - 1 шт)</t>
  </si>
  <si>
    <t>Исп. схема № 61.17-АР-89 от 13.09.2024. Монтаж стенового клапана дымоудаления в/о А-Б/1-2; АОРПИ: № АИР 1.2-61.17-АР/221 от 06.12.2023г.</t>
  </si>
  <si>
    <t>Служебное здание АС. Монтаж покрытия козырьков крылец в/о А-В/1-10 (Общее кол-во - 7 шт)</t>
  </si>
  <si>
    <t>Исп. схема № 61.17-АР-90 от 12.05.2024. Монтаж покрытия козырьков крылец в/о А-В/1-10; АОРПИ № АИР 1.2-61.17-АР200 от 15.04.2024г.</t>
  </si>
  <si>
    <t>Служебное здание АС. Монтаж фасонных элементов козырьков крылец в/о А-В/1-10 (Общее кол-во - 56,43 м.п.)</t>
  </si>
  <si>
    <t>Исп. схема № 61.17-АР-91 от 12.05.2024.Монтаж фасонных элементов козырьков крылец в/о А-В/1-10; АОРПИ: № АИР 1.2-61.17-АР/221 от 06.12.2023г.</t>
  </si>
  <si>
    <t xml:space="preserve">СП 48.13330.2019 "Организация строительства", СП 49.13330.2010 "Безопасность труда в строительстве. Общие требования", СП 70.13330.2012 "Несущие и ограждающие конструкции", проект шифр ПП2020РД-1.2-61.17-АР изм.3; </t>
  </si>
  <si>
    <t xml:space="preserve">СП 48.13330.2019 "Организация строительства", СП 49.13330.2010 "Безопасность труда в строительстве. Общие требования", СП 71.13330.2017 "Изоляционные и отделочные покрытия", проект шифр ПП2020РД-1.2-61.17-АР изм.3; </t>
  </si>
  <si>
    <t xml:space="preserve">СП 48.13330.2019 "Организация строительства", СП 49.13330.2010 "Безопасность труда в строительстве. Общие требования", проект шифр ПП2020РД-1.2-61.17-АР изм.3; </t>
  </si>
  <si>
    <t xml:space="preserve">СП 48.13330.2019 "Организация строительства", СП 49.13330.2010 "Безопасность труда в строительстве. Общие требования", СП 71.13330.2017 "Изоляционные и отделочные покрытия", ГОСТ 30971-2012 "Швы монтажные узлов примыкания оконных блоков к стеновым проемам", проект шифр ПП2020РД-1.2-61.17-АР изм.3; </t>
  </si>
  <si>
    <t xml:space="preserve">СП 48.13330.2019 "Организация строительства", СП 49.13330.2010 "Безопасность труда в строительстве. Общие требования", 
СП 163.1325800.2014 "Конструкции с применением гипсокартонных и гипсоволокнистых листов", 
проект шифр ПП2020РД-1.2-61.17-АР изм.3; </t>
  </si>
  <si>
    <t>Исп. схема № 61.17-АР-39 от 25.03.2024. Монтаж облицовок 2 этажа в/о А-В/5-10; АОРПИ: № АИР 1.2-61.17-АР/31 от 11.09.2023г., № АИР 1.2-61.17-АР/20 от 05.09.2023г., № АИР 1.2-61.17-АР/30 от 30.08.2023г., № АИР 1.2-61.17-АР/29 от 23.10.2023г., № АИР 1.2-61.17-АР/23 от 19.09.2023г., № АИР 1.2-61.17-АР/113 от 08.09.2023г., № АИР 1.2-61.17-АР/18 от 25.09.2023г., № АИР 1.2-61.17-АР/19 от 15.09.2023г., № АИР 1.2-61.17-АР/24 от 30.01.2024г., № АИР 1.2-61.17-АР/35 от 06.09.2023г., № АИР 1.2-61.17-АР/25 от 28.11.2023г., № АИР 1.2-61.17-АР/30К от 17.10.2023г.</t>
  </si>
  <si>
    <t>шпатлеванию перегородок и зашивок, в т.ч. откосов</t>
  </si>
  <si>
    <t>грунтовке перед окраской перегородок и зашивок, в т.ч. откосов</t>
  </si>
  <si>
    <t>устройству стяжки пола</t>
  </si>
  <si>
    <t xml:space="preserve">устройству стяжки пола на </t>
  </si>
  <si>
    <t xml:space="preserve">устройству стяжки пола </t>
  </si>
  <si>
    <t>Исп. схема № 61.17-АР-58 от 10.05.2024. Заполнение монтажных зазоров внутренних противопожарных дверных блоков 2 этажа в/о А-В/5-10</t>
  </si>
  <si>
    <t xml:space="preserve">Исп. схема № 61.17-АР-74 от 11.06.2024. Окраска в 2 слоя стен и потолков 1 этажа лестничных клеток, в т.ч. низа и торцов лестничных маршей и переходных площадок в/о А-Б/5-5.1 и А-Б/9-10; АОРПИ: № АИР 1.2-61.17-АР/50 от 13.12.2023г., № АИР 1.2-61.17-АР/60 от 16.02.2024г. </t>
  </si>
  <si>
    <t>Должен быт наливной пол!!!!</t>
  </si>
  <si>
    <t>Служебное здание АС. Укладка керамической плитки и затирка швов по перегородкам и облицовкам на 2 этаже в/о А-В/5-10 (S=24,74 м2)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</si>
</sst>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[$-F800]dddd\,\ mmmm\ dd\,\ yyyy"/>
    <numFmt numFmtId="165" formatCode="_-* #,##0.00\ _₽_-;\-* #,##0.00\ _₽_-;_-* &quot;-&quot;??\ _₽_-;_-@_-"/>
  </numFmts>
  <fonts count="57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Arial Cyr"/>
      <charset val="204"/>
    </font>
    <font>
      <sz val="10"/>
      <name val="Arial"/>
      <family val="2"/>
      <charset val="204"/>
    </font>
    <font>
      <sz val="8"/>
      <name val="Arial Cyr"/>
      <charset val="204"/>
    </font>
    <font>
      <b/>
      <sz val="12"/>
      <name val="Times New Roman"/>
      <family val="1"/>
      <charset val="204"/>
    </font>
    <font>
      <b/>
      <sz val="10"/>
      <name val="Times New Roman"/>
      <family val="1"/>
      <charset val="204"/>
    </font>
    <font>
      <i/>
      <sz val="10"/>
      <name val="Times New Roman"/>
      <family val="1"/>
      <charset val="204"/>
    </font>
    <font>
      <i/>
      <u/>
      <sz val="10"/>
      <name val="Times New Roman"/>
      <family val="1"/>
      <charset val="204"/>
    </font>
    <font>
      <sz val="10"/>
      <name val="Times New Roman"/>
      <family val="1"/>
      <charset val="204"/>
    </font>
    <font>
      <sz val="8"/>
      <name val="Times New Roman"/>
      <family val="1"/>
      <charset val="204"/>
    </font>
    <font>
      <i/>
      <sz val="8"/>
      <name val="Times New Roman"/>
      <family val="1"/>
      <charset val="204"/>
    </font>
    <font>
      <sz val="10"/>
      <name val="Arial"/>
      <family val="2"/>
      <charset val="204"/>
    </font>
    <font>
      <b/>
      <sz val="11"/>
      <color indexed="8"/>
      <name val="Times New Roman"/>
      <family val="1"/>
      <charset val="204"/>
    </font>
    <font>
      <i/>
      <sz val="11"/>
      <name val="Times New Roman"/>
      <family val="1"/>
      <charset val="204"/>
    </font>
    <font>
      <i/>
      <u/>
      <sz val="11"/>
      <name val="Times New Roman"/>
      <family val="1"/>
      <charset val="204"/>
    </font>
    <font>
      <sz val="11"/>
      <name val="Times New Roman"/>
      <family val="1"/>
      <charset val="204"/>
    </font>
    <font>
      <b/>
      <sz val="11"/>
      <name val="Times New Roman"/>
      <family val="1"/>
      <charset val="204"/>
    </font>
    <font>
      <sz val="11"/>
      <color indexed="8"/>
      <name val="Times New Roman"/>
      <family val="1"/>
      <charset val="204"/>
    </font>
    <font>
      <b/>
      <i/>
      <sz val="11"/>
      <name val="Times New Roman"/>
      <family val="1"/>
      <charset val="204"/>
    </font>
    <font>
      <sz val="11"/>
      <color theme="1"/>
      <name val="Calibri"/>
      <family val="2"/>
      <scheme val="minor"/>
    </font>
    <font>
      <u/>
      <sz val="10"/>
      <name val="Times New Roman"/>
      <family val="1"/>
      <charset val="204"/>
    </font>
    <font>
      <b/>
      <sz val="8"/>
      <name val="Times New Roman"/>
      <family val="1"/>
      <charset val="204"/>
    </font>
    <font>
      <sz val="7"/>
      <name val="Times New Roman"/>
      <family val="1"/>
      <charset val="204"/>
    </font>
    <font>
      <u/>
      <sz val="7"/>
      <name val="Times New Roman"/>
      <family val="1"/>
      <charset val="204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i/>
      <sz val="7"/>
      <name val="Times New Roman"/>
      <family val="1"/>
      <charset val="204"/>
    </font>
    <font>
      <b/>
      <sz val="9"/>
      <name val="Times New Roman"/>
      <family val="1"/>
      <charset val="204"/>
    </font>
    <font>
      <b/>
      <sz val="16"/>
      <name val="Times New Roman"/>
      <family val="1"/>
      <charset val="204"/>
    </font>
    <font>
      <b/>
      <i/>
      <sz val="8"/>
      <name val="Times New Roman"/>
      <family val="1"/>
      <charset val="204"/>
    </font>
    <font>
      <b/>
      <i/>
      <u/>
      <sz val="10"/>
      <name val="Times New Roman"/>
      <family val="1"/>
      <charset val="204"/>
    </font>
    <font>
      <b/>
      <sz val="7"/>
      <name val="Times New Roman"/>
      <family val="1"/>
      <charset val="204"/>
    </font>
    <font>
      <b/>
      <sz val="10"/>
      <color theme="0"/>
      <name val="Times New Roman"/>
      <family val="1"/>
      <charset val="204"/>
    </font>
    <font>
      <b/>
      <sz val="7"/>
      <color indexed="8"/>
      <name val="Times New Roman"/>
      <family val="1"/>
      <charset val="204"/>
    </font>
    <font>
      <b/>
      <sz val="8"/>
      <color indexed="8"/>
      <name val="Times New Roman"/>
      <family val="1"/>
      <charset val="204"/>
    </font>
    <font>
      <sz val="9"/>
      <name val="Times New Roman"/>
      <family val="1"/>
      <charset val="204"/>
    </font>
    <font>
      <sz val="10"/>
      <name val="Arial Cyr"/>
      <family val="2"/>
      <charset val="204"/>
    </font>
    <font>
      <sz val="10"/>
      <name val="Arial"/>
      <family val="2"/>
      <charset val="204"/>
    </font>
    <font>
      <sz val="10"/>
      <color theme="1"/>
      <name val="Times New Roman"/>
      <family val="1"/>
      <charset val="204"/>
    </font>
    <font>
      <sz val="8"/>
      <color rgb="FF000000"/>
      <name val="Segoe UI"/>
      <family val="2"/>
      <charset val="204"/>
    </font>
    <font>
      <sz val="13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i/>
      <sz val="11"/>
      <color theme="1"/>
      <name val="Times New Roman"/>
      <family val="1"/>
      <charset val="204"/>
    </font>
    <font>
      <sz val="10"/>
      <color rgb="FF000000"/>
      <name val="Times New Roman"/>
      <family val="1"/>
      <charset val="204"/>
    </font>
    <font>
      <i/>
      <sz val="12"/>
      <name val="Times New Roman"/>
      <family val="1"/>
      <charset val="204"/>
    </font>
    <font>
      <sz val="11"/>
      <color rgb="FFFF0000"/>
      <name val="Times New Roman"/>
      <family val="1"/>
      <charset val="204"/>
    </font>
    <font>
      <sz val="10"/>
      <color rgb="FFFF0000"/>
      <name val="Times New Roman"/>
      <family val="1"/>
      <charset val="204"/>
    </font>
  </fonts>
  <fills count="5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B2B2B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66FFCC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4B183"/>
        <bgColor indexed="64"/>
      </patternFill>
    </fill>
    <fill>
      <patternFill patternType="solid">
        <fgColor rgb="FF6666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99FF33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DA9694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</borders>
  <cellStyleXfs count="57">
    <xf numFmtId="0" fontId="0" fillId="0" borderId="0"/>
    <xf numFmtId="0" fontId="11" fillId="0" borderId="0"/>
    <xf numFmtId="0" fontId="11" fillId="0" borderId="0"/>
    <xf numFmtId="0" fontId="10" fillId="0" borderId="0"/>
    <xf numFmtId="0" fontId="20" fillId="0" borderId="0"/>
    <xf numFmtId="0" fontId="9" fillId="0" borderId="0"/>
    <xf numFmtId="0" fontId="28" fillId="0" borderId="0"/>
    <xf numFmtId="0" fontId="11" fillId="0" borderId="0"/>
    <xf numFmtId="0" fontId="8" fillId="0" borderId="0"/>
    <xf numFmtId="0" fontId="7" fillId="0" borderId="0"/>
    <xf numFmtId="0" fontId="11" fillId="0" borderId="0"/>
    <xf numFmtId="0" fontId="11" fillId="0" borderId="0" applyNumberFormat="0" applyFont="0" applyFill="0" applyBorder="0" applyAlignment="0" applyProtection="0">
      <alignment vertical="top"/>
    </xf>
    <xf numFmtId="0" fontId="45" fillId="0" borderId="0"/>
    <xf numFmtId="165" fontId="46" fillId="0" borderId="0" applyFill="0" applyBorder="0" applyAlignment="0" applyProtection="0"/>
    <xf numFmtId="0" fontId="6" fillId="0" borderId="0"/>
    <xf numFmtId="0" fontId="6" fillId="0" borderId="0"/>
    <xf numFmtId="0" fontId="6" fillId="0" borderId="0"/>
    <xf numFmtId="0" fontId="11" fillId="0" borderId="0" applyNumberFormat="0" applyFont="0" applyFill="0" applyBorder="0" applyAlignment="0" applyProtection="0">
      <alignment vertical="top"/>
    </xf>
    <xf numFmtId="0" fontId="5" fillId="0" borderId="0"/>
    <xf numFmtId="0" fontId="4" fillId="0" borderId="0"/>
    <xf numFmtId="0" fontId="10" fillId="0" borderId="0"/>
    <xf numFmtId="0" fontId="28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" fillId="0" borderId="0"/>
    <xf numFmtId="165" fontId="11" fillId="0" borderId="0" applyFill="0" applyBorder="0" applyAlignment="0" applyProtection="0"/>
    <xf numFmtId="43" fontId="10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0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345">
    <xf numFmtId="0" fontId="0" fillId="0" borderId="0" xfId="0"/>
    <xf numFmtId="0" fontId="13" fillId="5" borderId="2" xfId="1" applyFont="1" applyFill="1" applyBorder="1" applyAlignment="1">
      <alignment vertical="center" wrapText="1"/>
    </xf>
    <xf numFmtId="0" fontId="17" fillId="3" borderId="2" xfId="3" applyFont="1" applyFill="1" applyBorder="1" applyAlignment="1">
      <alignment horizontal="center" vertical="center" wrapText="1"/>
    </xf>
    <xf numFmtId="49" fontId="17" fillId="0" borderId="2" xfId="3" applyNumberFormat="1" applyFont="1" applyBorder="1" applyAlignment="1">
      <alignment horizontal="center" vertical="center" wrapText="1"/>
    </xf>
    <xf numFmtId="0" fontId="17" fillId="2" borderId="2" xfId="3" applyFont="1" applyFill="1" applyBorder="1" applyAlignment="1">
      <alignment horizontal="center" vertical="center" wrapText="1"/>
    </xf>
    <xf numFmtId="49" fontId="17" fillId="2" borderId="2" xfId="3" applyNumberFormat="1" applyFont="1" applyFill="1" applyBorder="1" applyAlignment="1">
      <alignment horizontal="center" vertical="center" wrapText="1"/>
    </xf>
    <xf numFmtId="0" fontId="17" fillId="2" borderId="2" xfId="0" applyFont="1" applyFill="1" applyBorder="1" applyAlignment="1">
      <alignment horizontal="center" vertical="center" wrapText="1"/>
    </xf>
    <xf numFmtId="49" fontId="17" fillId="2" borderId="2" xfId="0" applyNumberFormat="1" applyFont="1" applyFill="1" applyBorder="1" applyAlignment="1">
      <alignment horizontal="center" vertical="center" wrapText="1"/>
    </xf>
    <xf numFmtId="0" fontId="17" fillId="3" borderId="2" xfId="0" applyFont="1" applyFill="1" applyBorder="1" applyAlignment="1">
      <alignment horizontal="center" vertical="center" wrapText="1"/>
    </xf>
    <xf numFmtId="49" fontId="14" fillId="2" borderId="2" xfId="0" applyNumberFormat="1" applyFont="1" applyFill="1" applyBorder="1" applyAlignment="1">
      <alignment horizontal="center" vertical="center" wrapText="1"/>
    </xf>
    <xf numFmtId="0" fontId="14" fillId="2" borderId="2" xfId="0" applyFont="1" applyFill="1" applyBorder="1" applyAlignment="1">
      <alignment horizontal="center" vertical="center" wrapText="1"/>
    </xf>
    <xf numFmtId="0" fontId="14" fillId="3" borderId="2" xfId="0" applyFont="1" applyFill="1" applyBorder="1" applyAlignment="1">
      <alignment horizontal="center" vertical="center" wrapText="1"/>
    </xf>
    <xf numFmtId="0" fontId="17" fillId="6" borderId="2" xfId="0" applyFont="1" applyFill="1" applyBorder="1" applyAlignment="1">
      <alignment horizontal="center" vertical="center" wrapText="1"/>
    </xf>
    <xf numFmtId="0" fontId="29" fillId="6" borderId="2" xfId="0" applyFont="1" applyFill="1" applyBorder="1" applyAlignment="1">
      <alignment horizontal="left" vertical="center" wrapText="1"/>
    </xf>
    <xf numFmtId="0" fontId="17" fillId="6" borderId="2" xfId="0" applyFont="1" applyFill="1" applyBorder="1" applyAlignment="1">
      <alignment horizontal="left" vertical="center" wrapText="1"/>
    </xf>
    <xf numFmtId="0" fontId="17" fillId="4" borderId="2" xfId="0" applyFont="1" applyFill="1" applyBorder="1" applyAlignment="1">
      <alignment horizontal="center" vertical="center" wrapText="1"/>
    </xf>
    <xf numFmtId="0" fontId="17" fillId="0" borderId="2" xfId="0" applyFont="1" applyBorder="1" applyAlignment="1">
      <alignment horizontal="center" vertical="center" wrapText="1"/>
    </xf>
    <xf numFmtId="0" fontId="17" fillId="0" borderId="2" xfId="0" applyFont="1" applyBorder="1" applyAlignment="1">
      <alignment horizontal="left" vertical="center" wrapText="1"/>
    </xf>
    <xf numFmtId="49" fontId="17" fillId="0" borderId="2" xfId="0" applyNumberFormat="1" applyFont="1" applyBorder="1" applyAlignment="1">
      <alignment horizontal="center" vertical="center" wrapText="1"/>
    </xf>
    <xf numFmtId="14" fontId="18" fillId="6" borderId="2" xfId="0" applyNumberFormat="1" applyFont="1" applyFill="1" applyBorder="1" applyAlignment="1">
      <alignment horizontal="center" vertical="center" wrapText="1"/>
    </xf>
    <xf numFmtId="14" fontId="18" fillId="0" borderId="2" xfId="0" applyNumberFormat="1" applyFont="1" applyBorder="1" applyAlignment="1">
      <alignment horizontal="center" vertical="center" wrapText="1"/>
    </xf>
    <xf numFmtId="14" fontId="32" fillId="6" borderId="2" xfId="0" applyNumberFormat="1" applyFont="1" applyFill="1" applyBorder="1" applyAlignment="1">
      <alignment horizontal="center" vertical="center" wrapText="1"/>
    </xf>
    <xf numFmtId="0" fontId="17" fillId="2" borderId="2" xfId="2" applyFont="1" applyFill="1" applyBorder="1" applyAlignment="1">
      <alignment horizontal="left" vertical="center" wrapText="1"/>
    </xf>
    <xf numFmtId="0" fontId="17" fillId="5" borderId="2" xfId="0" applyFont="1" applyFill="1" applyBorder="1" applyAlignment="1">
      <alignment horizontal="left" vertical="center" wrapText="1"/>
    </xf>
    <xf numFmtId="0" fontId="17" fillId="11" borderId="2" xfId="0" applyFont="1" applyFill="1" applyBorder="1" applyAlignment="1">
      <alignment horizontal="center" vertical="center" wrapText="1"/>
    </xf>
    <xf numFmtId="0" fontId="17" fillId="8" borderId="2" xfId="0" applyFont="1" applyFill="1" applyBorder="1" applyAlignment="1">
      <alignment horizontal="center" vertical="center" wrapText="1"/>
    </xf>
    <xf numFmtId="0" fontId="14" fillId="7" borderId="2" xfId="0" applyFont="1" applyFill="1" applyBorder="1" applyAlignment="1">
      <alignment horizontal="center" vertical="center" wrapText="1"/>
    </xf>
    <xf numFmtId="0" fontId="17" fillId="12" borderId="2" xfId="1" applyFont="1" applyFill="1" applyBorder="1" applyAlignment="1">
      <alignment vertical="center" wrapText="1"/>
    </xf>
    <xf numFmtId="0" fontId="36" fillId="7" borderId="2" xfId="0" applyFont="1" applyFill="1" applyBorder="1" applyAlignment="1">
      <alignment horizontal="center" vertical="center" wrapText="1"/>
    </xf>
    <xf numFmtId="0" fontId="16" fillId="0" borderId="0" xfId="0" applyFont="1" applyAlignment="1">
      <alignment vertical="center" wrapText="1"/>
    </xf>
    <xf numFmtId="0" fontId="17" fillId="0" borderId="0" xfId="1" applyFont="1" applyAlignment="1">
      <alignment vertical="center"/>
    </xf>
    <xf numFmtId="0" fontId="39" fillId="0" borderId="0" xfId="0" applyFont="1" applyAlignment="1">
      <alignment vertical="center" wrapText="1"/>
    </xf>
    <xf numFmtId="0" fontId="19" fillId="0" borderId="0" xfId="1" applyFont="1" applyAlignment="1">
      <alignment horizontal="center" vertical="center"/>
    </xf>
    <xf numFmtId="0" fontId="17" fillId="0" borderId="0" xfId="0" applyFont="1" applyAlignment="1">
      <alignment vertical="center" wrapText="1"/>
    </xf>
    <xf numFmtId="0" fontId="15" fillId="0" borderId="0" xfId="1" applyFont="1" applyAlignment="1">
      <alignment vertical="center"/>
    </xf>
    <xf numFmtId="0" fontId="18" fillId="0" borderId="0" xfId="1" applyFont="1" applyAlignment="1">
      <alignment horizontal="center" vertical="center"/>
    </xf>
    <xf numFmtId="0" fontId="15" fillId="0" borderId="0" xfId="1" applyFont="1" applyAlignment="1">
      <alignment horizontal="left" vertical="center"/>
    </xf>
    <xf numFmtId="0" fontId="17" fillId="0" borderId="0" xfId="1" applyFont="1" applyAlignment="1">
      <alignment horizontal="left" vertical="center"/>
    </xf>
    <xf numFmtId="0" fontId="18" fillId="0" borderId="0" xfId="1" applyFont="1" applyAlignment="1">
      <alignment horizontal="left" vertical="center"/>
    </xf>
    <xf numFmtId="0" fontId="31" fillId="0" borderId="0" xfId="1" applyFont="1" applyAlignment="1">
      <alignment horizontal="left" vertical="center"/>
    </xf>
    <xf numFmtId="0" fontId="31" fillId="0" borderId="0" xfId="1" applyFont="1" applyAlignment="1">
      <alignment vertical="center"/>
    </xf>
    <xf numFmtId="0" fontId="15" fillId="0" borderId="0" xfId="1" applyFont="1" applyAlignment="1">
      <alignment horizontal="center" vertical="center"/>
    </xf>
    <xf numFmtId="0" fontId="25" fillId="0" borderId="0" xfId="1" applyFont="1" applyAlignment="1">
      <alignment horizontal="right" vertical="center"/>
    </xf>
    <xf numFmtId="0" fontId="17" fillId="0" borderId="0" xfId="1" applyFont="1" applyAlignment="1">
      <alignment horizontal="right" vertical="center"/>
    </xf>
    <xf numFmtId="0" fontId="17" fillId="0" borderId="0" xfId="1" applyFont="1" applyAlignment="1">
      <alignment horizontal="center" vertical="center"/>
    </xf>
    <xf numFmtId="0" fontId="14" fillId="0" borderId="0" xfId="1" applyFont="1" applyAlignment="1">
      <alignment vertical="center"/>
    </xf>
    <xf numFmtId="0" fontId="19" fillId="0" borderId="0" xfId="1" applyFont="1" applyAlignment="1">
      <alignment vertical="center"/>
    </xf>
    <xf numFmtId="0" fontId="24" fillId="0" borderId="0" xfId="1" applyFont="1" applyAlignment="1">
      <alignment vertical="center"/>
    </xf>
    <xf numFmtId="0" fontId="18" fillId="0" borderId="0" xfId="1" applyFont="1" applyAlignment="1">
      <alignment vertical="center"/>
    </xf>
    <xf numFmtId="0" fontId="25" fillId="0" borderId="0" xfId="0" applyFont="1" applyAlignment="1">
      <alignment vertical="center"/>
    </xf>
    <xf numFmtId="0" fontId="22" fillId="0" borderId="0" xfId="1" applyFont="1" applyAlignment="1">
      <alignment vertical="center"/>
    </xf>
    <xf numFmtId="0" fontId="17" fillId="0" borderId="0" xfId="1" applyFont="1" applyAlignment="1">
      <alignment vertical="top"/>
    </xf>
    <xf numFmtId="0" fontId="26" fillId="0" borderId="0" xfId="0" applyFont="1" applyAlignment="1">
      <alignment vertical="center"/>
    </xf>
    <xf numFmtId="0" fontId="24" fillId="0" borderId="0" xfId="1" applyFont="1" applyAlignment="1">
      <alignment horizontal="center" vertical="center"/>
    </xf>
    <xf numFmtId="0" fontId="17" fillId="0" borderId="0" xfId="1" applyFont="1" applyAlignment="1">
      <alignment horizontal="left"/>
    </xf>
    <xf numFmtId="0" fontId="17" fillId="0" borderId="0" xfId="1" applyFont="1"/>
    <xf numFmtId="0" fontId="18" fillId="0" borderId="0" xfId="1" applyFont="1"/>
    <xf numFmtId="0" fontId="15" fillId="0" borderId="0" xfId="1" applyFont="1"/>
    <xf numFmtId="0" fontId="22" fillId="0" borderId="0" xfId="1" applyFont="1"/>
    <xf numFmtId="0" fontId="18" fillId="0" borderId="0" xfId="1" applyFont="1" applyAlignment="1">
      <alignment vertical="top"/>
    </xf>
    <xf numFmtId="0" fontId="35" fillId="0" borderId="0" xfId="1" applyFont="1" applyAlignment="1">
      <alignment horizontal="center" vertical="center" wrapText="1"/>
    </xf>
    <xf numFmtId="0" fontId="40" fillId="0" borderId="0" xfId="1" applyFont="1" applyAlignment="1">
      <alignment horizontal="left" vertical="center" wrapText="1"/>
    </xf>
    <xf numFmtId="0" fontId="42" fillId="0" borderId="0" xfId="1" applyFont="1" applyAlignment="1">
      <alignment horizontal="center" vertical="center" wrapText="1"/>
    </xf>
    <xf numFmtId="0" fontId="35" fillId="0" borderId="0" xfId="1" applyFont="1" applyAlignment="1">
      <alignment vertical="center"/>
    </xf>
    <xf numFmtId="0" fontId="22" fillId="0" borderId="0" xfId="1" applyFont="1" applyAlignment="1">
      <alignment vertical="center" wrapText="1"/>
    </xf>
    <xf numFmtId="0" fontId="31" fillId="0" borderId="0" xfId="1" applyFont="1" applyAlignment="1">
      <alignment vertical="center" wrapText="1"/>
    </xf>
    <xf numFmtId="0" fontId="18" fillId="0" borderId="0" xfId="1" applyFont="1" applyAlignment="1">
      <alignment vertical="center" wrapText="1"/>
    </xf>
    <xf numFmtId="0" fontId="29" fillId="0" borderId="0" xfId="0" applyFont="1" applyAlignment="1">
      <alignment horizontal="center" vertical="center" wrapText="1"/>
    </xf>
    <xf numFmtId="0" fontId="17" fillId="0" borderId="0" xfId="1" applyFont="1" applyAlignment="1">
      <alignment horizontal="center"/>
    </xf>
    <xf numFmtId="0" fontId="18" fillId="0" borderId="0" xfId="1" applyFont="1" applyAlignment="1">
      <alignment horizontal="center"/>
    </xf>
    <xf numFmtId="0" fontId="16" fillId="0" borderId="1" xfId="0" applyFont="1" applyBorder="1" applyAlignment="1">
      <alignment vertical="center" wrapText="1"/>
    </xf>
    <xf numFmtId="0" fontId="16" fillId="0" borderId="1" xfId="0" applyFont="1" applyBorder="1" applyAlignment="1">
      <alignment horizontal="center" vertical="center" wrapText="1"/>
    </xf>
    <xf numFmtId="0" fontId="16" fillId="0" borderId="0" xfId="0" applyFont="1" applyAlignment="1">
      <alignment horizontal="center" vertical="center" wrapText="1"/>
    </xf>
    <xf numFmtId="0" fontId="37" fillId="0" borderId="5" xfId="0" applyFont="1" applyBorder="1" applyAlignment="1">
      <alignment horizontal="center" vertical="center" wrapText="1"/>
    </xf>
    <xf numFmtId="0" fontId="38" fillId="0" borderId="0" xfId="1" applyFont="1" applyAlignment="1">
      <alignment horizontal="left" vertical="top" wrapText="1"/>
    </xf>
    <xf numFmtId="0" fontId="19" fillId="0" borderId="0" xfId="0" applyFont="1" applyAlignment="1">
      <alignment vertical="top" wrapText="1"/>
    </xf>
    <xf numFmtId="0" fontId="25" fillId="0" borderId="0" xfId="0" applyFont="1" applyAlignment="1">
      <alignment horizontal="left"/>
    </xf>
    <xf numFmtId="0" fontId="22" fillId="0" borderId="0" xfId="1" applyFont="1" applyAlignment="1">
      <alignment horizontal="center" vertical="center"/>
    </xf>
    <xf numFmtId="0" fontId="19" fillId="0" borderId="0" xfId="1" applyFont="1" applyAlignment="1">
      <alignment vertical="top"/>
    </xf>
    <xf numFmtId="0" fontId="17" fillId="0" borderId="0" xfId="1" applyFont="1" applyAlignment="1">
      <alignment horizontal="center" vertical="top"/>
    </xf>
    <xf numFmtId="0" fontId="25" fillId="0" borderId="0" xfId="0" applyFont="1"/>
    <xf numFmtId="0" fontId="25" fillId="0" borderId="0" xfId="1" applyFont="1" applyAlignment="1">
      <alignment horizontal="center" vertical="center"/>
    </xf>
    <xf numFmtId="0" fontId="24" fillId="0" borderId="0" xfId="1" applyFont="1" applyAlignment="1">
      <alignment horizontal="left"/>
    </xf>
    <xf numFmtId="0" fontId="15" fillId="0" borderId="0" xfId="1" applyFont="1" applyAlignment="1">
      <alignment horizontal="center"/>
    </xf>
    <xf numFmtId="0" fontId="27" fillId="0" borderId="0" xfId="0" applyFont="1" applyAlignment="1">
      <alignment vertical="center"/>
    </xf>
    <xf numFmtId="0" fontId="18" fillId="0" borderId="0" xfId="1" applyFont="1" applyAlignment="1">
      <alignment horizontal="center" vertical="top"/>
    </xf>
    <xf numFmtId="0" fontId="17" fillId="0" borderId="0" xfId="1" applyFont="1" applyAlignment="1">
      <alignment horizontal="right" vertical="top"/>
    </xf>
    <xf numFmtId="0" fontId="43" fillId="0" borderId="0" xfId="1" applyFont="1" applyAlignment="1">
      <alignment horizontal="left" vertical="top" wrapText="1"/>
    </xf>
    <xf numFmtId="164" fontId="23" fillId="0" borderId="0" xfId="1" applyNumberFormat="1" applyFont="1" applyAlignment="1">
      <alignment horizontal="left" vertical="center"/>
    </xf>
    <xf numFmtId="0" fontId="17" fillId="9" borderId="2" xfId="3" applyFont="1" applyFill="1" applyBorder="1" applyAlignment="1">
      <alignment horizontal="center" vertical="center" wrapText="1"/>
    </xf>
    <xf numFmtId="49" fontId="17" fillId="9" borderId="2" xfId="3" applyNumberFormat="1" applyFont="1" applyFill="1" applyBorder="1" applyAlignment="1">
      <alignment horizontal="center" vertical="center" wrapText="1"/>
    </xf>
    <xf numFmtId="0" fontId="17" fillId="9" borderId="2" xfId="3" applyFont="1" applyFill="1" applyBorder="1" applyAlignment="1">
      <alignment vertical="center" wrapText="1"/>
    </xf>
    <xf numFmtId="0" fontId="17" fillId="9" borderId="2" xfId="3" applyFont="1" applyFill="1" applyBorder="1" applyAlignment="1">
      <alignment horizontal="left" vertical="center" wrapText="1"/>
    </xf>
    <xf numFmtId="14" fontId="18" fillId="9" borderId="2" xfId="3" applyNumberFormat="1" applyFont="1" applyFill="1" applyBorder="1" applyAlignment="1">
      <alignment horizontal="center" vertical="center" wrapText="1"/>
    </xf>
    <xf numFmtId="14" fontId="30" fillId="2" borderId="2" xfId="2" applyNumberFormat="1" applyFont="1" applyFill="1" applyBorder="1" applyAlignment="1">
      <alignment horizontal="center" vertical="center" wrapText="1"/>
    </xf>
    <xf numFmtId="14" fontId="30" fillId="2" borderId="2" xfId="0" applyNumberFormat="1" applyFont="1" applyFill="1" applyBorder="1" applyAlignment="1">
      <alignment horizontal="center" vertical="center" wrapText="1"/>
    </xf>
    <xf numFmtId="0" fontId="17" fillId="6" borderId="2" xfId="0" applyFont="1" applyFill="1" applyBorder="1" applyAlignment="1">
      <alignment horizontal="left" vertical="top" wrapText="1"/>
    </xf>
    <xf numFmtId="0" fontId="17" fillId="0" borderId="2" xfId="0" applyFont="1" applyBorder="1" applyAlignment="1">
      <alignment horizontal="left" vertical="top" wrapText="1"/>
    </xf>
    <xf numFmtId="0" fontId="17" fillId="9" borderId="2" xfId="3" applyFont="1" applyFill="1" applyBorder="1" applyAlignment="1">
      <alignment horizontal="center" vertical="top" wrapText="1"/>
    </xf>
    <xf numFmtId="0" fontId="17" fillId="3" borderId="2" xfId="3" applyFont="1" applyFill="1" applyBorder="1" applyAlignment="1">
      <alignment horizontal="center" vertical="top" wrapText="1"/>
    </xf>
    <xf numFmtId="0" fontId="17" fillId="2" borderId="2" xfId="3" applyFont="1" applyFill="1" applyBorder="1" applyAlignment="1">
      <alignment horizontal="center" vertical="top" wrapText="1"/>
    </xf>
    <xf numFmtId="0" fontId="17" fillId="2" borderId="2" xfId="0" applyFont="1" applyFill="1" applyBorder="1" applyAlignment="1">
      <alignment horizontal="center" vertical="top" wrapText="1"/>
    </xf>
    <xf numFmtId="0" fontId="17" fillId="0" borderId="2" xfId="0" applyFont="1" applyBorder="1" applyAlignment="1">
      <alignment horizontal="center" vertical="top" wrapText="1"/>
    </xf>
    <xf numFmtId="0" fontId="14" fillId="2" borderId="2" xfId="2" applyFont="1" applyFill="1" applyBorder="1" applyAlignment="1">
      <alignment horizontal="center" vertical="top" wrapText="1"/>
    </xf>
    <xf numFmtId="0" fontId="25" fillId="0" borderId="2" xfId="0" applyFont="1" applyBorder="1" applyAlignment="1">
      <alignment vertical="center" wrapText="1"/>
    </xf>
    <xf numFmtId="0" fontId="25" fillId="0" borderId="0" xfId="0" applyFont="1" applyAlignment="1">
      <alignment horizontal="left" vertical="center"/>
    </xf>
    <xf numFmtId="164" fontId="23" fillId="0" borderId="0" xfId="1" applyNumberFormat="1" applyFont="1" applyAlignment="1">
      <alignment horizontal="center" vertical="center"/>
    </xf>
    <xf numFmtId="14" fontId="41" fillId="0" borderId="0" xfId="0" applyNumberFormat="1" applyFont="1" applyAlignment="1">
      <alignment vertical="center"/>
    </xf>
    <xf numFmtId="0" fontId="14" fillId="0" borderId="0" xfId="0" applyFont="1" applyAlignment="1">
      <alignment vertical="center"/>
    </xf>
    <xf numFmtId="14" fontId="47" fillId="6" borderId="2" xfId="0" applyNumberFormat="1" applyFont="1" applyFill="1" applyBorder="1" applyAlignment="1">
      <alignment horizontal="center" vertical="center"/>
    </xf>
    <xf numFmtId="0" fontId="17" fillId="14" borderId="2" xfId="0" applyFont="1" applyFill="1" applyBorder="1" applyAlignment="1">
      <alignment horizontal="left" vertical="center" wrapText="1"/>
    </xf>
    <xf numFmtId="0" fontId="17" fillId="18" borderId="2" xfId="0" applyFont="1" applyFill="1" applyBorder="1" applyAlignment="1">
      <alignment horizontal="center" vertical="center" wrapText="1"/>
    </xf>
    <xf numFmtId="0" fontId="17" fillId="2" borderId="2" xfId="1" applyFont="1" applyFill="1" applyBorder="1" applyAlignment="1">
      <alignment vertical="center" wrapText="1"/>
    </xf>
    <xf numFmtId="0" fontId="17" fillId="15" borderId="2" xfId="0" applyFont="1" applyFill="1" applyBorder="1" applyAlignment="1">
      <alignment horizontal="left" vertical="center" wrapText="1"/>
    </xf>
    <xf numFmtId="0" fontId="17" fillId="10" borderId="2" xfId="0" applyFont="1" applyFill="1" applyBorder="1" applyAlignment="1">
      <alignment horizontal="center" vertical="center" wrapText="1"/>
    </xf>
    <xf numFmtId="0" fontId="29" fillId="10" borderId="2" xfId="0" applyFont="1" applyFill="1" applyBorder="1" applyAlignment="1">
      <alignment horizontal="left" vertical="center" wrapText="1"/>
    </xf>
    <xf numFmtId="0" fontId="17" fillId="10" borderId="2" xfId="0" applyFont="1" applyFill="1" applyBorder="1" applyAlignment="1">
      <alignment horizontal="left" vertical="center" wrapText="1"/>
    </xf>
    <xf numFmtId="14" fontId="17" fillId="10" borderId="2" xfId="0" applyNumberFormat="1" applyFont="1" applyFill="1" applyBorder="1" applyAlignment="1">
      <alignment horizontal="center" vertical="center" wrapText="1"/>
    </xf>
    <xf numFmtId="0" fontId="17" fillId="10" borderId="2" xfId="1" applyFont="1" applyFill="1" applyBorder="1" applyAlignment="1">
      <alignment horizontal="center" vertical="center" wrapText="1"/>
    </xf>
    <xf numFmtId="0" fontId="14" fillId="10" borderId="2" xfId="1" applyFont="1" applyFill="1" applyBorder="1" applyAlignment="1">
      <alignment vertical="center" wrapText="1"/>
    </xf>
    <xf numFmtId="0" fontId="17" fillId="13" borderId="2" xfId="0" applyFont="1" applyFill="1" applyBorder="1" applyAlignment="1">
      <alignment horizontal="center" vertical="center" wrapText="1"/>
    </xf>
    <xf numFmtId="0" fontId="29" fillId="13" borderId="2" xfId="0" applyFont="1" applyFill="1" applyBorder="1" applyAlignment="1">
      <alignment horizontal="left" vertical="center" wrapText="1"/>
    </xf>
    <xf numFmtId="0" fontId="17" fillId="13" borderId="2" xfId="0" applyFont="1" applyFill="1" applyBorder="1" applyAlignment="1">
      <alignment horizontal="left" vertical="center" wrapText="1"/>
    </xf>
    <xf numFmtId="14" fontId="17" fillId="13" borderId="2" xfId="0" applyNumberFormat="1" applyFont="1" applyFill="1" applyBorder="1" applyAlignment="1">
      <alignment horizontal="center" vertical="center" wrapText="1"/>
    </xf>
    <xf numFmtId="0" fontId="17" fillId="13" borderId="2" xfId="1" applyFont="1" applyFill="1" applyBorder="1" applyAlignment="1">
      <alignment horizontal="center" vertical="center" wrapText="1"/>
    </xf>
    <xf numFmtId="0" fontId="14" fillId="13" borderId="2" xfId="1" applyFont="1" applyFill="1" applyBorder="1" applyAlignment="1">
      <alignment vertical="center" wrapText="1"/>
    </xf>
    <xf numFmtId="0" fontId="49" fillId="0" borderId="0" xfId="6" applyFont="1" applyAlignment="1">
      <alignment horizontal="center" vertical="center" wrapText="1"/>
    </xf>
    <xf numFmtId="0" fontId="49" fillId="0" borderId="0" xfId="6" applyFont="1" applyAlignment="1">
      <alignment horizontal="left" vertical="center" wrapText="1"/>
    </xf>
    <xf numFmtId="0" fontId="50" fillId="0" borderId="0" xfId="6" applyFont="1"/>
    <xf numFmtId="0" fontId="33" fillId="0" borderId="0" xfId="6" applyFont="1" applyAlignment="1">
      <alignment horizontal="center" vertical="center" wrapText="1"/>
    </xf>
    <xf numFmtId="0" fontId="49" fillId="0" borderId="0" xfId="6" applyFont="1" applyAlignment="1">
      <alignment horizontal="center"/>
    </xf>
    <xf numFmtId="0" fontId="49" fillId="0" borderId="1" xfId="6" applyFont="1" applyBorder="1" applyAlignment="1">
      <alignment horizontal="center" vertical="center" wrapText="1"/>
    </xf>
    <xf numFmtId="0" fontId="49" fillId="0" borderId="1" xfId="6" applyFont="1" applyBorder="1"/>
    <xf numFmtId="0" fontId="51" fillId="0" borderId="6" xfId="6" applyFont="1" applyBorder="1" applyAlignment="1">
      <alignment horizontal="center" vertical="center" wrapText="1"/>
    </xf>
    <xf numFmtId="0" fontId="51" fillId="0" borderId="2" xfId="6" applyFont="1" applyBorder="1" applyAlignment="1">
      <alignment horizontal="center" vertical="center" wrapText="1"/>
    </xf>
    <xf numFmtId="0" fontId="34" fillId="0" borderId="0" xfId="6" applyFont="1" applyAlignment="1">
      <alignment horizontal="center" vertical="center" wrapText="1"/>
    </xf>
    <xf numFmtId="0" fontId="34" fillId="0" borderId="0" xfId="6" applyFont="1" applyAlignment="1">
      <alignment horizontal="left" vertical="center" wrapText="1"/>
    </xf>
    <xf numFmtId="0" fontId="52" fillId="0" borderId="6" xfId="6" applyFont="1" applyBorder="1" applyAlignment="1">
      <alignment horizontal="center" vertical="center" wrapText="1"/>
    </xf>
    <xf numFmtId="0" fontId="22" fillId="0" borderId="2" xfId="0" applyFont="1" applyBorder="1" applyAlignment="1">
      <alignment horizontal="center" vertical="center" wrapText="1"/>
    </xf>
    <xf numFmtId="0" fontId="52" fillId="0" borderId="2" xfId="12" applyFont="1" applyBorder="1" applyAlignment="1">
      <alignment horizontal="center" vertical="center"/>
    </xf>
    <xf numFmtId="0" fontId="22" fillId="0" borderId="2" xfId="17" applyNumberFormat="1" applyFont="1" applyFill="1" applyBorder="1" applyAlignment="1" applyProtection="1">
      <alignment horizontal="center" vertical="center" wrapText="1"/>
    </xf>
    <xf numFmtId="0" fontId="17" fillId="19" borderId="2" xfId="0" applyFont="1" applyFill="1" applyBorder="1" applyAlignment="1">
      <alignment vertical="top" wrapText="1"/>
    </xf>
    <xf numFmtId="0" fontId="50" fillId="0" borderId="0" xfId="19" applyFont="1" applyAlignment="1">
      <alignment horizontal="center" vertical="center"/>
    </xf>
    <xf numFmtId="0" fontId="50" fillId="0" borderId="0" xfId="19" applyFont="1"/>
    <xf numFmtId="0" fontId="53" fillId="0" borderId="2" xfId="0" applyFont="1" applyBorder="1" applyAlignment="1">
      <alignment vertical="center" wrapText="1"/>
    </xf>
    <xf numFmtId="0" fontId="17" fillId="21" borderId="2" xfId="1" applyFont="1" applyFill="1" applyBorder="1" applyAlignment="1">
      <alignment vertical="center" wrapText="1"/>
    </xf>
    <xf numFmtId="0" fontId="17" fillId="21" borderId="2" xfId="0" applyFont="1" applyFill="1" applyBorder="1" applyAlignment="1">
      <alignment horizontal="center" vertical="center" wrapText="1"/>
    </xf>
    <xf numFmtId="0" fontId="17" fillId="22" borderId="2" xfId="1" applyFont="1" applyFill="1" applyBorder="1" applyAlignment="1">
      <alignment vertical="center" wrapText="1"/>
    </xf>
    <xf numFmtId="0" fontId="17" fillId="22" borderId="2" xfId="0" applyFont="1" applyFill="1" applyBorder="1" applyAlignment="1">
      <alignment horizontal="center" vertical="center" wrapText="1"/>
    </xf>
    <xf numFmtId="0" fontId="17" fillId="11" borderId="2" xfId="1" applyFont="1" applyFill="1" applyBorder="1" applyAlignment="1">
      <alignment vertical="center" wrapText="1"/>
    </xf>
    <xf numFmtId="0" fontId="17" fillId="23" borderId="2" xfId="0" applyFont="1" applyFill="1" applyBorder="1" applyAlignment="1">
      <alignment horizontal="center" vertical="center" wrapText="1"/>
    </xf>
    <xf numFmtId="0" fontId="17" fillId="24" borderId="2" xfId="0" applyFont="1" applyFill="1" applyBorder="1" applyAlignment="1">
      <alignment horizontal="left" vertical="center" wrapText="1"/>
    </xf>
    <xf numFmtId="0" fontId="17" fillId="18" borderId="2" xfId="0" applyFont="1" applyFill="1" applyBorder="1" applyAlignment="1">
      <alignment horizontal="left" vertical="center" wrapText="1"/>
    </xf>
    <xf numFmtId="14" fontId="53" fillId="20" borderId="2" xfId="0" applyNumberFormat="1" applyFont="1" applyFill="1" applyBorder="1" applyAlignment="1">
      <alignment horizontal="center" vertical="center" wrapText="1"/>
    </xf>
    <xf numFmtId="14" fontId="53" fillId="25" borderId="2" xfId="0" applyNumberFormat="1" applyFont="1" applyFill="1" applyBorder="1" applyAlignment="1">
      <alignment horizontal="center" vertical="center" wrapText="1"/>
    </xf>
    <xf numFmtId="14" fontId="53" fillId="26" borderId="2" xfId="0" applyNumberFormat="1" applyFont="1" applyFill="1" applyBorder="1" applyAlignment="1">
      <alignment horizontal="center" vertical="center" wrapText="1"/>
    </xf>
    <xf numFmtId="14" fontId="53" fillId="4" borderId="2" xfId="0" applyNumberFormat="1" applyFont="1" applyFill="1" applyBorder="1" applyAlignment="1">
      <alignment horizontal="center" vertical="center" wrapText="1"/>
    </xf>
    <xf numFmtId="14" fontId="53" fillId="2" borderId="2" xfId="0" applyNumberFormat="1" applyFont="1" applyFill="1" applyBorder="1" applyAlignment="1">
      <alignment horizontal="center" vertical="center" wrapText="1"/>
    </xf>
    <xf numFmtId="14" fontId="53" fillId="18" borderId="2" xfId="0" applyNumberFormat="1" applyFont="1" applyFill="1" applyBorder="1" applyAlignment="1">
      <alignment horizontal="center" vertical="center" wrapText="1"/>
    </xf>
    <xf numFmtId="14" fontId="53" fillId="27" borderId="2" xfId="0" applyNumberFormat="1" applyFont="1" applyFill="1" applyBorder="1" applyAlignment="1">
      <alignment horizontal="center" vertical="center" wrapText="1"/>
    </xf>
    <xf numFmtId="14" fontId="53" fillId="10" borderId="2" xfId="0" applyNumberFormat="1" applyFont="1" applyFill="1" applyBorder="1" applyAlignment="1">
      <alignment horizontal="center" vertical="center" wrapText="1"/>
    </xf>
    <xf numFmtId="0" fontId="17" fillId="20" borderId="2" xfId="0" applyFont="1" applyFill="1" applyBorder="1" applyAlignment="1">
      <alignment horizontal="center" vertical="center" wrapText="1"/>
    </xf>
    <xf numFmtId="0" fontId="47" fillId="0" borderId="2" xfId="0" applyFont="1" applyBorder="1" applyAlignment="1">
      <alignment horizontal="left" vertical="center" wrapText="1"/>
    </xf>
    <xf numFmtId="14" fontId="17" fillId="9" borderId="2" xfId="3" applyNumberFormat="1" applyFont="1" applyFill="1" applyBorder="1" applyAlignment="1">
      <alignment vertical="center" wrapText="1"/>
    </xf>
    <xf numFmtId="14" fontId="14" fillId="2" borderId="2" xfId="0" applyNumberFormat="1" applyFont="1" applyFill="1" applyBorder="1" applyAlignment="1">
      <alignment horizontal="center" vertical="center" wrapText="1"/>
    </xf>
    <xf numFmtId="14" fontId="29" fillId="10" borderId="2" xfId="0" applyNumberFormat="1" applyFont="1" applyFill="1" applyBorder="1" applyAlignment="1">
      <alignment horizontal="center" vertical="center" wrapText="1"/>
    </xf>
    <xf numFmtId="14" fontId="29" fillId="13" borderId="2" xfId="0" applyNumberFormat="1" applyFont="1" applyFill="1" applyBorder="1" applyAlignment="1">
      <alignment horizontal="center" vertical="center" wrapText="1"/>
    </xf>
    <xf numFmtId="14" fontId="31" fillId="0" borderId="2" xfId="0" applyNumberFormat="1" applyFont="1" applyBorder="1" applyAlignment="1">
      <alignment horizontal="center" vertical="center" wrapText="1"/>
    </xf>
    <xf numFmtId="0" fontId="17" fillId="30" borderId="2" xfId="0" applyFont="1" applyFill="1" applyBorder="1" applyAlignment="1">
      <alignment horizontal="center" vertical="center" wrapText="1"/>
    </xf>
    <xf numFmtId="0" fontId="17" fillId="31" borderId="2" xfId="0" applyFont="1" applyFill="1" applyBorder="1" applyAlignment="1">
      <alignment horizontal="center" vertical="center" wrapText="1"/>
    </xf>
    <xf numFmtId="0" fontId="25" fillId="0" borderId="0" xfId="6" applyFont="1" applyAlignment="1">
      <alignment horizontal="center" vertical="center" wrapText="1"/>
    </xf>
    <xf numFmtId="14" fontId="17" fillId="0" borderId="2" xfId="0" applyNumberFormat="1" applyFont="1" applyBorder="1" applyAlignment="1">
      <alignment horizontal="center" vertical="center" wrapText="1"/>
    </xf>
    <xf numFmtId="0" fontId="17" fillId="32" borderId="2" xfId="0" applyFont="1" applyFill="1" applyBorder="1" applyAlignment="1">
      <alignment horizontal="center" vertical="center" wrapText="1"/>
    </xf>
    <xf numFmtId="0" fontId="17" fillId="13" borderId="2" xfId="1" applyFont="1" applyFill="1" applyBorder="1" applyAlignment="1">
      <alignment vertical="center" wrapText="1"/>
    </xf>
    <xf numFmtId="0" fontId="17" fillId="10" borderId="2" xfId="1" applyFont="1" applyFill="1" applyBorder="1" applyAlignment="1">
      <alignment vertical="center" wrapText="1"/>
    </xf>
    <xf numFmtId="0" fontId="17" fillId="20" borderId="2" xfId="1" applyFont="1" applyFill="1" applyBorder="1" applyAlignment="1">
      <alignment vertical="center" wrapText="1"/>
    </xf>
    <xf numFmtId="0" fontId="17" fillId="33" borderId="2" xfId="1" applyFont="1" applyFill="1" applyBorder="1" applyAlignment="1">
      <alignment vertical="center" wrapText="1"/>
    </xf>
    <xf numFmtId="0" fontId="17" fillId="33" borderId="2" xfId="0" applyFont="1" applyFill="1" applyBorder="1" applyAlignment="1">
      <alignment horizontal="center" vertical="center" wrapText="1"/>
    </xf>
    <xf numFmtId="0" fontId="17" fillId="7" borderId="2" xfId="1" applyFont="1" applyFill="1" applyBorder="1" applyAlignment="1">
      <alignment vertical="center" wrapText="1"/>
    </xf>
    <xf numFmtId="0" fontId="17" fillId="7" borderId="2" xfId="0" applyFont="1" applyFill="1" applyBorder="1" applyAlignment="1">
      <alignment horizontal="center" vertical="center" wrapText="1"/>
    </xf>
    <xf numFmtId="0" fontId="53" fillId="2" borderId="2" xfId="0" applyFont="1" applyFill="1" applyBorder="1" applyAlignment="1">
      <alignment vertical="center" wrapText="1"/>
    </xf>
    <xf numFmtId="0" fontId="47" fillId="0" borderId="6" xfId="0" applyFont="1" applyBorder="1" applyAlignment="1">
      <alignment vertical="center" wrapText="1"/>
    </xf>
    <xf numFmtId="14" fontId="53" fillId="20" borderId="6" xfId="0" applyNumberFormat="1" applyFont="1" applyFill="1" applyBorder="1" applyAlignment="1">
      <alignment horizontal="center" vertical="center" wrapText="1"/>
    </xf>
    <xf numFmtId="0" fontId="17" fillId="29" borderId="2" xfId="3" applyFont="1" applyFill="1" applyBorder="1" applyAlignment="1">
      <alignment horizontal="center" vertical="center" wrapText="1"/>
    </xf>
    <xf numFmtId="0" fontId="17" fillId="29" borderId="2" xfId="0" applyFont="1" applyFill="1" applyBorder="1" applyAlignment="1">
      <alignment horizontal="center" vertical="center" wrapText="1"/>
    </xf>
    <xf numFmtId="0" fontId="14" fillId="29" borderId="2" xfId="0" applyFont="1" applyFill="1" applyBorder="1" applyAlignment="1">
      <alignment horizontal="center" vertical="center" wrapText="1"/>
    </xf>
    <xf numFmtId="0" fontId="14" fillId="29" borderId="2" xfId="1" applyFont="1" applyFill="1" applyBorder="1" applyAlignment="1">
      <alignment vertical="center" wrapText="1"/>
    </xf>
    <xf numFmtId="0" fontId="13" fillId="29" borderId="2" xfId="1" applyFont="1" applyFill="1" applyBorder="1" applyAlignment="1">
      <alignment vertical="center" wrapText="1"/>
    </xf>
    <xf numFmtId="0" fontId="17" fillId="15" borderId="2" xfId="1" applyFont="1" applyFill="1" applyBorder="1" applyAlignment="1">
      <alignment vertical="center" wrapText="1"/>
    </xf>
    <xf numFmtId="0" fontId="17" fillId="15" borderId="2" xfId="0" applyFont="1" applyFill="1" applyBorder="1" applyAlignment="1">
      <alignment horizontal="center" vertical="center" wrapText="1"/>
    </xf>
    <xf numFmtId="0" fontId="17" fillId="34" borderId="2" xfId="1" applyFont="1" applyFill="1" applyBorder="1" applyAlignment="1">
      <alignment vertical="center" wrapText="1"/>
    </xf>
    <xf numFmtId="0" fontId="17" fillId="34" borderId="2" xfId="0" applyFont="1" applyFill="1" applyBorder="1" applyAlignment="1">
      <alignment horizontal="center" vertical="center" wrapText="1"/>
    </xf>
    <xf numFmtId="0" fontId="47" fillId="2" borderId="2" xfId="0" applyFont="1" applyFill="1" applyBorder="1" applyAlignment="1">
      <alignment vertical="center" wrapText="1"/>
    </xf>
    <xf numFmtId="0" fontId="47" fillId="2" borderId="2" xfId="0" applyFont="1" applyFill="1" applyBorder="1" applyAlignment="1">
      <alignment horizontal="left" vertical="center" wrapText="1"/>
    </xf>
    <xf numFmtId="0" fontId="47" fillId="35" borderId="6" xfId="0" applyFont="1" applyFill="1" applyBorder="1" applyAlignment="1">
      <alignment vertical="center" wrapText="1"/>
    </xf>
    <xf numFmtId="0" fontId="17" fillId="0" borderId="2" xfId="17" applyNumberFormat="1" applyFont="1" applyFill="1" applyBorder="1" applyAlignment="1" applyProtection="1">
      <alignment horizontal="center" vertical="center" wrapText="1"/>
    </xf>
    <xf numFmtId="0" fontId="17" fillId="16" borderId="2" xfId="17" applyNumberFormat="1" applyFont="1" applyFill="1" applyBorder="1" applyAlignment="1" applyProtection="1">
      <alignment horizontal="center" vertical="center" wrapText="1"/>
    </xf>
    <xf numFmtId="0" fontId="17" fillId="35" borderId="2" xfId="17" applyNumberFormat="1" applyFont="1" applyFill="1" applyBorder="1" applyAlignment="1" applyProtection="1">
      <alignment horizontal="center" vertical="center" wrapText="1"/>
    </xf>
    <xf numFmtId="0" fontId="47" fillId="18" borderId="2" xfId="0" applyFont="1" applyFill="1" applyBorder="1" applyAlignment="1">
      <alignment horizontal="left" vertical="center" wrapText="1"/>
    </xf>
    <xf numFmtId="0" fontId="17" fillId="18" borderId="2" xfId="19" applyFont="1" applyFill="1" applyBorder="1" applyAlignment="1">
      <alignment horizontal="center" vertical="center" wrapText="1"/>
    </xf>
    <xf numFmtId="0" fontId="17" fillId="19" borderId="2" xfId="17" applyNumberFormat="1" applyFont="1" applyFill="1" applyBorder="1" applyAlignment="1" applyProtection="1">
      <alignment horizontal="left" vertical="center" wrapText="1"/>
    </xf>
    <xf numFmtId="0" fontId="17" fillId="31" borderId="2" xfId="0" applyFont="1" applyFill="1" applyBorder="1" applyAlignment="1">
      <alignment horizontal="left" vertical="center" wrapText="1"/>
    </xf>
    <xf numFmtId="0" fontId="17" fillId="2" borderId="2" xfId="0" applyFont="1" applyFill="1" applyBorder="1" applyAlignment="1">
      <alignment horizontal="left" vertical="center" wrapText="1"/>
    </xf>
    <xf numFmtId="0" fontId="17" fillId="7" borderId="2" xfId="17" applyNumberFormat="1" applyFont="1" applyFill="1" applyBorder="1" applyAlignment="1" applyProtection="1">
      <alignment horizontal="center" vertical="center" wrapText="1"/>
    </xf>
    <xf numFmtId="0" fontId="17" fillId="36" borderId="2" xfId="0" applyFont="1" applyFill="1" applyBorder="1" applyAlignment="1">
      <alignment horizontal="center" vertical="center" wrapText="1"/>
    </xf>
    <xf numFmtId="0" fontId="17" fillId="37" borderId="2" xfId="0" applyFont="1" applyFill="1" applyBorder="1" applyAlignment="1">
      <alignment horizontal="center" vertical="center" wrapText="1"/>
    </xf>
    <xf numFmtId="0" fontId="17" fillId="10" borderId="2" xfId="17" applyNumberFormat="1" applyFont="1" applyFill="1" applyBorder="1" applyAlignment="1" applyProtection="1">
      <alignment horizontal="center" vertical="center" wrapText="1"/>
    </xf>
    <xf numFmtId="0" fontId="47" fillId="38" borderId="6" xfId="0" applyFont="1" applyFill="1" applyBorder="1" applyAlignment="1">
      <alignment vertical="center" wrapText="1"/>
    </xf>
    <xf numFmtId="0" fontId="17" fillId="38" borderId="2" xfId="0" applyFont="1" applyFill="1" applyBorder="1" applyAlignment="1">
      <alignment horizontal="center" vertical="center" wrapText="1"/>
    </xf>
    <xf numFmtId="0" fontId="47" fillId="11" borderId="6" xfId="0" applyFont="1" applyFill="1" applyBorder="1" applyAlignment="1">
      <alignment vertical="center" wrapText="1"/>
    </xf>
    <xf numFmtId="0" fontId="47" fillId="39" borderId="6" xfId="0" applyFont="1" applyFill="1" applyBorder="1" applyAlignment="1">
      <alignment vertical="center" wrapText="1"/>
    </xf>
    <xf numFmtId="0" fontId="17" fillId="40" borderId="6" xfId="0" applyFont="1" applyFill="1" applyBorder="1" applyAlignment="1">
      <alignment vertical="center" wrapText="1"/>
    </xf>
    <xf numFmtId="0" fontId="47" fillId="29" borderId="6" xfId="0" applyFont="1" applyFill="1" applyBorder="1" applyAlignment="1">
      <alignment vertical="center" wrapText="1"/>
    </xf>
    <xf numFmtId="0" fontId="53" fillId="29" borderId="2" xfId="0" applyFont="1" applyFill="1" applyBorder="1" applyAlignment="1">
      <alignment vertical="center" wrapText="1"/>
    </xf>
    <xf numFmtId="0" fontId="22" fillId="0" borderId="2" xfId="19" applyFont="1" applyBorder="1" applyAlignment="1">
      <alignment horizontal="center" vertical="center" wrapText="1"/>
    </xf>
    <xf numFmtId="0" fontId="53" fillId="20" borderId="2" xfId="0" applyFont="1" applyFill="1" applyBorder="1" applyAlignment="1">
      <alignment vertical="center" wrapText="1"/>
    </xf>
    <xf numFmtId="0" fontId="54" fillId="0" borderId="2" xfId="0" applyFont="1" applyBorder="1" applyAlignment="1">
      <alignment horizontal="center" vertical="center" wrapText="1"/>
    </xf>
    <xf numFmtId="0" fontId="52" fillId="0" borderId="0" xfId="6" applyFont="1" applyAlignment="1">
      <alignment horizontal="center" vertical="center" wrapText="1"/>
    </xf>
    <xf numFmtId="0" fontId="22" fillId="0" borderId="0" xfId="19" applyFont="1" applyAlignment="1">
      <alignment horizontal="center" vertical="center" wrapText="1"/>
    </xf>
    <xf numFmtId="0" fontId="50" fillId="0" borderId="0" xfId="19" applyFont="1" applyAlignment="1">
      <alignment horizontal="center" vertical="center" wrapText="1"/>
    </xf>
    <xf numFmtId="0" fontId="17" fillId="42" borderId="2" xfId="0" applyFont="1" applyFill="1" applyBorder="1" applyAlignment="1">
      <alignment horizontal="center" vertical="center" wrapText="1"/>
    </xf>
    <xf numFmtId="0" fontId="17" fillId="43" borderId="2" xfId="0" applyFont="1" applyFill="1" applyBorder="1" applyAlignment="1">
      <alignment horizontal="center" vertical="center" wrapText="1"/>
    </xf>
    <xf numFmtId="0" fontId="17" fillId="45" borderId="2" xfId="0" applyFont="1" applyFill="1" applyBorder="1" applyAlignment="1">
      <alignment horizontal="center" vertical="center" wrapText="1"/>
    </xf>
    <xf numFmtId="2" fontId="50" fillId="0" borderId="0" xfId="19" applyNumberFormat="1" applyFont="1"/>
    <xf numFmtId="1" fontId="50" fillId="0" borderId="0" xfId="19" applyNumberFormat="1" applyFont="1" applyAlignment="1">
      <alignment horizontal="center" vertical="center"/>
    </xf>
    <xf numFmtId="1" fontId="55" fillId="0" borderId="0" xfId="19" applyNumberFormat="1" applyFont="1" applyAlignment="1">
      <alignment horizontal="center" vertical="center"/>
    </xf>
    <xf numFmtId="1" fontId="55" fillId="0" borderId="7" xfId="19" applyNumberFormat="1" applyFont="1" applyBorder="1" applyAlignment="1">
      <alignment horizontal="center" vertical="center"/>
    </xf>
    <xf numFmtId="0" fontId="47" fillId="46" borderId="6" xfId="0" applyFont="1" applyFill="1" applyBorder="1" applyAlignment="1">
      <alignment vertical="center" wrapText="1"/>
    </xf>
    <xf numFmtId="0" fontId="47" fillId="47" borderId="6" xfId="0" applyFont="1" applyFill="1" applyBorder="1" applyAlignment="1">
      <alignment vertical="center" wrapText="1"/>
    </xf>
    <xf numFmtId="0" fontId="17" fillId="11" borderId="6" xfId="0" applyFont="1" applyFill="1" applyBorder="1" applyAlignment="1">
      <alignment vertical="center" wrapText="1"/>
    </xf>
    <xf numFmtId="0" fontId="47" fillId="19" borderId="6" xfId="0" applyFont="1" applyFill="1" applyBorder="1" applyAlignment="1">
      <alignment vertical="center" wrapText="1"/>
    </xf>
    <xf numFmtId="0" fontId="17" fillId="19" borderId="2" xfId="0" applyFont="1" applyFill="1" applyBorder="1" applyAlignment="1">
      <alignment horizontal="left" vertical="center" wrapText="1"/>
    </xf>
    <xf numFmtId="0" fontId="47" fillId="48" borderId="6" xfId="0" applyFont="1" applyFill="1" applyBorder="1" applyAlignment="1">
      <alignment vertical="center" wrapText="1"/>
    </xf>
    <xf numFmtId="0" fontId="47" fillId="44" borderId="6" xfId="0" applyFont="1" applyFill="1" applyBorder="1" applyAlignment="1">
      <alignment vertical="center" wrapText="1"/>
    </xf>
    <xf numFmtId="2" fontId="50" fillId="0" borderId="0" xfId="19" applyNumberFormat="1" applyFont="1" applyAlignment="1">
      <alignment horizontal="center" vertical="center"/>
    </xf>
    <xf numFmtId="0" fontId="53" fillId="41" borderId="2" xfId="0" applyFont="1" applyFill="1" applyBorder="1" applyAlignment="1">
      <alignment vertical="center" wrapText="1"/>
    </xf>
    <xf numFmtId="0" fontId="17" fillId="50" borderId="2" xfId="0" applyFont="1" applyFill="1" applyBorder="1" applyAlignment="1">
      <alignment horizontal="center" vertical="center" wrapText="1"/>
    </xf>
    <xf numFmtId="14" fontId="17" fillId="50" borderId="2" xfId="0" applyNumberFormat="1" applyFont="1" applyFill="1" applyBorder="1" applyAlignment="1">
      <alignment horizontal="center" vertical="center" wrapText="1"/>
    </xf>
    <xf numFmtId="14" fontId="53" fillId="30" borderId="2" xfId="0" applyNumberFormat="1" applyFont="1" applyFill="1" applyBorder="1" applyAlignment="1">
      <alignment horizontal="center" vertical="center" wrapText="1"/>
    </xf>
    <xf numFmtId="0" fontId="47" fillId="40" borderId="6" xfId="0" applyFont="1" applyFill="1" applyBorder="1" applyAlignment="1">
      <alignment vertical="center" wrapText="1"/>
    </xf>
    <xf numFmtId="0" fontId="17" fillId="33" borderId="2" xfId="0" applyFont="1" applyFill="1" applyBorder="1" applyAlignment="1">
      <alignment horizontal="left" vertical="center" wrapText="1"/>
    </xf>
    <xf numFmtId="0" fontId="47" fillId="45" borderId="2" xfId="0" applyFont="1" applyFill="1" applyBorder="1" applyAlignment="1">
      <alignment horizontal="left" vertical="center" wrapText="1"/>
    </xf>
    <xf numFmtId="0" fontId="17" fillId="49" borderId="2" xfId="0" applyFont="1" applyFill="1" applyBorder="1" applyAlignment="1">
      <alignment horizontal="center" vertical="center" wrapText="1"/>
    </xf>
    <xf numFmtId="0" fontId="17" fillId="49" borderId="2" xfId="17" applyNumberFormat="1" applyFont="1" applyFill="1" applyBorder="1" applyAlignment="1" applyProtection="1">
      <alignment horizontal="left" vertical="center" wrapText="1"/>
    </xf>
    <xf numFmtId="14" fontId="53" fillId="34" borderId="2" xfId="0" applyNumberFormat="1" applyFont="1" applyFill="1" applyBorder="1" applyAlignment="1">
      <alignment horizontal="center" vertical="center" wrapText="1"/>
    </xf>
    <xf numFmtId="0" fontId="52" fillId="0" borderId="2" xfId="6" applyFont="1" applyBorder="1" applyAlignment="1">
      <alignment horizontal="center" vertical="center" wrapText="1"/>
    </xf>
    <xf numFmtId="14" fontId="53" fillId="8" borderId="2" xfId="0" applyNumberFormat="1" applyFont="1" applyFill="1" applyBorder="1" applyAlignment="1">
      <alignment horizontal="center" vertical="center" wrapText="1"/>
    </xf>
    <xf numFmtId="0" fontId="15" fillId="0" borderId="2" xfId="19" applyFont="1" applyBorder="1" applyAlignment="1">
      <alignment horizontal="center" vertical="center" wrapText="1"/>
    </xf>
    <xf numFmtId="0" fontId="17" fillId="0" borderId="2" xfId="3" applyFont="1" applyBorder="1" applyAlignment="1">
      <alignment horizontal="left" vertical="center" wrapText="1"/>
    </xf>
    <xf numFmtId="0" fontId="17" fillId="2" borderId="2" xfId="3" applyFont="1" applyFill="1" applyBorder="1" applyAlignment="1">
      <alignment horizontal="left" vertical="center" wrapText="1"/>
    </xf>
    <xf numFmtId="0" fontId="53" fillId="0" borderId="2" xfId="0" applyFont="1" applyBorder="1" applyAlignment="1">
      <alignment horizontal="left" vertical="center" wrapText="1"/>
    </xf>
    <xf numFmtId="14" fontId="17" fillId="28" borderId="2" xfId="0" applyNumberFormat="1" applyFont="1" applyFill="1" applyBorder="1" applyAlignment="1">
      <alignment horizontal="center" vertical="center" wrapText="1"/>
    </xf>
    <xf numFmtId="14" fontId="53" fillId="51" borderId="2" xfId="0" applyNumberFormat="1" applyFont="1" applyFill="1" applyBorder="1" applyAlignment="1">
      <alignment horizontal="center" vertical="center" wrapText="1"/>
    </xf>
    <xf numFmtId="0" fontId="17" fillId="52" borderId="2" xfId="0" applyFont="1" applyFill="1" applyBorder="1" applyAlignment="1">
      <alignment horizontal="center" vertical="center" wrapText="1"/>
    </xf>
    <xf numFmtId="14" fontId="53" fillId="17" borderId="2" xfId="0" applyNumberFormat="1" applyFont="1" applyFill="1" applyBorder="1" applyAlignment="1">
      <alignment horizontal="center" vertical="center" wrapText="1"/>
    </xf>
    <xf numFmtId="2" fontId="50" fillId="0" borderId="0" xfId="51" applyNumberFormat="1" applyFont="1" applyAlignment="1">
      <alignment horizontal="center" vertical="center"/>
    </xf>
    <xf numFmtId="0" fontId="50" fillId="0" borderId="0" xfId="51" applyFont="1"/>
    <xf numFmtId="2" fontId="50" fillId="0" borderId="0" xfId="51" applyNumberFormat="1" applyFont="1"/>
    <xf numFmtId="0" fontId="22" fillId="0" borderId="2" xfId="51" applyFont="1" applyBorder="1" applyAlignment="1">
      <alignment horizontal="center" vertical="center" wrapText="1"/>
    </xf>
    <xf numFmtId="0" fontId="50" fillId="0" borderId="0" xfId="51" applyFont="1" applyAlignment="1">
      <alignment horizontal="center" vertical="center"/>
    </xf>
    <xf numFmtId="1" fontId="55" fillId="0" borderId="7" xfId="51" applyNumberFormat="1" applyFont="1" applyBorder="1" applyAlignment="1">
      <alignment horizontal="center" vertical="center"/>
    </xf>
    <xf numFmtId="1" fontId="50" fillId="0" borderId="0" xfId="51" applyNumberFormat="1" applyFont="1" applyAlignment="1">
      <alignment horizontal="center" vertical="center"/>
    </xf>
    <xf numFmtId="1" fontId="55" fillId="0" borderId="0" xfId="51" applyNumberFormat="1" applyFont="1" applyAlignment="1">
      <alignment horizontal="center" vertical="center"/>
    </xf>
    <xf numFmtId="14" fontId="53" fillId="28" borderId="2" xfId="0" applyNumberFormat="1" applyFont="1" applyFill="1" applyBorder="1" applyAlignment="1">
      <alignment horizontal="center" vertical="center" wrapText="1"/>
    </xf>
    <xf numFmtId="14" fontId="47" fillId="8" borderId="2" xfId="0" applyNumberFormat="1" applyFont="1" applyFill="1" applyBorder="1" applyAlignment="1">
      <alignment horizontal="center" vertical="center"/>
    </xf>
    <xf numFmtId="0" fontId="47" fillId="8" borderId="2" xfId="0" applyFont="1" applyFill="1" applyBorder="1" applyAlignment="1">
      <alignment horizontal="left" vertical="center" wrapText="1"/>
    </xf>
    <xf numFmtId="0" fontId="53" fillId="8" borderId="2" xfId="0" applyFont="1" applyFill="1" applyBorder="1" applyAlignment="1">
      <alignment vertical="center" wrapText="1"/>
    </xf>
    <xf numFmtId="0" fontId="17" fillId="8" borderId="2" xfId="17" applyNumberFormat="1" applyFont="1" applyFill="1" applyBorder="1" applyAlignment="1" applyProtection="1">
      <alignment horizontal="center" vertical="center" wrapText="1"/>
    </xf>
    <xf numFmtId="0" fontId="47" fillId="8" borderId="6" xfId="0" applyFont="1" applyFill="1" applyBorder="1" applyAlignment="1">
      <alignment vertical="center" wrapText="1"/>
    </xf>
    <xf numFmtId="0" fontId="17" fillId="8" borderId="2" xfId="0" applyFont="1" applyFill="1" applyBorder="1" applyAlignment="1">
      <alignment horizontal="left" vertical="center" wrapText="1"/>
    </xf>
    <xf numFmtId="0" fontId="17" fillId="8" borderId="2" xfId="0" applyFont="1" applyFill="1" applyBorder="1" applyAlignment="1">
      <alignment horizontal="left" vertical="top" wrapText="1"/>
    </xf>
    <xf numFmtId="0" fontId="17" fillId="8" borderId="2" xfId="1" applyFont="1" applyFill="1" applyBorder="1" applyAlignment="1">
      <alignment vertical="center" wrapText="1"/>
    </xf>
    <xf numFmtId="14" fontId="17" fillId="8" borderId="2" xfId="0" applyNumberFormat="1" applyFont="1" applyFill="1" applyBorder="1" applyAlignment="1">
      <alignment horizontal="center" vertical="center" wrapText="1"/>
    </xf>
    <xf numFmtId="0" fontId="47" fillId="33" borderId="2" xfId="0" applyFont="1" applyFill="1" applyBorder="1" applyAlignment="1">
      <alignment horizontal="left" vertical="center" wrapText="1"/>
    </xf>
    <xf numFmtId="0" fontId="47" fillId="19" borderId="2" xfId="0" applyFont="1" applyFill="1" applyBorder="1" applyAlignment="1">
      <alignment horizontal="left" vertical="center" wrapText="1"/>
    </xf>
    <xf numFmtId="0" fontId="47" fillId="53" borderId="2" xfId="0" applyFont="1" applyFill="1" applyBorder="1" applyAlignment="1">
      <alignment horizontal="left" vertical="center" wrapText="1"/>
    </xf>
    <xf numFmtId="0" fontId="47" fillId="40" borderId="2" xfId="0" applyFont="1" applyFill="1" applyBorder="1" applyAlignment="1">
      <alignment horizontal="left" vertical="center" wrapText="1"/>
    </xf>
    <xf numFmtId="0" fontId="17" fillId="0" borderId="0" xfId="1" applyFont="1" applyAlignment="1">
      <alignment horizontal="right" vertical="top"/>
    </xf>
    <xf numFmtId="164" fontId="23" fillId="0" borderId="0" xfId="1" applyNumberFormat="1" applyFont="1" applyAlignment="1">
      <alignment horizontal="left" vertical="center"/>
    </xf>
    <xf numFmtId="0" fontId="22" fillId="0" borderId="1" xfId="1" applyFont="1" applyBorder="1" applyAlignment="1">
      <alignment horizontal="left" wrapText="1"/>
    </xf>
    <xf numFmtId="0" fontId="23" fillId="0" borderId="1" xfId="1" applyFont="1" applyBorder="1" applyAlignment="1">
      <alignment horizontal="left" wrapText="1"/>
    </xf>
    <xf numFmtId="0" fontId="19" fillId="0" borderId="0" xfId="1" applyFont="1" applyAlignment="1">
      <alignment horizontal="center" vertical="top" wrapText="1"/>
    </xf>
    <xf numFmtId="0" fontId="22" fillId="0" borderId="1" xfId="0" applyFont="1" applyBorder="1" applyAlignment="1">
      <alignment horizontal="left" wrapText="1"/>
    </xf>
    <xf numFmtId="14" fontId="22" fillId="0" borderId="1" xfId="1" applyNumberFormat="1" applyFont="1" applyBorder="1" applyAlignment="1">
      <alignment horizontal="left" wrapText="1"/>
    </xf>
    <xf numFmtId="0" fontId="22" fillId="0" borderId="1" xfId="1" applyFont="1" applyBorder="1" applyAlignment="1">
      <alignment horizontal="left"/>
    </xf>
    <xf numFmtId="0" fontId="25" fillId="0" borderId="0" xfId="0" applyFont="1" applyAlignment="1">
      <alignment horizontal="left" wrapText="1"/>
    </xf>
    <xf numFmtId="0" fontId="19" fillId="0" borderId="3" xfId="1" applyFont="1" applyBorder="1" applyAlignment="1">
      <alignment horizontal="center" vertical="top" wrapText="1"/>
    </xf>
    <xf numFmtId="0" fontId="25" fillId="0" borderId="0" xfId="1" applyFont="1" applyAlignment="1">
      <alignment horizontal="left" vertical="center" wrapText="1"/>
    </xf>
    <xf numFmtId="0" fontId="21" fillId="0" borderId="0" xfId="1" applyFont="1" applyAlignment="1">
      <alignment horizontal="left" wrapText="1"/>
    </xf>
    <xf numFmtId="0" fontId="14" fillId="0" borderId="0" xfId="1" applyFont="1" applyAlignment="1">
      <alignment horizontal="center" vertical="top" wrapText="1"/>
    </xf>
    <xf numFmtId="0" fontId="14" fillId="0" borderId="3" xfId="1" applyFont="1" applyBorder="1" applyAlignment="1">
      <alignment horizontal="center" vertical="top" wrapText="1"/>
    </xf>
    <xf numFmtId="0" fontId="25" fillId="0" borderId="0" xfId="0" applyFont="1" applyAlignment="1">
      <alignment horizontal="left" vertical="center"/>
    </xf>
    <xf numFmtId="0" fontId="19" fillId="0" borderId="3" xfId="0" applyFont="1" applyBorder="1" applyAlignment="1">
      <alignment horizontal="center" vertical="top" wrapText="1"/>
    </xf>
    <xf numFmtId="0" fontId="23" fillId="0" borderId="1" xfId="0" applyFont="1" applyBorder="1" applyAlignment="1">
      <alignment horizontal="left" wrapText="1"/>
    </xf>
    <xf numFmtId="14" fontId="22" fillId="0" borderId="1" xfId="0" applyNumberFormat="1" applyFont="1" applyBorder="1" applyAlignment="1">
      <alignment horizontal="left" wrapText="1"/>
    </xf>
    <xf numFmtId="0" fontId="19" fillId="0" borderId="3" xfId="0" applyFont="1" applyBorder="1" applyAlignment="1">
      <alignment horizontal="center" vertical="top"/>
    </xf>
    <xf numFmtId="0" fontId="24" fillId="0" borderId="1" xfId="1" applyFont="1" applyBorder="1" applyAlignment="1">
      <alignment horizontal="left" wrapText="1"/>
    </xf>
    <xf numFmtId="0" fontId="22" fillId="0" borderId="1" xfId="1" applyFont="1" applyBorder="1" applyAlignment="1">
      <alignment horizontal="center" wrapText="1"/>
    </xf>
    <xf numFmtId="0" fontId="22" fillId="0" borderId="4" xfId="1" applyFont="1" applyBorder="1" applyAlignment="1">
      <alignment wrapText="1"/>
    </xf>
    <xf numFmtId="0" fontId="22" fillId="0" borderId="1" xfId="1" applyFont="1" applyBorder="1" applyAlignment="1">
      <alignment wrapText="1"/>
    </xf>
    <xf numFmtId="0" fontId="25" fillId="0" borderId="0" xfId="0" applyFont="1" applyAlignment="1">
      <alignment horizontal="left" vertical="center" wrapText="1"/>
    </xf>
    <xf numFmtId="0" fontId="27" fillId="0" borderId="1" xfId="1" applyFont="1" applyBorder="1" applyAlignment="1">
      <alignment horizontal="left" vertical="center"/>
    </xf>
    <xf numFmtId="164" fontId="27" fillId="0" borderId="1" xfId="1" applyNumberFormat="1" applyFont="1" applyBorder="1" applyAlignment="1">
      <alignment horizontal="center" vertical="center"/>
    </xf>
    <xf numFmtId="0" fontId="13" fillId="0" borderId="0" xfId="1" applyFont="1" applyAlignment="1">
      <alignment horizontal="center" vertical="center"/>
    </xf>
    <xf numFmtId="0" fontId="21" fillId="0" borderId="0" xfId="1" applyFont="1" applyAlignment="1">
      <alignment horizontal="left" vertical="center"/>
    </xf>
    <xf numFmtId="0" fontId="24" fillId="0" borderId="0" xfId="0" applyFont="1" applyAlignment="1">
      <alignment horizontal="left" vertical="center"/>
    </xf>
    <xf numFmtId="0" fontId="24" fillId="0" borderId="0" xfId="0" applyFont="1" applyAlignment="1">
      <alignment horizontal="left"/>
    </xf>
    <xf numFmtId="0" fontId="25" fillId="0" borderId="0" xfId="0" applyFont="1" applyAlignment="1">
      <alignment horizontal="left"/>
    </xf>
    <xf numFmtId="0" fontId="19" fillId="0" borderId="3" xfId="1" applyFont="1" applyBorder="1" applyAlignment="1">
      <alignment horizontal="center" vertical="top"/>
    </xf>
    <xf numFmtId="0" fontId="22" fillId="0" borderId="0" xfId="1" applyFont="1" applyAlignment="1">
      <alignment horizontal="left" vertical="center"/>
    </xf>
    <xf numFmtId="0" fontId="44" fillId="0" borderId="0" xfId="1" applyFont="1" applyAlignment="1">
      <alignment horizontal="right" vertical="top"/>
    </xf>
    <xf numFmtId="14" fontId="22" fillId="0" borderId="1" xfId="0" applyNumberFormat="1" applyFont="1" applyBorder="1" applyAlignment="1">
      <alignment horizontal="left" vertical="center" wrapText="1"/>
    </xf>
    <xf numFmtId="0" fontId="23" fillId="0" borderId="1" xfId="0" applyFont="1" applyBorder="1" applyAlignment="1">
      <alignment horizontal="left" vertical="center" wrapText="1"/>
    </xf>
    <xf numFmtId="0" fontId="35" fillId="0" borderId="3" xfId="0" applyFont="1" applyBorder="1" applyAlignment="1">
      <alignment horizontal="center" vertical="center"/>
    </xf>
    <xf numFmtId="0" fontId="22" fillId="0" borderId="1" xfId="0" applyFont="1" applyBorder="1" applyAlignment="1">
      <alignment horizontal="left" vertical="center" wrapText="1"/>
    </xf>
    <xf numFmtId="0" fontId="22" fillId="0" borderId="1" xfId="1" applyFont="1" applyBorder="1" applyAlignment="1">
      <alignment horizontal="left" vertical="center" wrapText="1"/>
    </xf>
    <xf numFmtId="0" fontId="24" fillId="0" borderId="1" xfId="1" applyFont="1" applyBorder="1" applyAlignment="1">
      <alignment horizontal="left" vertical="center" wrapText="1"/>
    </xf>
    <xf numFmtId="0" fontId="35" fillId="0" borderId="0" xfId="1" applyFont="1" applyAlignment="1">
      <alignment horizontal="center" vertical="center" wrapText="1"/>
    </xf>
    <xf numFmtId="0" fontId="35" fillId="0" borderId="3" xfId="0" applyFont="1" applyBorder="1" applyAlignment="1">
      <alignment horizontal="center" vertical="center" wrapText="1"/>
    </xf>
    <xf numFmtId="0" fontId="35" fillId="0" borderId="0" xfId="0" applyFont="1" applyAlignment="1">
      <alignment horizontal="center" vertical="center" wrapText="1"/>
    </xf>
    <xf numFmtId="0" fontId="22" fillId="0" borderId="1" xfId="0" applyFont="1" applyBorder="1" applyAlignment="1">
      <alignment horizontal="center" vertical="center" wrapText="1"/>
    </xf>
    <xf numFmtId="0" fontId="23" fillId="0" borderId="1" xfId="1" applyFont="1" applyBorder="1" applyAlignment="1">
      <alignment horizontal="left" vertical="center" wrapText="1"/>
    </xf>
    <xf numFmtId="0" fontId="21" fillId="0" borderId="0" xfId="1" applyFont="1" applyAlignment="1">
      <alignment horizontal="left" vertical="center" wrapText="1"/>
    </xf>
    <xf numFmtId="0" fontId="14" fillId="0" borderId="0" xfId="1" applyFont="1" applyAlignment="1">
      <alignment horizontal="center" vertical="center" wrapText="1"/>
    </xf>
    <xf numFmtId="0" fontId="14" fillId="0" borderId="3" xfId="1" applyFont="1" applyBorder="1" applyAlignment="1">
      <alignment horizontal="center" vertical="center" wrapText="1"/>
    </xf>
    <xf numFmtId="0" fontId="22" fillId="0" borderId="1" xfId="1" applyFont="1" applyBorder="1" applyAlignment="1">
      <alignment horizontal="center" vertical="center" wrapText="1"/>
    </xf>
    <xf numFmtId="0" fontId="23" fillId="0" borderId="1" xfId="1" applyFont="1" applyBorder="1" applyAlignment="1">
      <alignment horizontal="center" vertical="center" wrapText="1"/>
    </xf>
    <xf numFmtId="0" fontId="22" fillId="0" borderId="1" xfId="1" applyFont="1" applyBorder="1" applyAlignment="1">
      <alignment vertical="center" wrapText="1"/>
    </xf>
    <xf numFmtId="0" fontId="22" fillId="0" borderId="4" xfId="1" applyFont="1" applyBorder="1" applyAlignment="1">
      <alignment vertical="center" wrapText="1"/>
    </xf>
    <xf numFmtId="0" fontId="35" fillId="0" borderId="3" xfId="1" applyFont="1" applyBorder="1" applyAlignment="1">
      <alignment horizontal="center" vertical="center" wrapText="1"/>
    </xf>
    <xf numFmtId="0" fontId="22" fillId="0" borderId="1" xfId="1" applyFont="1" applyBorder="1" applyAlignment="1">
      <alignment horizontal="center" vertical="center"/>
    </xf>
    <xf numFmtId="0" fontId="22" fillId="0" borderId="1" xfId="1" applyFont="1" applyBorder="1" applyAlignment="1" applyProtection="1">
      <alignment horizontal="left" wrapText="1"/>
      <protection locked="0"/>
    </xf>
    <xf numFmtId="0" fontId="15" fillId="0" borderId="0" xfId="1" applyFont="1" applyAlignment="1">
      <alignment horizontal="left" vertical="center"/>
    </xf>
    <xf numFmtId="0" fontId="22" fillId="0" borderId="1" xfId="1" applyFont="1" applyBorder="1" applyAlignment="1">
      <alignment horizontal="left" vertical="center"/>
    </xf>
    <xf numFmtId="14" fontId="22" fillId="0" borderId="1" xfId="1" applyNumberFormat="1" applyFont="1" applyBorder="1" applyAlignment="1" applyProtection="1">
      <alignment horizontal="left" wrapText="1"/>
      <protection locked="0"/>
    </xf>
    <xf numFmtId="0" fontId="22" fillId="0" borderId="1" xfId="1" applyFont="1" applyBorder="1" applyAlignment="1">
      <alignment horizontal="center"/>
    </xf>
    <xf numFmtId="0" fontId="17" fillId="3" borderId="2" xfId="3" applyFont="1" applyFill="1" applyBorder="1" applyAlignment="1">
      <alignment horizontal="center" vertical="center" wrapText="1"/>
    </xf>
    <xf numFmtId="0" fontId="14" fillId="2" borderId="2" xfId="2" applyFont="1" applyFill="1" applyBorder="1" applyAlignment="1">
      <alignment horizontal="center" vertical="center" wrapText="1"/>
    </xf>
    <xf numFmtId="0" fontId="25" fillId="0" borderId="0" xfId="10" applyFont="1" applyAlignment="1">
      <alignment horizontal="left" vertical="center" wrapText="1"/>
    </xf>
    <xf numFmtId="0" fontId="50" fillId="0" borderId="0" xfId="6" applyFont="1" applyAlignment="1">
      <alignment horizontal="right"/>
    </xf>
    <xf numFmtId="0" fontId="24" fillId="0" borderId="0" xfId="6" applyFont="1" applyAlignment="1">
      <alignment horizontal="right"/>
    </xf>
    <xf numFmtId="0" fontId="25" fillId="0" borderId="0" xfId="6" applyFont="1" applyAlignment="1">
      <alignment horizontal="center" vertical="center" wrapText="1"/>
    </xf>
    <xf numFmtId="0" fontId="35" fillId="0" borderId="3" xfId="10" applyFont="1" applyBorder="1" applyAlignment="1">
      <alignment horizontal="center" vertical="top"/>
    </xf>
    <xf numFmtId="0" fontId="22" fillId="0" borderId="1" xfId="10" applyFont="1" applyBorder="1" applyAlignment="1">
      <alignment horizontal="left" wrapText="1"/>
    </xf>
    <xf numFmtId="0" fontId="21" fillId="0" borderId="0" xfId="6" applyFont="1" applyAlignment="1">
      <alignment horizontal="left" vertical="center"/>
    </xf>
  </cellXfs>
  <cellStyles count="57">
    <cellStyle name="Обычный" xfId="0" builtinId="0"/>
    <cellStyle name="Обычный 16 2" xfId="11" xr:uid="{3D2921F5-EAFA-47D9-B6BB-C9C3A3DAC528}"/>
    <cellStyle name="Обычный 2" xfId="4" xr:uid="{00000000-0005-0000-0000-000001000000}"/>
    <cellStyle name="Обычный 2 2" xfId="7" xr:uid="{00000000-0005-0000-0000-000002000000}"/>
    <cellStyle name="Обычный 2 2 2 2 2" xfId="21" xr:uid="{DA6B65BB-768A-4429-8DE1-14670E64088B}"/>
    <cellStyle name="Обычный 2 2 2 2 2 2" xfId="6" xr:uid="{00000000-0005-0000-0000-000003000000}"/>
    <cellStyle name="Обычный 2 3" xfId="18" xr:uid="{6DDDF61D-4A94-48F1-8C56-AA88B7149A13}"/>
    <cellStyle name="Обычный 2 3 2" xfId="23" xr:uid="{186E7A97-CA00-4CA7-B0DC-0BD5FDE9C7FB}"/>
    <cellStyle name="Обычный 2 3 2 2" xfId="35" xr:uid="{471391ED-8195-4980-9EE6-D1FD975744A9}"/>
    <cellStyle name="Обычный 2 3 2 2 2" xfId="56" xr:uid="{8FD4F6F1-EA9F-422F-B64D-B7DBC2D2987E}"/>
    <cellStyle name="Обычный 2 3 2 3" xfId="45" xr:uid="{22BB1805-C4DF-44EA-ADDE-0E0855256C80}"/>
    <cellStyle name="Обычный 2 3 3" xfId="32" xr:uid="{180D649F-D73D-4B71-968A-2C7100BC6791}"/>
    <cellStyle name="Обычный 2 3 3 2" xfId="53" xr:uid="{EB6E6164-6D21-4872-8D86-5B53E215DDB4}"/>
    <cellStyle name="Обычный 2 3 4" xfId="42" xr:uid="{3CA0351B-73AB-4A76-A16F-9D8149A1EC75}"/>
    <cellStyle name="Обычный 2 4" xfId="20" xr:uid="{55E68026-9E61-413E-9FBB-DF0A096AE460}"/>
    <cellStyle name="Обычный 2_№208 АОСР Основание Д.О. из С-6" xfId="10" xr:uid="{00000000-0005-0000-0000-000004000000}"/>
    <cellStyle name="Обычный 3" xfId="12" xr:uid="{E1159AB9-6637-4737-883E-F78D149297F7}"/>
    <cellStyle name="Обычный 4" xfId="19" xr:uid="{F1470835-F252-4158-898D-1974514E4254}"/>
    <cellStyle name="Обычный 4 2" xfId="5" xr:uid="{00000000-0005-0000-0000-000005000000}"/>
    <cellStyle name="Обычный 4 2 2" xfId="8" xr:uid="{00000000-0005-0000-0000-000006000000}"/>
    <cellStyle name="Обычный 4 2 2 2" xfId="15" xr:uid="{14374F12-4789-4A39-94A7-9B60AD58126D}"/>
    <cellStyle name="Обычный 4 2 2 2 2" xfId="30" xr:uid="{F4BAF611-DD5B-4C65-B99A-C468E30405DE}"/>
    <cellStyle name="Обычный 4 2 2 2 2 2" xfId="51" xr:uid="{1632EA43-152D-4F39-965C-38FC1BA04005}"/>
    <cellStyle name="Обычный 4 2 2 2 3" xfId="40" xr:uid="{99E4A0A0-BA6E-4E7E-91D5-43CA8DF96081}"/>
    <cellStyle name="Обычный 4 2 2 3" xfId="25" xr:uid="{1EF889A6-FA1B-4404-9188-BE64983F1407}"/>
    <cellStyle name="Обычный 4 2 2 3 2" xfId="47" xr:uid="{CA38A0A0-7225-4273-99D5-5985D21D7254}"/>
    <cellStyle name="Обычный 4 2 2 4" xfId="37" xr:uid="{A3C1237C-5729-4161-BB88-ED9CB74522C9}"/>
    <cellStyle name="Обычный 4 2 3" xfId="9" xr:uid="{00000000-0005-0000-0000-000007000000}"/>
    <cellStyle name="Обычный 4 2 3 2" xfId="16" xr:uid="{BB1D173A-D73E-4C89-9395-9E5356FB1522}"/>
    <cellStyle name="Обычный 4 2 3 2 2" xfId="31" xr:uid="{1CA21B1B-B89B-4D53-A434-F1BDF3790F40}"/>
    <cellStyle name="Обычный 4 2 3 2 2 2" xfId="52" xr:uid="{5503E65D-4B43-4604-9409-13DE55E41FB2}"/>
    <cellStyle name="Обычный 4 2 3 2 3" xfId="41" xr:uid="{51908903-C01E-4F2D-BFE7-10719862356E}"/>
    <cellStyle name="Обычный 4 2 3 3" xfId="26" xr:uid="{49022507-DEDE-415B-A88E-30FE10864CFA}"/>
    <cellStyle name="Обычный 4 2 3 3 2" xfId="48" xr:uid="{AE173B90-7221-4B12-8F39-74F83EFE306C}"/>
    <cellStyle name="Обычный 4 2 3 4" xfId="38" xr:uid="{155D5BD0-DE7F-4C8A-9E50-E803D9C670A8}"/>
    <cellStyle name="Обычный 4 2 4" xfId="14" xr:uid="{30E829C8-3706-41AA-901A-583CE8FE8FC5}"/>
    <cellStyle name="Обычный 4 2 4 2" xfId="29" xr:uid="{B19EADFF-4856-4ABD-ACDD-9E7907CD86A5}"/>
    <cellStyle name="Обычный 4 2 4 2 2" xfId="50" xr:uid="{92BB98B9-12DE-436A-A54F-A57D5F9341D0}"/>
    <cellStyle name="Обычный 4 2 4 3" xfId="39" xr:uid="{4B422D0D-A47A-4A8B-BBDC-C3511D31FDF7}"/>
    <cellStyle name="Обычный 4 2 5" xfId="24" xr:uid="{39953B4B-82A3-4195-A930-4145CC0D02BA}"/>
    <cellStyle name="Обычный 4 2 5 2" xfId="46" xr:uid="{1D933B26-321C-4403-BF45-F844A350494A}"/>
    <cellStyle name="Обычный 4 2 6" xfId="36" xr:uid="{E9655D95-C7A4-48E7-BF05-D5D9DB7124A0}"/>
    <cellStyle name="Обычный 4 3" xfId="33" xr:uid="{D19F059F-4D48-44EE-B753-732F2997176F}"/>
    <cellStyle name="Обычный 4 3 2" xfId="54" xr:uid="{C6ABFD97-5F2D-46EE-8C97-862536880657}"/>
    <cellStyle name="Обычный 4 4" xfId="43" xr:uid="{8374DD76-3540-4A46-A0FE-C5BE018F292D}"/>
    <cellStyle name="Обычный 5" xfId="22" xr:uid="{0FAA1F5F-4E03-4B8E-A663-D4FE2019D178}"/>
    <cellStyle name="Обычный 5 2" xfId="34" xr:uid="{3A7B8FD3-5B9A-4521-B11C-03574CDBE467}"/>
    <cellStyle name="Обычный 5 2 2" xfId="55" xr:uid="{6B6E49AB-94FA-408B-B736-FA5C3EDBFF99}"/>
    <cellStyle name="Обычный 5 3" xfId="44" xr:uid="{C7B4948A-C82E-49DD-A6E2-A03CAA5F2D5F}"/>
    <cellStyle name="Обычный_Акт_на_скрытые_работы СПЧ уч 12,13" xfId="1" xr:uid="{00000000-0005-0000-0000-000008000000}"/>
    <cellStyle name="Обычный_Расчет общестр объемов" xfId="2" xr:uid="{00000000-0005-0000-0000-000009000000}"/>
    <cellStyle name="Обычный_СП" xfId="17" xr:uid="{4F6E2CCC-E09E-4EDF-A36F-6D2A73087706}"/>
    <cellStyle name="Обычный_СПЧ_13_окна_кирпич" xfId="3" xr:uid="{00000000-0005-0000-0000-00000A000000}"/>
    <cellStyle name="Финансовый 2" xfId="13" xr:uid="{80271D4F-204C-4F82-9DE4-380E7323E574}"/>
    <cellStyle name="Финансовый 2 2" xfId="27" xr:uid="{B93CBFDA-178B-482D-A129-437B48341CFC}"/>
    <cellStyle name="Финансовый 3" xfId="28" xr:uid="{FC692DF1-5197-40F7-BC31-A3D04C6EB61C}"/>
    <cellStyle name="Финансовый 3 2" xfId="49" xr:uid="{5535D781-16A9-4AC0-B5B6-473F7EE438E7}"/>
  </cellStyles>
  <dxfs count="0"/>
  <tableStyles count="0" defaultTableStyle="TableStyleMedium9" defaultPivotStyle="PivotStyleLight16"/>
  <colors>
    <mruColors>
      <color rgb="FFCCFFCC"/>
      <color rgb="FFFF99FF"/>
      <color rgb="FFF4B183"/>
      <color rgb="FF00FFFF"/>
      <color rgb="FF975CCB"/>
      <color rgb="FF66FFFF"/>
      <color rgb="FF66FF99"/>
      <color rgb="FF00FF00"/>
      <color rgb="FF99FF99"/>
      <color rgb="FF66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externalLink" Target="externalLinks/externalLink1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2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Spin" dx="16" fmlaLink="$M$4" max="100" min="1" page="10"/>
</file>

<file path=xl/ctrlProps/ctrlProp2.xml><?xml version="1.0" encoding="utf-8"?>
<formControlPr xmlns="http://schemas.microsoft.com/office/spreadsheetml/2009/9/main" objectType="Radio" firstButton="1" lockText="1" noThreeD="1"/>
</file>

<file path=xl/ctrlProps/ctrlProp3.xml><?xml version="1.0" encoding="utf-8"?>
<formControlPr xmlns="http://schemas.microsoft.com/office/spreadsheetml/2009/9/main" objectType="Radio" checked="Checked" lockText="1" noThreeD="1"/>
</file>

<file path=xl/ctrlProps/ctrlProp4.xml><?xml version="1.0" encoding="utf-8"?>
<formControlPr xmlns="http://schemas.microsoft.com/office/spreadsheetml/2009/9/main" objectType="Spin" dx="16" fmlaLink="$M$4" max="302" min="1" page="10" val="41"/>
</file>

<file path=xl/ctrlProps/ctrlProp5.xml><?xml version="1.0" encoding="utf-8"?>
<formControlPr xmlns="http://schemas.microsoft.com/office/spreadsheetml/2009/9/main" objectType="Radio" checked="Checked" firstButton="1" lockText="1" noThreeD="1"/>
</file>

<file path=xl/ctrlProps/ctrlProp6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83820</xdr:colOff>
          <xdr:row>0</xdr:row>
          <xdr:rowOff>38100</xdr:rowOff>
        </xdr:from>
        <xdr:to>
          <xdr:col>13</xdr:col>
          <xdr:colOff>342900</xdr:colOff>
          <xdr:row>4</xdr:row>
          <xdr:rowOff>0</xdr:rowOff>
        </xdr:to>
        <xdr:sp macro="" textlink="">
          <xdr:nvSpPr>
            <xdr:cNvPr id="1035" name="Spinner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0</xdr:row>
          <xdr:rowOff>99060</xdr:rowOff>
        </xdr:from>
        <xdr:to>
          <xdr:col>15</xdr:col>
          <xdr:colOff>228600</xdr:colOff>
          <xdr:row>1</xdr:row>
          <xdr:rowOff>152400</xdr:rowOff>
        </xdr:to>
        <xdr:sp macro="" textlink="">
          <xdr:nvSpPr>
            <xdr:cNvPr id="1036" name="Option 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FF00" mc:Ignorable="a14" a14:legacySpreadsheetColorIndex="11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+15 высота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45720</xdr:colOff>
          <xdr:row>2</xdr:row>
          <xdr:rowOff>144780</xdr:rowOff>
        </xdr:from>
        <xdr:to>
          <xdr:col>15</xdr:col>
          <xdr:colOff>220980</xdr:colOff>
          <xdr:row>3</xdr:row>
          <xdr:rowOff>160020</xdr:rowOff>
        </xdr:to>
        <xdr:sp macro="" textlink="">
          <xdr:nvSpPr>
            <xdr:cNvPr id="1037" name="Option 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FF00" mc:Ignorable="a14" a14:legacySpreadsheetColorIndex="11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-15 высота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76200</xdr:colOff>
          <xdr:row>0</xdr:row>
          <xdr:rowOff>22860</xdr:rowOff>
        </xdr:from>
        <xdr:to>
          <xdr:col>13</xdr:col>
          <xdr:colOff>335280</xdr:colOff>
          <xdr:row>3</xdr:row>
          <xdr:rowOff>175260</xdr:rowOff>
        </xdr:to>
        <xdr:sp macro="" textlink="">
          <xdr:nvSpPr>
            <xdr:cNvPr id="5121" name="Spinner 1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38100</xdr:colOff>
          <xdr:row>0</xdr:row>
          <xdr:rowOff>99060</xdr:rowOff>
        </xdr:from>
        <xdr:to>
          <xdr:col>16</xdr:col>
          <xdr:colOff>464820</xdr:colOff>
          <xdr:row>2</xdr:row>
          <xdr:rowOff>99060</xdr:rowOff>
        </xdr:to>
        <xdr:sp macro="" textlink="">
          <xdr:nvSpPr>
            <xdr:cNvPr id="5126" name="Option 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FF00" mc:Ignorable="a14" a14:legacySpreadsheetColorIndex="11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+15 высота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45720</xdr:colOff>
          <xdr:row>2</xdr:row>
          <xdr:rowOff>144780</xdr:rowOff>
        </xdr:from>
        <xdr:to>
          <xdr:col>16</xdr:col>
          <xdr:colOff>457200</xdr:colOff>
          <xdr:row>3</xdr:row>
          <xdr:rowOff>175260</xdr:rowOff>
        </xdr:to>
        <xdr:sp macro="" textlink="">
          <xdr:nvSpPr>
            <xdr:cNvPr id="5127" name="Option 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FF00" mc:Ignorable="a14" a14:legacySpreadsheetColorIndex="11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-15 высота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0</xdr:colOff>
      <xdr:row>104</xdr:row>
      <xdr:rowOff>0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6591300" y="37147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4</xdr:col>
      <xdr:colOff>0</xdr:colOff>
      <xdr:row>71</xdr:row>
      <xdr:rowOff>0</xdr:rowOff>
    </xdr:from>
    <xdr:ext cx="65" cy="172227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5276850" y="81153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4</xdr:col>
      <xdr:colOff>0</xdr:colOff>
      <xdr:row>71</xdr:row>
      <xdr:rowOff>0</xdr:rowOff>
    </xdr:from>
    <xdr:ext cx="65" cy="172227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5276850" y="81153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4</xdr:col>
      <xdr:colOff>0</xdr:colOff>
      <xdr:row>71</xdr:row>
      <xdr:rowOff>0</xdr:rowOff>
    </xdr:from>
    <xdr:ext cx="65" cy="172227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5276850" y="81153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4</xdr:col>
      <xdr:colOff>0</xdr:colOff>
      <xdr:row>71</xdr:row>
      <xdr:rowOff>0</xdr:rowOff>
    </xdr:from>
    <xdr:ext cx="65" cy="172227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5276850" y="81153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4</xdr:col>
      <xdr:colOff>0</xdr:colOff>
      <xdr:row>71</xdr:row>
      <xdr:rowOff>0</xdr:rowOff>
    </xdr:from>
    <xdr:ext cx="65" cy="172227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5191125" y="1619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4</xdr:col>
      <xdr:colOff>0</xdr:colOff>
      <xdr:row>71</xdr:row>
      <xdr:rowOff>0</xdr:rowOff>
    </xdr:from>
    <xdr:ext cx="65" cy="172227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5191125" y="1619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4</xdr:col>
      <xdr:colOff>0</xdr:colOff>
      <xdr:row>71</xdr:row>
      <xdr:rowOff>0</xdr:rowOff>
    </xdr:from>
    <xdr:ext cx="65" cy="172227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 txBox="1"/>
      </xdr:nvSpPr>
      <xdr:spPr>
        <a:xfrm>
          <a:off x="5191125" y="1619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4</xdr:col>
      <xdr:colOff>0</xdr:colOff>
      <xdr:row>71</xdr:row>
      <xdr:rowOff>0</xdr:rowOff>
    </xdr:from>
    <xdr:ext cx="65" cy="172227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 txBox="1"/>
      </xdr:nvSpPr>
      <xdr:spPr>
        <a:xfrm>
          <a:off x="5191125" y="1619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4</xdr:col>
      <xdr:colOff>0</xdr:colOff>
      <xdr:row>45</xdr:row>
      <xdr:rowOff>0</xdr:rowOff>
    </xdr:from>
    <xdr:ext cx="65" cy="172227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9738E675-DD3C-40CF-BC13-A49A20927D97}"/>
            </a:ext>
          </a:extLst>
        </xdr:cNvPr>
        <xdr:cNvSpPr txBox="1"/>
      </xdr:nvSpPr>
      <xdr:spPr>
        <a:xfrm>
          <a:off x="5635782" y="5984340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4</xdr:col>
      <xdr:colOff>0</xdr:colOff>
      <xdr:row>45</xdr:row>
      <xdr:rowOff>0</xdr:rowOff>
    </xdr:from>
    <xdr:ext cx="65" cy="172227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3481B6E-72C6-4749-B70C-A3E1105D7223}"/>
            </a:ext>
          </a:extLst>
        </xdr:cNvPr>
        <xdr:cNvSpPr txBox="1"/>
      </xdr:nvSpPr>
      <xdr:spPr>
        <a:xfrm>
          <a:off x="5635782" y="5984340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4</xdr:col>
      <xdr:colOff>0</xdr:colOff>
      <xdr:row>45</xdr:row>
      <xdr:rowOff>0</xdr:rowOff>
    </xdr:from>
    <xdr:ext cx="65" cy="172227"/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40BB7F0C-9175-4BBE-8EAB-044AC5FF6C54}"/>
            </a:ext>
          </a:extLst>
        </xdr:cNvPr>
        <xdr:cNvSpPr txBox="1"/>
      </xdr:nvSpPr>
      <xdr:spPr>
        <a:xfrm>
          <a:off x="5635782" y="5984340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4</xdr:col>
      <xdr:colOff>0</xdr:colOff>
      <xdr:row>45</xdr:row>
      <xdr:rowOff>0</xdr:rowOff>
    </xdr:from>
    <xdr:ext cx="65" cy="172227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662BF399-0DFD-498A-B056-241FB879A0C1}"/>
            </a:ext>
          </a:extLst>
        </xdr:cNvPr>
        <xdr:cNvSpPr txBox="1"/>
      </xdr:nvSpPr>
      <xdr:spPr>
        <a:xfrm>
          <a:off x="5635782" y="5984340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4</xdr:col>
      <xdr:colOff>0</xdr:colOff>
      <xdr:row>45</xdr:row>
      <xdr:rowOff>0</xdr:rowOff>
    </xdr:from>
    <xdr:ext cx="65" cy="172227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47561FD4-2FFE-4351-8DAE-92BFEEAA87A3}"/>
            </a:ext>
          </a:extLst>
        </xdr:cNvPr>
        <xdr:cNvSpPr txBox="1"/>
      </xdr:nvSpPr>
      <xdr:spPr>
        <a:xfrm>
          <a:off x="5635782" y="5984340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4</xdr:col>
      <xdr:colOff>0</xdr:colOff>
      <xdr:row>45</xdr:row>
      <xdr:rowOff>0</xdr:rowOff>
    </xdr:from>
    <xdr:ext cx="65" cy="172227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38E50AEB-41CE-4425-8137-B717A4FCD8E8}"/>
            </a:ext>
          </a:extLst>
        </xdr:cNvPr>
        <xdr:cNvSpPr txBox="1"/>
      </xdr:nvSpPr>
      <xdr:spPr>
        <a:xfrm>
          <a:off x="5635782" y="5984340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4</xdr:col>
      <xdr:colOff>0</xdr:colOff>
      <xdr:row>45</xdr:row>
      <xdr:rowOff>0</xdr:rowOff>
    </xdr:from>
    <xdr:ext cx="65" cy="172227"/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E4408D2B-CC12-462F-A0F5-D1B7E71627F2}"/>
            </a:ext>
          </a:extLst>
        </xdr:cNvPr>
        <xdr:cNvSpPr txBox="1"/>
      </xdr:nvSpPr>
      <xdr:spPr>
        <a:xfrm>
          <a:off x="5635782" y="5984340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4</xdr:col>
      <xdr:colOff>0</xdr:colOff>
      <xdr:row>45</xdr:row>
      <xdr:rowOff>0</xdr:rowOff>
    </xdr:from>
    <xdr:ext cx="65" cy="172227"/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9A01962D-BC1F-445D-922F-B8710489E8FB}"/>
            </a:ext>
          </a:extLst>
        </xdr:cNvPr>
        <xdr:cNvSpPr txBox="1"/>
      </xdr:nvSpPr>
      <xdr:spPr>
        <a:xfrm>
          <a:off x="5635782" y="5984340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4</xdr:col>
      <xdr:colOff>0</xdr:colOff>
      <xdr:row>45</xdr:row>
      <xdr:rowOff>0</xdr:rowOff>
    </xdr:from>
    <xdr:ext cx="65" cy="172227"/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E6CD0FD0-3ED2-40E1-838A-75968D6CFF99}"/>
            </a:ext>
          </a:extLst>
        </xdr:cNvPr>
        <xdr:cNvSpPr txBox="1"/>
      </xdr:nvSpPr>
      <xdr:spPr>
        <a:xfrm>
          <a:off x="5635782" y="5984340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4</xdr:col>
      <xdr:colOff>0</xdr:colOff>
      <xdr:row>45</xdr:row>
      <xdr:rowOff>0</xdr:rowOff>
    </xdr:from>
    <xdr:ext cx="65" cy="172227"/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4572AE19-FEBB-4755-89B2-C27AC1C4A8D0}"/>
            </a:ext>
          </a:extLst>
        </xdr:cNvPr>
        <xdr:cNvSpPr txBox="1"/>
      </xdr:nvSpPr>
      <xdr:spPr>
        <a:xfrm>
          <a:off x="5635782" y="5984340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4</xdr:col>
      <xdr:colOff>0</xdr:colOff>
      <xdr:row>45</xdr:row>
      <xdr:rowOff>0</xdr:rowOff>
    </xdr:from>
    <xdr:ext cx="65" cy="172227"/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50AD7866-F4C5-4AA0-A2FA-791BABDE03C8}"/>
            </a:ext>
          </a:extLst>
        </xdr:cNvPr>
        <xdr:cNvSpPr txBox="1"/>
      </xdr:nvSpPr>
      <xdr:spPr>
        <a:xfrm>
          <a:off x="5635782" y="5984340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4</xdr:col>
      <xdr:colOff>0</xdr:colOff>
      <xdr:row>45</xdr:row>
      <xdr:rowOff>0</xdr:rowOff>
    </xdr:from>
    <xdr:ext cx="65" cy="172227"/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6C52C1DB-B8A5-4B8E-AF23-BDD8162962AC}"/>
            </a:ext>
          </a:extLst>
        </xdr:cNvPr>
        <xdr:cNvSpPr txBox="1"/>
      </xdr:nvSpPr>
      <xdr:spPr>
        <a:xfrm>
          <a:off x="5635782" y="5984340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4</xdr:col>
      <xdr:colOff>0</xdr:colOff>
      <xdr:row>45</xdr:row>
      <xdr:rowOff>0</xdr:rowOff>
    </xdr:from>
    <xdr:ext cx="65" cy="172227"/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116A70EE-4A08-435B-B143-495BE63CDFF9}"/>
            </a:ext>
          </a:extLst>
        </xdr:cNvPr>
        <xdr:cNvSpPr txBox="1"/>
      </xdr:nvSpPr>
      <xdr:spPr>
        <a:xfrm>
          <a:off x="5635782" y="5984340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4</xdr:col>
      <xdr:colOff>0</xdr:colOff>
      <xdr:row>45</xdr:row>
      <xdr:rowOff>0</xdr:rowOff>
    </xdr:from>
    <xdr:ext cx="65" cy="172227"/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44AE34F8-DDE6-416A-8E06-9A8A027CAC0D}"/>
            </a:ext>
          </a:extLst>
        </xdr:cNvPr>
        <xdr:cNvSpPr txBox="1"/>
      </xdr:nvSpPr>
      <xdr:spPr>
        <a:xfrm>
          <a:off x="5635782" y="5984340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4</xdr:col>
      <xdr:colOff>0</xdr:colOff>
      <xdr:row>45</xdr:row>
      <xdr:rowOff>0</xdr:rowOff>
    </xdr:from>
    <xdr:ext cx="65" cy="172227"/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6A53D4E1-9CBE-4C83-ACCD-A8810A51B918}"/>
            </a:ext>
          </a:extLst>
        </xdr:cNvPr>
        <xdr:cNvSpPr txBox="1"/>
      </xdr:nvSpPr>
      <xdr:spPr>
        <a:xfrm>
          <a:off x="5635782" y="5984340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4</xdr:col>
      <xdr:colOff>0</xdr:colOff>
      <xdr:row>45</xdr:row>
      <xdr:rowOff>0</xdr:rowOff>
    </xdr:from>
    <xdr:ext cx="65" cy="172227"/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4986580D-1689-474B-BC4B-677346D6DA63}"/>
            </a:ext>
          </a:extLst>
        </xdr:cNvPr>
        <xdr:cNvSpPr txBox="1"/>
      </xdr:nvSpPr>
      <xdr:spPr>
        <a:xfrm>
          <a:off x="5635782" y="5984340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0</xdr:colOff>
      <xdr:row>15</xdr:row>
      <xdr:rowOff>0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8162925" y="4429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5</xdr:col>
      <xdr:colOff>0</xdr:colOff>
      <xdr:row>15</xdr:row>
      <xdr:rowOff>0</xdr:rowOff>
    </xdr:from>
    <xdr:ext cx="65" cy="172227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8162925" y="4429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5</xdr:col>
      <xdr:colOff>0</xdr:colOff>
      <xdr:row>15</xdr:row>
      <xdr:rowOff>0</xdr:rowOff>
    </xdr:from>
    <xdr:ext cx="65" cy="172227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>
          <a:off x="8162925" y="4429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5</xdr:col>
      <xdr:colOff>0</xdr:colOff>
      <xdr:row>15</xdr:row>
      <xdr:rowOff>0</xdr:rowOff>
    </xdr:from>
    <xdr:ext cx="65" cy="172227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/>
      </xdr:nvSpPr>
      <xdr:spPr>
        <a:xfrm>
          <a:off x="8162925" y="4429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15</xdr:row>
      <xdr:rowOff>0</xdr:rowOff>
    </xdr:from>
    <xdr:ext cx="65" cy="172227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 txBox="1"/>
      </xdr:nvSpPr>
      <xdr:spPr>
        <a:xfrm>
          <a:off x="390525" y="4429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15</xdr:row>
      <xdr:rowOff>0</xdr:rowOff>
    </xdr:from>
    <xdr:ext cx="65" cy="172227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 txBox="1"/>
      </xdr:nvSpPr>
      <xdr:spPr>
        <a:xfrm>
          <a:off x="390525" y="4429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15</xdr:row>
      <xdr:rowOff>0</xdr:rowOff>
    </xdr:from>
    <xdr:ext cx="65" cy="172227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/>
      </xdr:nvSpPr>
      <xdr:spPr>
        <a:xfrm>
          <a:off x="390525" y="4429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15</xdr:row>
      <xdr:rowOff>0</xdr:rowOff>
    </xdr:from>
    <xdr:ext cx="65" cy="172227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/>
      </xdr:nvSpPr>
      <xdr:spPr>
        <a:xfrm>
          <a:off x="390525" y="4429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15</xdr:row>
      <xdr:rowOff>0</xdr:rowOff>
    </xdr:from>
    <xdr:ext cx="65" cy="172227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 txBox="1"/>
      </xdr:nvSpPr>
      <xdr:spPr>
        <a:xfrm>
          <a:off x="4086225" y="4429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15</xdr:row>
      <xdr:rowOff>0</xdr:rowOff>
    </xdr:from>
    <xdr:ext cx="65" cy="172227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 txBox="1"/>
      </xdr:nvSpPr>
      <xdr:spPr>
        <a:xfrm>
          <a:off x="4086225" y="4429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15</xdr:row>
      <xdr:rowOff>0</xdr:rowOff>
    </xdr:from>
    <xdr:ext cx="65" cy="172227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 txBox="1"/>
      </xdr:nvSpPr>
      <xdr:spPr>
        <a:xfrm>
          <a:off x="4086225" y="4429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15</xdr:row>
      <xdr:rowOff>0</xdr:rowOff>
    </xdr:from>
    <xdr:ext cx="65" cy="172227"/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 txBox="1"/>
      </xdr:nvSpPr>
      <xdr:spPr>
        <a:xfrm>
          <a:off x="4086225" y="4429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0</xdr:colOff>
      <xdr:row>13</xdr:row>
      <xdr:rowOff>0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8162925" y="39719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5</xdr:col>
      <xdr:colOff>0</xdr:colOff>
      <xdr:row>13</xdr:row>
      <xdr:rowOff>0</xdr:rowOff>
    </xdr:from>
    <xdr:ext cx="65" cy="172227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8162925" y="39719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5</xdr:col>
      <xdr:colOff>0</xdr:colOff>
      <xdr:row>13</xdr:row>
      <xdr:rowOff>0</xdr:rowOff>
    </xdr:from>
    <xdr:ext cx="65" cy="172227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 txBox="1"/>
      </xdr:nvSpPr>
      <xdr:spPr>
        <a:xfrm>
          <a:off x="8162925" y="39719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5</xdr:col>
      <xdr:colOff>0</xdr:colOff>
      <xdr:row>13</xdr:row>
      <xdr:rowOff>0</xdr:rowOff>
    </xdr:from>
    <xdr:ext cx="65" cy="172227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 txBox="1"/>
      </xdr:nvSpPr>
      <xdr:spPr>
        <a:xfrm>
          <a:off x="8162925" y="39719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13</xdr:row>
      <xdr:rowOff>0</xdr:rowOff>
    </xdr:from>
    <xdr:ext cx="65" cy="172227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 txBox="1"/>
      </xdr:nvSpPr>
      <xdr:spPr>
        <a:xfrm>
          <a:off x="390525" y="39719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13</xdr:row>
      <xdr:rowOff>0</xdr:rowOff>
    </xdr:from>
    <xdr:ext cx="65" cy="172227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 txBox="1"/>
      </xdr:nvSpPr>
      <xdr:spPr>
        <a:xfrm>
          <a:off x="390525" y="39719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13</xdr:row>
      <xdr:rowOff>0</xdr:rowOff>
    </xdr:from>
    <xdr:ext cx="65" cy="172227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 txBox="1"/>
      </xdr:nvSpPr>
      <xdr:spPr>
        <a:xfrm>
          <a:off x="390525" y="39719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13</xdr:row>
      <xdr:rowOff>0</xdr:rowOff>
    </xdr:from>
    <xdr:ext cx="65" cy="172227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 txBox="1"/>
      </xdr:nvSpPr>
      <xdr:spPr>
        <a:xfrm>
          <a:off x="390525" y="39719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13</xdr:row>
      <xdr:rowOff>0</xdr:rowOff>
    </xdr:from>
    <xdr:ext cx="65" cy="172227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 txBox="1"/>
      </xdr:nvSpPr>
      <xdr:spPr>
        <a:xfrm>
          <a:off x="4086225" y="39719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13</xdr:row>
      <xdr:rowOff>0</xdr:rowOff>
    </xdr:from>
    <xdr:ext cx="65" cy="172227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 txBox="1"/>
      </xdr:nvSpPr>
      <xdr:spPr>
        <a:xfrm>
          <a:off x="4086225" y="39719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13</xdr:row>
      <xdr:rowOff>0</xdr:rowOff>
    </xdr:from>
    <xdr:ext cx="65" cy="172227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 txBox="1"/>
      </xdr:nvSpPr>
      <xdr:spPr>
        <a:xfrm>
          <a:off x="4086225" y="39719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13</xdr:row>
      <xdr:rowOff>0</xdr:rowOff>
    </xdr:from>
    <xdr:ext cx="65" cy="172227"/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 txBox="1"/>
      </xdr:nvSpPr>
      <xdr:spPr>
        <a:xfrm>
          <a:off x="4086225" y="39719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0</xdr:colOff>
      <xdr:row>10</xdr:row>
      <xdr:rowOff>0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8162925" y="64484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5</xdr:col>
      <xdr:colOff>0</xdr:colOff>
      <xdr:row>10</xdr:row>
      <xdr:rowOff>0</xdr:rowOff>
    </xdr:from>
    <xdr:ext cx="65" cy="172227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/>
      </xdr:nvSpPr>
      <xdr:spPr>
        <a:xfrm>
          <a:off x="8162925" y="64484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5</xdr:col>
      <xdr:colOff>0</xdr:colOff>
      <xdr:row>10</xdr:row>
      <xdr:rowOff>0</xdr:rowOff>
    </xdr:from>
    <xdr:ext cx="65" cy="172227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 txBox="1"/>
      </xdr:nvSpPr>
      <xdr:spPr>
        <a:xfrm>
          <a:off x="8162925" y="64484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5</xdr:col>
      <xdr:colOff>0</xdr:colOff>
      <xdr:row>10</xdr:row>
      <xdr:rowOff>0</xdr:rowOff>
    </xdr:from>
    <xdr:ext cx="65" cy="172227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 txBox="1"/>
      </xdr:nvSpPr>
      <xdr:spPr>
        <a:xfrm>
          <a:off x="8162925" y="64484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10</xdr:row>
      <xdr:rowOff>0</xdr:rowOff>
    </xdr:from>
    <xdr:ext cx="65" cy="172227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 txBox="1"/>
      </xdr:nvSpPr>
      <xdr:spPr>
        <a:xfrm>
          <a:off x="390525" y="64484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10</xdr:row>
      <xdr:rowOff>0</xdr:rowOff>
    </xdr:from>
    <xdr:ext cx="65" cy="172227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 txBox="1"/>
      </xdr:nvSpPr>
      <xdr:spPr>
        <a:xfrm>
          <a:off x="390525" y="64484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10</xdr:row>
      <xdr:rowOff>0</xdr:rowOff>
    </xdr:from>
    <xdr:ext cx="65" cy="172227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 txBox="1"/>
      </xdr:nvSpPr>
      <xdr:spPr>
        <a:xfrm>
          <a:off x="390525" y="64484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10</xdr:row>
      <xdr:rowOff>0</xdr:rowOff>
    </xdr:from>
    <xdr:ext cx="65" cy="172227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 txBox="1"/>
      </xdr:nvSpPr>
      <xdr:spPr>
        <a:xfrm>
          <a:off x="390525" y="64484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10</xdr:row>
      <xdr:rowOff>0</xdr:rowOff>
    </xdr:from>
    <xdr:ext cx="65" cy="172227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 txBox="1"/>
      </xdr:nvSpPr>
      <xdr:spPr>
        <a:xfrm>
          <a:off x="0" y="20955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10</xdr:row>
      <xdr:rowOff>0</xdr:rowOff>
    </xdr:from>
    <xdr:ext cx="65" cy="172227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 txBox="1"/>
      </xdr:nvSpPr>
      <xdr:spPr>
        <a:xfrm>
          <a:off x="0" y="20955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10</xdr:row>
      <xdr:rowOff>0</xdr:rowOff>
    </xdr:from>
    <xdr:ext cx="65" cy="172227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 txBox="1"/>
      </xdr:nvSpPr>
      <xdr:spPr>
        <a:xfrm>
          <a:off x="0" y="20955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10</xdr:row>
      <xdr:rowOff>0</xdr:rowOff>
    </xdr:from>
    <xdr:ext cx="65" cy="172227"/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 txBox="1"/>
      </xdr:nvSpPr>
      <xdr:spPr>
        <a:xfrm>
          <a:off x="0" y="20955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0</xdr:colOff>
      <xdr:row>12</xdr:row>
      <xdr:rowOff>0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8397240" y="348996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5</xdr:col>
      <xdr:colOff>0</xdr:colOff>
      <xdr:row>12</xdr:row>
      <xdr:rowOff>0</xdr:rowOff>
    </xdr:from>
    <xdr:ext cx="65" cy="172227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 txBox="1"/>
      </xdr:nvSpPr>
      <xdr:spPr>
        <a:xfrm>
          <a:off x="8397240" y="348996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5</xdr:col>
      <xdr:colOff>0</xdr:colOff>
      <xdr:row>12</xdr:row>
      <xdr:rowOff>0</xdr:rowOff>
    </xdr:from>
    <xdr:ext cx="65" cy="172227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 txBox="1"/>
      </xdr:nvSpPr>
      <xdr:spPr>
        <a:xfrm>
          <a:off x="8397240" y="348996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5</xdr:col>
      <xdr:colOff>0</xdr:colOff>
      <xdr:row>12</xdr:row>
      <xdr:rowOff>0</xdr:rowOff>
    </xdr:from>
    <xdr:ext cx="65" cy="172227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 txBox="1"/>
      </xdr:nvSpPr>
      <xdr:spPr>
        <a:xfrm>
          <a:off x="8397240" y="348996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2227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 txBox="1"/>
      </xdr:nvSpPr>
      <xdr:spPr>
        <a:xfrm>
          <a:off x="403860" y="348996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2227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SpPr txBox="1"/>
      </xdr:nvSpPr>
      <xdr:spPr>
        <a:xfrm>
          <a:off x="403860" y="348996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2227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 txBox="1"/>
      </xdr:nvSpPr>
      <xdr:spPr>
        <a:xfrm>
          <a:off x="403860" y="348996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2227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SpPr txBox="1"/>
      </xdr:nvSpPr>
      <xdr:spPr>
        <a:xfrm>
          <a:off x="403860" y="348996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12</xdr:row>
      <xdr:rowOff>0</xdr:rowOff>
    </xdr:from>
    <xdr:ext cx="65" cy="172227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SpPr txBox="1"/>
      </xdr:nvSpPr>
      <xdr:spPr>
        <a:xfrm>
          <a:off x="4206240" y="348996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12</xdr:row>
      <xdr:rowOff>0</xdr:rowOff>
    </xdr:from>
    <xdr:ext cx="65" cy="172227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 txBox="1"/>
      </xdr:nvSpPr>
      <xdr:spPr>
        <a:xfrm>
          <a:off x="4206240" y="348996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12</xdr:row>
      <xdr:rowOff>0</xdr:rowOff>
    </xdr:from>
    <xdr:ext cx="65" cy="172227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 txBox="1"/>
      </xdr:nvSpPr>
      <xdr:spPr>
        <a:xfrm>
          <a:off x="4206240" y="348996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12</xdr:row>
      <xdr:rowOff>0</xdr:rowOff>
    </xdr:from>
    <xdr:ext cx="65" cy="172227"/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SpPr txBox="1"/>
      </xdr:nvSpPr>
      <xdr:spPr>
        <a:xfrm>
          <a:off x="4206240" y="348996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0</xdr:colOff>
      <xdr:row>13</xdr:row>
      <xdr:rowOff>0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8397240" y="348996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5</xdr:col>
      <xdr:colOff>0</xdr:colOff>
      <xdr:row>13</xdr:row>
      <xdr:rowOff>0</xdr:rowOff>
    </xdr:from>
    <xdr:ext cx="65" cy="172227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 txBox="1"/>
      </xdr:nvSpPr>
      <xdr:spPr>
        <a:xfrm>
          <a:off x="8397240" y="348996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5</xdr:col>
      <xdr:colOff>0</xdr:colOff>
      <xdr:row>13</xdr:row>
      <xdr:rowOff>0</xdr:rowOff>
    </xdr:from>
    <xdr:ext cx="65" cy="172227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 txBox="1"/>
      </xdr:nvSpPr>
      <xdr:spPr>
        <a:xfrm>
          <a:off x="8397240" y="348996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5</xdr:col>
      <xdr:colOff>0</xdr:colOff>
      <xdr:row>13</xdr:row>
      <xdr:rowOff>0</xdr:rowOff>
    </xdr:from>
    <xdr:ext cx="65" cy="172227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 txBox="1"/>
      </xdr:nvSpPr>
      <xdr:spPr>
        <a:xfrm>
          <a:off x="8397240" y="348996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13</xdr:row>
      <xdr:rowOff>0</xdr:rowOff>
    </xdr:from>
    <xdr:ext cx="65" cy="172227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 txBox="1"/>
      </xdr:nvSpPr>
      <xdr:spPr>
        <a:xfrm>
          <a:off x="403860" y="348996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13</xdr:row>
      <xdr:rowOff>0</xdr:rowOff>
    </xdr:from>
    <xdr:ext cx="65" cy="172227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 txBox="1"/>
      </xdr:nvSpPr>
      <xdr:spPr>
        <a:xfrm>
          <a:off x="403860" y="348996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13</xdr:row>
      <xdr:rowOff>0</xdr:rowOff>
    </xdr:from>
    <xdr:ext cx="65" cy="172227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SpPr txBox="1"/>
      </xdr:nvSpPr>
      <xdr:spPr>
        <a:xfrm>
          <a:off x="403860" y="348996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13</xdr:row>
      <xdr:rowOff>0</xdr:rowOff>
    </xdr:from>
    <xdr:ext cx="65" cy="172227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SpPr txBox="1"/>
      </xdr:nvSpPr>
      <xdr:spPr>
        <a:xfrm>
          <a:off x="403860" y="348996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13</xdr:row>
      <xdr:rowOff>0</xdr:rowOff>
    </xdr:from>
    <xdr:ext cx="65" cy="172227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 txBox="1"/>
      </xdr:nvSpPr>
      <xdr:spPr>
        <a:xfrm>
          <a:off x="4206240" y="348996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13</xdr:row>
      <xdr:rowOff>0</xdr:rowOff>
    </xdr:from>
    <xdr:ext cx="65" cy="172227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SpPr txBox="1"/>
      </xdr:nvSpPr>
      <xdr:spPr>
        <a:xfrm>
          <a:off x="4206240" y="348996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13</xdr:row>
      <xdr:rowOff>0</xdr:rowOff>
    </xdr:from>
    <xdr:ext cx="65" cy="172227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 txBox="1"/>
      </xdr:nvSpPr>
      <xdr:spPr>
        <a:xfrm>
          <a:off x="4206240" y="348996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13</xdr:row>
      <xdr:rowOff>0</xdr:rowOff>
    </xdr:from>
    <xdr:ext cx="65" cy="172227"/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SpPr txBox="1"/>
      </xdr:nvSpPr>
      <xdr:spPr>
        <a:xfrm>
          <a:off x="4206240" y="348996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0</xdr:colOff>
      <xdr:row>12</xdr:row>
      <xdr:rowOff>0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8397240" y="348996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5</xdr:col>
      <xdr:colOff>0</xdr:colOff>
      <xdr:row>12</xdr:row>
      <xdr:rowOff>0</xdr:rowOff>
    </xdr:from>
    <xdr:ext cx="65" cy="172227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 txBox="1"/>
      </xdr:nvSpPr>
      <xdr:spPr>
        <a:xfrm>
          <a:off x="8397240" y="348996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5</xdr:col>
      <xdr:colOff>0</xdr:colOff>
      <xdr:row>12</xdr:row>
      <xdr:rowOff>0</xdr:rowOff>
    </xdr:from>
    <xdr:ext cx="65" cy="172227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 txBox="1"/>
      </xdr:nvSpPr>
      <xdr:spPr>
        <a:xfrm>
          <a:off x="8397240" y="348996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5</xdr:col>
      <xdr:colOff>0</xdr:colOff>
      <xdr:row>12</xdr:row>
      <xdr:rowOff>0</xdr:rowOff>
    </xdr:from>
    <xdr:ext cx="65" cy="172227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 txBox="1"/>
      </xdr:nvSpPr>
      <xdr:spPr>
        <a:xfrm>
          <a:off x="8397240" y="348996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2227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 txBox="1"/>
      </xdr:nvSpPr>
      <xdr:spPr>
        <a:xfrm>
          <a:off x="403860" y="348996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2227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SpPr txBox="1"/>
      </xdr:nvSpPr>
      <xdr:spPr>
        <a:xfrm>
          <a:off x="403860" y="348996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2227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 txBox="1"/>
      </xdr:nvSpPr>
      <xdr:spPr>
        <a:xfrm>
          <a:off x="403860" y="348996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2227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SpPr txBox="1"/>
      </xdr:nvSpPr>
      <xdr:spPr>
        <a:xfrm>
          <a:off x="403860" y="348996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12</xdr:row>
      <xdr:rowOff>0</xdr:rowOff>
    </xdr:from>
    <xdr:ext cx="65" cy="172227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SpPr txBox="1"/>
      </xdr:nvSpPr>
      <xdr:spPr>
        <a:xfrm>
          <a:off x="4206240" y="348996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12</xdr:row>
      <xdr:rowOff>0</xdr:rowOff>
    </xdr:from>
    <xdr:ext cx="65" cy="172227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SpPr txBox="1"/>
      </xdr:nvSpPr>
      <xdr:spPr>
        <a:xfrm>
          <a:off x="4206240" y="348996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12</xdr:row>
      <xdr:rowOff>0</xdr:rowOff>
    </xdr:from>
    <xdr:ext cx="65" cy="172227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SpPr txBox="1"/>
      </xdr:nvSpPr>
      <xdr:spPr>
        <a:xfrm>
          <a:off x="4206240" y="348996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12</xdr:row>
      <xdr:rowOff>0</xdr:rowOff>
    </xdr:from>
    <xdr:ext cx="65" cy="172227"/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SpPr txBox="1"/>
      </xdr:nvSpPr>
      <xdr:spPr>
        <a:xfrm>
          <a:off x="4206240" y="348996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0</xdr:colOff>
      <xdr:row>12</xdr:row>
      <xdr:rowOff>0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8397240" y="29641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5</xdr:col>
      <xdr:colOff>0</xdr:colOff>
      <xdr:row>12</xdr:row>
      <xdr:rowOff>0</xdr:rowOff>
    </xdr:from>
    <xdr:ext cx="65" cy="172227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 txBox="1"/>
      </xdr:nvSpPr>
      <xdr:spPr>
        <a:xfrm>
          <a:off x="8397240" y="29641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5</xdr:col>
      <xdr:colOff>0</xdr:colOff>
      <xdr:row>12</xdr:row>
      <xdr:rowOff>0</xdr:rowOff>
    </xdr:from>
    <xdr:ext cx="65" cy="172227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 txBox="1"/>
      </xdr:nvSpPr>
      <xdr:spPr>
        <a:xfrm>
          <a:off x="8397240" y="29641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5</xdr:col>
      <xdr:colOff>0</xdr:colOff>
      <xdr:row>12</xdr:row>
      <xdr:rowOff>0</xdr:rowOff>
    </xdr:from>
    <xdr:ext cx="65" cy="172227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SpPr txBox="1"/>
      </xdr:nvSpPr>
      <xdr:spPr>
        <a:xfrm>
          <a:off x="8397240" y="29641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2227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SpPr txBox="1"/>
      </xdr:nvSpPr>
      <xdr:spPr>
        <a:xfrm>
          <a:off x="403860" y="29641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2227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SpPr txBox="1"/>
      </xdr:nvSpPr>
      <xdr:spPr>
        <a:xfrm>
          <a:off x="403860" y="29641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2227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SpPr txBox="1"/>
      </xdr:nvSpPr>
      <xdr:spPr>
        <a:xfrm>
          <a:off x="403860" y="29641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2227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 txBox="1"/>
      </xdr:nvSpPr>
      <xdr:spPr>
        <a:xfrm>
          <a:off x="403860" y="29641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12</xdr:row>
      <xdr:rowOff>0</xdr:rowOff>
    </xdr:from>
    <xdr:ext cx="65" cy="172227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SpPr txBox="1"/>
      </xdr:nvSpPr>
      <xdr:spPr>
        <a:xfrm>
          <a:off x="4206240" y="29641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12</xdr:row>
      <xdr:rowOff>0</xdr:rowOff>
    </xdr:from>
    <xdr:ext cx="65" cy="172227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SpPr txBox="1"/>
      </xdr:nvSpPr>
      <xdr:spPr>
        <a:xfrm>
          <a:off x="4206240" y="29641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12</xdr:row>
      <xdr:rowOff>0</xdr:rowOff>
    </xdr:from>
    <xdr:ext cx="65" cy="172227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SpPr txBox="1"/>
      </xdr:nvSpPr>
      <xdr:spPr>
        <a:xfrm>
          <a:off x="4206240" y="29641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12</xdr:row>
      <xdr:rowOff>0</xdr:rowOff>
    </xdr:from>
    <xdr:ext cx="65" cy="172227"/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B00-00000D000000}"/>
            </a:ext>
          </a:extLst>
        </xdr:cNvPr>
        <xdr:cNvSpPr txBox="1"/>
      </xdr:nvSpPr>
      <xdr:spPr>
        <a:xfrm>
          <a:off x="4206240" y="29641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0</xdr:colOff>
      <xdr:row>12</xdr:row>
      <xdr:rowOff>0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8397240" y="29641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5</xdr:col>
      <xdr:colOff>0</xdr:colOff>
      <xdr:row>12</xdr:row>
      <xdr:rowOff>0</xdr:rowOff>
    </xdr:from>
    <xdr:ext cx="65" cy="172227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 txBox="1"/>
      </xdr:nvSpPr>
      <xdr:spPr>
        <a:xfrm>
          <a:off x="8397240" y="29641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5</xdr:col>
      <xdr:colOff>0</xdr:colOff>
      <xdr:row>12</xdr:row>
      <xdr:rowOff>0</xdr:rowOff>
    </xdr:from>
    <xdr:ext cx="65" cy="172227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 txBox="1"/>
      </xdr:nvSpPr>
      <xdr:spPr>
        <a:xfrm>
          <a:off x="8397240" y="29641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5</xdr:col>
      <xdr:colOff>0</xdr:colOff>
      <xdr:row>12</xdr:row>
      <xdr:rowOff>0</xdr:rowOff>
    </xdr:from>
    <xdr:ext cx="65" cy="172227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SpPr txBox="1"/>
      </xdr:nvSpPr>
      <xdr:spPr>
        <a:xfrm>
          <a:off x="8397240" y="29641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2227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SpPr txBox="1"/>
      </xdr:nvSpPr>
      <xdr:spPr>
        <a:xfrm>
          <a:off x="403860" y="29641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2227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SpPr txBox="1"/>
      </xdr:nvSpPr>
      <xdr:spPr>
        <a:xfrm>
          <a:off x="403860" y="29641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2227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SpPr txBox="1"/>
      </xdr:nvSpPr>
      <xdr:spPr>
        <a:xfrm>
          <a:off x="403860" y="29641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2227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SpPr txBox="1"/>
      </xdr:nvSpPr>
      <xdr:spPr>
        <a:xfrm>
          <a:off x="403860" y="29641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12</xdr:row>
      <xdr:rowOff>0</xdr:rowOff>
    </xdr:from>
    <xdr:ext cx="65" cy="172227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 txBox="1"/>
      </xdr:nvSpPr>
      <xdr:spPr>
        <a:xfrm>
          <a:off x="4206240" y="29641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12</xdr:row>
      <xdr:rowOff>0</xdr:rowOff>
    </xdr:from>
    <xdr:ext cx="65" cy="172227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SpPr txBox="1"/>
      </xdr:nvSpPr>
      <xdr:spPr>
        <a:xfrm>
          <a:off x="4206240" y="29641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12</xdr:row>
      <xdr:rowOff>0</xdr:rowOff>
    </xdr:from>
    <xdr:ext cx="65" cy="172227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SpPr txBox="1"/>
      </xdr:nvSpPr>
      <xdr:spPr>
        <a:xfrm>
          <a:off x="4206240" y="29641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12</xdr:row>
      <xdr:rowOff>0</xdr:rowOff>
    </xdr:from>
    <xdr:ext cx="65" cy="172227"/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C00-00000D000000}"/>
            </a:ext>
          </a:extLst>
        </xdr:cNvPr>
        <xdr:cNvSpPr txBox="1"/>
      </xdr:nvSpPr>
      <xdr:spPr>
        <a:xfrm>
          <a:off x="4206240" y="29641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0</xdr:colOff>
      <xdr:row>18</xdr:row>
      <xdr:rowOff>0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SpPr txBox="1"/>
      </xdr:nvSpPr>
      <xdr:spPr>
        <a:xfrm>
          <a:off x="8162925" y="6334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5</xdr:col>
      <xdr:colOff>0</xdr:colOff>
      <xdr:row>18</xdr:row>
      <xdr:rowOff>0</xdr:rowOff>
    </xdr:from>
    <xdr:ext cx="65" cy="172227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SpPr txBox="1"/>
      </xdr:nvSpPr>
      <xdr:spPr>
        <a:xfrm>
          <a:off x="8162925" y="6334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5</xdr:col>
      <xdr:colOff>0</xdr:colOff>
      <xdr:row>18</xdr:row>
      <xdr:rowOff>0</xdr:rowOff>
    </xdr:from>
    <xdr:ext cx="65" cy="172227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SpPr txBox="1"/>
      </xdr:nvSpPr>
      <xdr:spPr>
        <a:xfrm>
          <a:off x="8162925" y="6334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5</xdr:col>
      <xdr:colOff>0</xdr:colOff>
      <xdr:row>18</xdr:row>
      <xdr:rowOff>0</xdr:rowOff>
    </xdr:from>
    <xdr:ext cx="65" cy="172227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1A00-000005000000}"/>
            </a:ext>
          </a:extLst>
        </xdr:cNvPr>
        <xdr:cNvSpPr txBox="1"/>
      </xdr:nvSpPr>
      <xdr:spPr>
        <a:xfrm>
          <a:off x="8162925" y="6334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11</xdr:row>
      <xdr:rowOff>0</xdr:rowOff>
    </xdr:from>
    <xdr:ext cx="65" cy="172227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1A00-000006000000}"/>
            </a:ext>
          </a:extLst>
        </xdr:cNvPr>
        <xdr:cNvSpPr txBox="1"/>
      </xdr:nvSpPr>
      <xdr:spPr>
        <a:xfrm>
          <a:off x="390525" y="6334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11</xdr:row>
      <xdr:rowOff>0</xdr:rowOff>
    </xdr:from>
    <xdr:ext cx="65" cy="172227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1A00-000007000000}"/>
            </a:ext>
          </a:extLst>
        </xdr:cNvPr>
        <xdr:cNvSpPr txBox="1"/>
      </xdr:nvSpPr>
      <xdr:spPr>
        <a:xfrm>
          <a:off x="390525" y="6334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11</xdr:row>
      <xdr:rowOff>0</xdr:rowOff>
    </xdr:from>
    <xdr:ext cx="65" cy="172227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1A00-000008000000}"/>
            </a:ext>
          </a:extLst>
        </xdr:cNvPr>
        <xdr:cNvSpPr txBox="1"/>
      </xdr:nvSpPr>
      <xdr:spPr>
        <a:xfrm>
          <a:off x="390525" y="6334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11</xdr:row>
      <xdr:rowOff>0</xdr:rowOff>
    </xdr:from>
    <xdr:ext cx="65" cy="172227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1A00-000009000000}"/>
            </a:ext>
          </a:extLst>
        </xdr:cNvPr>
        <xdr:cNvSpPr txBox="1"/>
      </xdr:nvSpPr>
      <xdr:spPr>
        <a:xfrm>
          <a:off x="390525" y="6334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11</xdr:row>
      <xdr:rowOff>0</xdr:rowOff>
    </xdr:from>
    <xdr:ext cx="65" cy="172227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1A00-00000A000000}"/>
            </a:ext>
          </a:extLst>
        </xdr:cNvPr>
        <xdr:cNvSpPr txBox="1"/>
      </xdr:nvSpPr>
      <xdr:spPr>
        <a:xfrm>
          <a:off x="4086225" y="6334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11</xdr:row>
      <xdr:rowOff>0</xdr:rowOff>
    </xdr:from>
    <xdr:ext cx="65" cy="172227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1A00-00000B000000}"/>
            </a:ext>
          </a:extLst>
        </xdr:cNvPr>
        <xdr:cNvSpPr txBox="1"/>
      </xdr:nvSpPr>
      <xdr:spPr>
        <a:xfrm>
          <a:off x="4086225" y="6334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11</xdr:row>
      <xdr:rowOff>0</xdr:rowOff>
    </xdr:from>
    <xdr:ext cx="65" cy="172227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1A00-00000C000000}"/>
            </a:ext>
          </a:extLst>
        </xdr:cNvPr>
        <xdr:cNvSpPr txBox="1"/>
      </xdr:nvSpPr>
      <xdr:spPr>
        <a:xfrm>
          <a:off x="4086225" y="6334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11</xdr:row>
      <xdr:rowOff>0</xdr:rowOff>
    </xdr:from>
    <xdr:ext cx="65" cy="172227"/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1A00-00000D000000}"/>
            </a:ext>
          </a:extLst>
        </xdr:cNvPr>
        <xdr:cNvSpPr txBox="1"/>
      </xdr:nvSpPr>
      <xdr:spPr>
        <a:xfrm>
          <a:off x="4086225" y="6334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11</xdr:row>
      <xdr:rowOff>0</xdr:rowOff>
    </xdr:from>
    <xdr:ext cx="65" cy="172227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1A00-00000E000000}"/>
            </a:ext>
          </a:extLst>
        </xdr:cNvPr>
        <xdr:cNvSpPr txBox="1"/>
      </xdr:nvSpPr>
      <xdr:spPr>
        <a:xfrm>
          <a:off x="390525" y="6334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11</xdr:row>
      <xdr:rowOff>0</xdr:rowOff>
    </xdr:from>
    <xdr:ext cx="65" cy="172227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1A00-00000F000000}"/>
            </a:ext>
          </a:extLst>
        </xdr:cNvPr>
        <xdr:cNvSpPr txBox="1"/>
      </xdr:nvSpPr>
      <xdr:spPr>
        <a:xfrm>
          <a:off x="390525" y="6334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11</xdr:row>
      <xdr:rowOff>0</xdr:rowOff>
    </xdr:from>
    <xdr:ext cx="65" cy="172227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1A00-000010000000}"/>
            </a:ext>
          </a:extLst>
        </xdr:cNvPr>
        <xdr:cNvSpPr txBox="1"/>
      </xdr:nvSpPr>
      <xdr:spPr>
        <a:xfrm>
          <a:off x="390525" y="6334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11</xdr:row>
      <xdr:rowOff>0</xdr:rowOff>
    </xdr:from>
    <xdr:ext cx="65" cy="172227"/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1A00-000011000000}"/>
            </a:ext>
          </a:extLst>
        </xdr:cNvPr>
        <xdr:cNvSpPr txBox="1"/>
      </xdr:nvSpPr>
      <xdr:spPr>
        <a:xfrm>
          <a:off x="390525" y="6334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11</xdr:row>
      <xdr:rowOff>0</xdr:rowOff>
    </xdr:from>
    <xdr:ext cx="65" cy="172227"/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1A00-000012000000}"/>
            </a:ext>
          </a:extLst>
        </xdr:cNvPr>
        <xdr:cNvSpPr txBox="1"/>
      </xdr:nvSpPr>
      <xdr:spPr>
        <a:xfrm>
          <a:off x="4086225" y="6334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11</xdr:row>
      <xdr:rowOff>0</xdr:rowOff>
    </xdr:from>
    <xdr:ext cx="65" cy="172227"/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00000000-0008-0000-1A00-000013000000}"/>
            </a:ext>
          </a:extLst>
        </xdr:cNvPr>
        <xdr:cNvSpPr txBox="1"/>
      </xdr:nvSpPr>
      <xdr:spPr>
        <a:xfrm>
          <a:off x="4086225" y="6334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11</xdr:row>
      <xdr:rowOff>0</xdr:rowOff>
    </xdr:from>
    <xdr:ext cx="65" cy="172227"/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00000000-0008-0000-1A00-000014000000}"/>
            </a:ext>
          </a:extLst>
        </xdr:cNvPr>
        <xdr:cNvSpPr txBox="1"/>
      </xdr:nvSpPr>
      <xdr:spPr>
        <a:xfrm>
          <a:off x="4086225" y="6334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11</xdr:row>
      <xdr:rowOff>0</xdr:rowOff>
    </xdr:from>
    <xdr:ext cx="65" cy="172227"/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1A00-000015000000}"/>
            </a:ext>
          </a:extLst>
        </xdr:cNvPr>
        <xdr:cNvSpPr txBox="1"/>
      </xdr:nvSpPr>
      <xdr:spPr>
        <a:xfrm>
          <a:off x="4086225" y="6334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0</xdr:colOff>
      <xdr:row>18</xdr:row>
      <xdr:rowOff>0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4EC93196-FC55-4C77-86C8-14C0D4749C38}"/>
            </a:ext>
          </a:extLst>
        </xdr:cNvPr>
        <xdr:cNvSpPr txBox="1"/>
      </xdr:nvSpPr>
      <xdr:spPr>
        <a:xfrm>
          <a:off x="8397240" y="4191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5</xdr:col>
      <xdr:colOff>0</xdr:colOff>
      <xdr:row>18</xdr:row>
      <xdr:rowOff>0</xdr:rowOff>
    </xdr:from>
    <xdr:ext cx="65" cy="172227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A4B73061-4CF3-4015-9B10-DC5E05B0925E}"/>
            </a:ext>
          </a:extLst>
        </xdr:cNvPr>
        <xdr:cNvSpPr txBox="1"/>
      </xdr:nvSpPr>
      <xdr:spPr>
        <a:xfrm>
          <a:off x="8397240" y="4191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5</xdr:col>
      <xdr:colOff>0</xdr:colOff>
      <xdr:row>18</xdr:row>
      <xdr:rowOff>0</xdr:rowOff>
    </xdr:from>
    <xdr:ext cx="65" cy="172227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4C62C875-CD59-4059-9E19-0192A9F2E70D}"/>
            </a:ext>
          </a:extLst>
        </xdr:cNvPr>
        <xdr:cNvSpPr txBox="1"/>
      </xdr:nvSpPr>
      <xdr:spPr>
        <a:xfrm>
          <a:off x="8397240" y="4191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5</xdr:col>
      <xdr:colOff>0</xdr:colOff>
      <xdr:row>18</xdr:row>
      <xdr:rowOff>0</xdr:rowOff>
    </xdr:from>
    <xdr:ext cx="65" cy="172227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57FB0188-27D6-4221-A4A6-43F3B40986D7}"/>
            </a:ext>
          </a:extLst>
        </xdr:cNvPr>
        <xdr:cNvSpPr txBox="1"/>
      </xdr:nvSpPr>
      <xdr:spPr>
        <a:xfrm>
          <a:off x="8397240" y="4191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11</xdr:row>
      <xdr:rowOff>0</xdr:rowOff>
    </xdr:from>
    <xdr:ext cx="65" cy="172227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C35F7BED-592E-4304-A895-CF953627EC1B}"/>
            </a:ext>
          </a:extLst>
        </xdr:cNvPr>
        <xdr:cNvSpPr txBox="1"/>
      </xdr:nvSpPr>
      <xdr:spPr>
        <a:xfrm>
          <a:off x="403860" y="226314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11</xdr:row>
      <xdr:rowOff>0</xdr:rowOff>
    </xdr:from>
    <xdr:ext cx="65" cy="172227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AA8A5E13-8379-41ED-AF60-758C3CA7ED3A}"/>
            </a:ext>
          </a:extLst>
        </xdr:cNvPr>
        <xdr:cNvSpPr txBox="1"/>
      </xdr:nvSpPr>
      <xdr:spPr>
        <a:xfrm>
          <a:off x="403860" y="226314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11</xdr:row>
      <xdr:rowOff>0</xdr:rowOff>
    </xdr:from>
    <xdr:ext cx="65" cy="172227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E548EDA6-1976-4226-9427-D489E7D696D0}"/>
            </a:ext>
          </a:extLst>
        </xdr:cNvPr>
        <xdr:cNvSpPr txBox="1"/>
      </xdr:nvSpPr>
      <xdr:spPr>
        <a:xfrm>
          <a:off x="403860" y="226314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11</xdr:row>
      <xdr:rowOff>0</xdr:rowOff>
    </xdr:from>
    <xdr:ext cx="65" cy="172227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C8009626-B688-46AD-B1F6-1D5ECC6137AD}"/>
            </a:ext>
          </a:extLst>
        </xdr:cNvPr>
        <xdr:cNvSpPr txBox="1"/>
      </xdr:nvSpPr>
      <xdr:spPr>
        <a:xfrm>
          <a:off x="403860" y="226314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11</xdr:row>
      <xdr:rowOff>0</xdr:rowOff>
    </xdr:from>
    <xdr:ext cx="65" cy="172227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597B627D-068B-44B5-88DA-00054E642390}"/>
            </a:ext>
          </a:extLst>
        </xdr:cNvPr>
        <xdr:cNvSpPr txBox="1"/>
      </xdr:nvSpPr>
      <xdr:spPr>
        <a:xfrm>
          <a:off x="4206240" y="226314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11</xdr:row>
      <xdr:rowOff>0</xdr:rowOff>
    </xdr:from>
    <xdr:ext cx="65" cy="172227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EF98152F-8BE0-419F-A19E-8F6CA76A8894}"/>
            </a:ext>
          </a:extLst>
        </xdr:cNvPr>
        <xdr:cNvSpPr txBox="1"/>
      </xdr:nvSpPr>
      <xdr:spPr>
        <a:xfrm>
          <a:off x="4206240" y="226314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11</xdr:row>
      <xdr:rowOff>0</xdr:rowOff>
    </xdr:from>
    <xdr:ext cx="65" cy="172227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D6AC26CE-63EC-4DC7-8B85-898887CBD24C}"/>
            </a:ext>
          </a:extLst>
        </xdr:cNvPr>
        <xdr:cNvSpPr txBox="1"/>
      </xdr:nvSpPr>
      <xdr:spPr>
        <a:xfrm>
          <a:off x="4206240" y="226314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11</xdr:row>
      <xdr:rowOff>0</xdr:rowOff>
    </xdr:from>
    <xdr:ext cx="65" cy="172227"/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5CE06DC0-A320-479F-9B32-6F140FBEF34B}"/>
            </a:ext>
          </a:extLst>
        </xdr:cNvPr>
        <xdr:cNvSpPr txBox="1"/>
      </xdr:nvSpPr>
      <xdr:spPr>
        <a:xfrm>
          <a:off x="4206240" y="226314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11</xdr:row>
      <xdr:rowOff>0</xdr:rowOff>
    </xdr:from>
    <xdr:ext cx="65" cy="172227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7120BD0D-B58C-4E56-8640-85DD9B740782}"/>
            </a:ext>
          </a:extLst>
        </xdr:cNvPr>
        <xdr:cNvSpPr txBox="1"/>
      </xdr:nvSpPr>
      <xdr:spPr>
        <a:xfrm>
          <a:off x="403860" y="226314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11</xdr:row>
      <xdr:rowOff>0</xdr:rowOff>
    </xdr:from>
    <xdr:ext cx="65" cy="172227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7B5F163C-64FC-45E3-A80E-C70026397AA9}"/>
            </a:ext>
          </a:extLst>
        </xdr:cNvPr>
        <xdr:cNvSpPr txBox="1"/>
      </xdr:nvSpPr>
      <xdr:spPr>
        <a:xfrm>
          <a:off x="403860" y="226314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11</xdr:row>
      <xdr:rowOff>0</xdr:rowOff>
    </xdr:from>
    <xdr:ext cx="65" cy="172227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EA1939F5-DC61-480B-8CBA-0F73D9243EF9}"/>
            </a:ext>
          </a:extLst>
        </xdr:cNvPr>
        <xdr:cNvSpPr txBox="1"/>
      </xdr:nvSpPr>
      <xdr:spPr>
        <a:xfrm>
          <a:off x="403860" y="226314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11</xdr:row>
      <xdr:rowOff>0</xdr:rowOff>
    </xdr:from>
    <xdr:ext cx="65" cy="172227"/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54550AB7-3C83-499E-AC0E-62EDFE02BC99}"/>
            </a:ext>
          </a:extLst>
        </xdr:cNvPr>
        <xdr:cNvSpPr txBox="1"/>
      </xdr:nvSpPr>
      <xdr:spPr>
        <a:xfrm>
          <a:off x="403860" y="226314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11</xdr:row>
      <xdr:rowOff>0</xdr:rowOff>
    </xdr:from>
    <xdr:ext cx="65" cy="172227"/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71A2C828-F099-4677-83E6-5ACBECD84A1F}"/>
            </a:ext>
          </a:extLst>
        </xdr:cNvPr>
        <xdr:cNvSpPr txBox="1"/>
      </xdr:nvSpPr>
      <xdr:spPr>
        <a:xfrm>
          <a:off x="4206240" y="226314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11</xdr:row>
      <xdr:rowOff>0</xdr:rowOff>
    </xdr:from>
    <xdr:ext cx="65" cy="172227"/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ABD3B575-80DE-418A-B9AE-067231769A56}"/>
            </a:ext>
          </a:extLst>
        </xdr:cNvPr>
        <xdr:cNvSpPr txBox="1"/>
      </xdr:nvSpPr>
      <xdr:spPr>
        <a:xfrm>
          <a:off x="4206240" y="226314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11</xdr:row>
      <xdr:rowOff>0</xdr:rowOff>
    </xdr:from>
    <xdr:ext cx="65" cy="172227"/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0195800D-78A8-46B9-870F-9BA85CDFDC69}"/>
            </a:ext>
          </a:extLst>
        </xdr:cNvPr>
        <xdr:cNvSpPr txBox="1"/>
      </xdr:nvSpPr>
      <xdr:spPr>
        <a:xfrm>
          <a:off x="4206240" y="226314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11</xdr:row>
      <xdr:rowOff>0</xdr:rowOff>
    </xdr:from>
    <xdr:ext cx="65" cy="172227"/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433C5883-30A0-4DCF-8923-61876DB2C38B}"/>
            </a:ext>
          </a:extLst>
        </xdr:cNvPr>
        <xdr:cNvSpPr txBox="1"/>
      </xdr:nvSpPr>
      <xdr:spPr>
        <a:xfrm>
          <a:off x="4206240" y="226314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0</xdr:colOff>
      <xdr:row>19</xdr:row>
      <xdr:rowOff>0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SpPr txBox="1"/>
      </xdr:nvSpPr>
      <xdr:spPr>
        <a:xfrm>
          <a:off x="8162925" y="481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5</xdr:col>
      <xdr:colOff>0</xdr:colOff>
      <xdr:row>19</xdr:row>
      <xdr:rowOff>0</xdr:rowOff>
    </xdr:from>
    <xdr:ext cx="65" cy="172227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SpPr txBox="1"/>
      </xdr:nvSpPr>
      <xdr:spPr>
        <a:xfrm>
          <a:off x="8162925" y="481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5</xdr:col>
      <xdr:colOff>0</xdr:colOff>
      <xdr:row>19</xdr:row>
      <xdr:rowOff>0</xdr:rowOff>
    </xdr:from>
    <xdr:ext cx="65" cy="172227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SpPr txBox="1"/>
      </xdr:nvSpPr>
      <xdr:spPr>
        <a:xfrm>
          <a:off x="8162925" y="481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5</xdr:col>
      <xdr:colOff>0</xdr:colOff>
      <xdr:row>19</xdr:row>
      <xdr:rowOff>0</xdr:rowOff>
    </xdr:from>
    <xdr:ext cx="65" cy="172227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1900-000005000000}"/>
            </a:ext>
          </a:extLst>
        </xdr:cNvPr>
        <xdr:cNvSpPr txBox="1"/>
      </xdr:nvSpPr>
      <xdr:spPr>
        <a:xfrm>
          <a:off x="8162925" y="481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19</xdr:row>
      <xdr:rowOff>0</xdr:rowOff>
    </xdr:from>
    <xdr:ext cx="65" cy="172227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1900-000006000000}"/>
            </a:ext>
          </a:extLst>
        </xdr:cNvPr>
        <xdr:cNvSpPr txBox="1"/>
      </xdr:nvSpPr>
      <xdr:spPr>
        <a:xfrm>
          <a:off x="390525" y="481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19</xdr:row>
      <xdr:rowOff>0</xdr:rowOff>
    </xdr:from>
    <xdr:ext cx="65" cy="172227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1900-000007000000}"/>
            </a:ext>
          </a:extLst>
        </xdr:cNvPr>
        <xdr:cNvSpPr txBox="1"/>
      </xdr:nvSpPr>
      <xdr:spPr>
        <a:xfrm>
          <a:off x="390525" y="481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19</xdr:row>
      <xdr:rowOff>0</xdr:rowOff>
    </xdr:from>
    <xdr:ext cx="65" cy="172227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1900-000008000000}"/>
            </a:ext>
          </a:extLst>
        </xdr:cNvPr>
        <xdr:cNvSpPr txBox="1"/>
      </xdr:nvSpPr>
      <xdr:spPr>
        <a:xfrm>
          <a:off x="390525" y="481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19</xdr:row>
      <xdr:rowOff>0</xdr:rowOff>
    </xdr:from>
    <xdr:ext cx="65" cy="172227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1900-000009000000}"/>
            </a:ext>
          </a:extLst>
        </xdr:cNvPr>
        <xdr:cNvSpPr txBox="1"/>
      </xdr:nvSpPr>
      <xdr:spPr>
        <a:xfrm>
          <a:off x="390525" y="481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19</xdr:row>
      <xdr:rowOff>0</xdr:rowOff>
    </xdr:from>
    <xdr:ext cx="65" cy="172227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1900-00000A000000}"/>
            </a:ext>
          </a:extLst>
        </xdr:cNvPr>
        <xdr:cNvSpPr txBox="1"/>
      </xdr:nvSpPr>
      <xdr:spPr>
        <a:xfrm>
          <a:off x="4086225" y="481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19</xdr:row>
      <xdr:rowOff>0</xdr:rowOff>
    </xdr:from>
    <xdr:ext cx="65" cy="172227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1900-00000B000000}"/>
            </a:ext>
          </a:extLst>
        </xdr:cNvPr>
        <xdr:cNvSpPr txBox="1"/>
      </xdr:nvSpPr>
      <xdr:spPr>
        <a:xfrm>
          <a:off x="4086225" y="481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19</xdr:row>
      <xdr:rowOff>0</xdr:rowOff>
    </xdr:from>
    <xdr:ext cx="65" cy="172227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1900-00000C000000}"/>
            </a:ext>
          </a:extLst>
        </xdr:cNvPr>
        <xdr:cNvSpPr txBox="1"/>
      </xdr:nvSpPr>
      <xdr:spPr>
        <a:xfrm>
          <a:off x="4086225" y="481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19</xdr:row>
      <xdr:rowOff>0</xdr:rowOff>
    </xdr:from>
    <xdr:ext cx="65" cy="172227"/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1900-00000D000000}"/>
            </a:ext>
          </a:extLst>
        </xdr:cNvPr>
        <xdr:cNvSpPr txBox="1"/>
      </xdr:nvSpPr>
      <xdr:spPr>
        <a:xfrm>
          <a:off x="4086225" y="481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19</xdr:row>
      <xdr:rowOff>0</xdr:rowOff>
    </xdr:from>
    <xdr:ext cx="65" cy="172227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1900-00000E000000}"/>
            </a:ext>
          </a:extLst>
        </xdr:cNvPr>
        <xdr:cNvSpPr txBox="1"/>
      </xdr:nvSpPr>
      <xdr:spPr>
        <a:xfrm>
          <a:off x="390525" y="481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19</xdr:row>
      <xdr:rowOff>0</xdr:rowOff>
    </xdr:from>
    <xdr:ext cx="65" cy="172227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1900-00000F000000}"/>
            </a:ext>
          </a:extLst>
        </xdr:cNvPr>
        <xdr:cNvSpPr txBox="1"/>
      </xdr:nvSpPr>
      <xdr:spPr>
        <a:xfrm>
          <a:off x="390525" y="481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19</xdr:row>
      <xdr:rowOff>0</xdr:rowOff>
    </xdr:from>
    <xdr:ext cx="65" cy="172227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1900-000010000000}"/>
            </a:ext>
          </a:extLst>
        </xdr:cNvPr>
        <xdr:cNvSpPr txBox="1"/>
      </xdr:nvSpPr>
      <xdr:spPr>
        <a:xfrm>
          <a:off x="390525" y="481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19</xdr:row>
      <xdr:rowOff>0</xdr:rowOff>
    </xdr:from>
    <xdr:ext cx="65" cy="172227"/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1900-000011000000}"/>
            </a:ext>
          </a:extLst>
        </xdr:cNvPr>
        <xdr:cNvSpPr txBox="1"/>
      </xdr:nvSpPr>
      <xdr:spPr>
        <a:xfrm>
          <a:off x="390525" y="481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19</xdr:row>
      <xdr:rowOff>0</xdr:rowOff>
    </xdr:from>
    <xdr:ext cx="65" cy="172227"/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1900-000012000000}"/>
            </a:ext>
          </a:extLst>
        </xdr:cNvPr>
        <xdr:cNvSpPr txBox="1"/>
      </xdr:nvSpPr>
      <xdr:spPr>
        <a:xfrm>
          <a:off x="4086225" y="481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19</xdr:row>
      <xdr:rowOff>0</xdr:rowOff>
    </xdr:from>
    <xdr:ext cx="65" cy="172227"/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00000000-0008-0000-1900-000013000000}"/>
            </a:ext>
          </a:extLst>
        </xdr:cNvPr>
        <xdr:cNvSpPr txBox="1"/>
      </xdr:nvSpPr>
      <xdr:spPr>
        <a:xfrm>
          <a:off x="4086225" y="481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19</xdr:row>
      <xdr:rowOff>0</xdr:rowOff>
    </xdr:from>
    <xdr:ext cx="65" cy="172227"/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00000000-0008-0000-1900-000014000000}"/>
            </a:ext>
          </a:extLst>
        </xdr:cNvPr>
        <xdr:cNvSpPr txBox="1"/>
      </xdr:nvSpPr>
      <xdr:spPr>
        <a:xfrm>
          <a:off x="4086225" y="481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19</xdr:row>
      <xdr:rowOff>0</xdr:rowOff>
    </xdr:from>
    <xdr:ext cx="65" cy="172227"/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1900-000015000000}"/>
            </a:ext>
          </a:extLst>
        </xdr:cNvPr>
        <xdr:cNvSpPr txBox="1"/>
      </xdr:nvSpPr>
      <xdr:spPr>
        <a:xfrm>
          <a:off x="4086225" y="481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17</xdr:row>
      <xdr:rowOff>0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SpPr txBox="1"/>
      </xdr:nvSpPr>
      <xdr:spPr>
        <a:xfrm>
          <a:off x="9591675" y="7858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4</xdr:col>
      <xdr:colOff>0</xdr:colOff>
      <xdr:row>17</xdr:row>
      <xdr:rowOff>0</xdr:rowOff>
    </xdr:from>
    <xdr:ext cx="65" cy="172227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SpPr txBox="1"/>
      </xdr:nvSpPr>
      <xdr:spPr>
        <a:xfrm>
          <a:off x="9591675" y="7858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4</xdr:col>
      <xdr:colOff>0</xdr:colOff>
      <xdr:row>17</xdr:row>
      <xdr:rowOff>0</xdr:rowOff>
    </xdr:from>
    <xdr:ext cx="65" cy="172227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SpPr txBox="1"/>
      </xdr:nvSpPr>
      <xdr:spPr>
        <a:xfrm>
          <a:off x="9591675" y="7858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4</xdr:col>
      <xdr:colOff>0</xdr:colOff>
      <xdr:row>17</xdr:row>
      <xdr:rowOff>0</xdr:rowOff>
    </xdr:from>
    <xdr:ext cx="65" cy="172227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2000-000005000000}"/>
            </a:ext>
          </a:extLst>
        </xdr:cNvPr>
        <xdr:cNvSpPr txBox="1"/>
      </xdr:nvSpPr>
      <xdr:spPr>
        <a:xfrm>
          <a:off x="9591675" y="7858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17</xdr:row>
      <xdr:rowOff>0</xdr:rowOff>
    </xdr:from>
    <xdr:ext cx="65" cy="172227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2000-000006000000}"/>
            </a:ext>
          </a:extLst>
        </xdr:cNvPr>
        <xdr:cNvSpPr txBox="1"/>
      </xdr:nvSpPr>
      <xdr:spPr>
        <a:xfrm>
          <a:off x="390525" y="7858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17</xdr:row>
      <xdr:rowOff>0</xdr:rowOff>
    </xdr:from>
    <xdr:ext cx="65" cy="172227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2000-000007000000}"/>
            </a:ext>
          </a:extLst>
        </xdr:cNvPr>
        <xdr:cNvSpPr txBox="1"/>
      </xdr:nvSpPr>
      <xdr:spPr>
        <a:xfrm>
          <a:off x="390525" y="7858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17</xdr:row>
      <xdr:rowOff>0</xdr:rowOff>
    </xdr:from>
    <xdr:ext cx="65" cy="172227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2000-000008000000}"/>
            </a:ext>
          </a:extLst>
        </xdr:cNvPr>
        <xdr:cNvSpPr txBox="1"/>
      </xdr:nvSpPr>
      <xdr:spPr>
        <a:xfrm>
          <a:off x="390525" y="7858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17</xdr:row>
      <xdr:rowOff>0</xdr:rowOff>
    </xdr:from>
    <xdr:ext cx="65" cy="172227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2000-000009000000}"/>
            </a:ext>
          </a:extLst>
        </xdr:cNvPr>
        <xdr:cNvSpPr txBox="1"/>
      </xdr:nvSpPr>
      <xdr:spPr>
        <a:xfrm>
          <a:off x="390525" y="7858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17</xdr:row>
      <xdr:rowOff>0</xdr:rowOff>
    </xdr:from>
    <xdr:ext cx="65" cy="172227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2000-00000A000000}"/>
            </a:ext>
          </a:extLst>
        </xdr:cNvPr>
        <xdr:cNvSpPr txBox="1"/>
      </xdr:nvSpPr>
      <xdr:spPr>
        <a:xfrm>
          <a:off x="4086225" y="7858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17</xdr:row>
      <xdr:rowOff>0</xdr:rowOff>
    </xdr:from>
    <xdr:ext cx="65" cy="172227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2000-00000B000000}"/>
            </a:ext>
          </a:extLst>
        </xdr:cNvPr>
        <xdr:cNvSpPr txBox="1"/>
      </xdr:nvSpPr>
      <xdr:spPr>
        <a:xfrm>
          <a:off x="4086225" y="7858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17</xdr:row>
      <xdr:rowOff>0</xdr:rowOff>
    </xdr:from>
    <xdr:ext cx="65" cy="172227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2000-00000C000000}"/>
            </a:ext>
          </a:extLst>
        </xdr:cNvPr>
        <xdr:cNvSpPr txBox="1"/>
      </xdr:nvSpPr>
      <xdr:spPr>
        <a:xfrm>
          <a:off x="4086225" y="7858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17</xdr:row>
      <xdr:rowOff>0</xdr:rowOff>
    </xdr:from>
    <xdr:ext cx="65" cy="172227"/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2000-00000D000000}"/>
            </a:ext>
          </a:extLst>
        </xdr:cNvPr>
        <xdr:cNvSpPr txBox="1"/>
      </xdr:nvSpPr>
      <xdr:spPr>
        <a:xfrm>
          <a:off x="4086225" y="7858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17</xdr:row>
      <xdr:rowOff>0</xdr:rowOff>
    </xdr:from>
    <xdr:ext cx="65" cy="172227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2000-00000E000000}"/>
            </a:ext>
          </a:extLst>
        </xdr:cNvPr>
        <xdr:cNvSpPr txBox="1"/>
      </xdr:nvSpPr>
      <xdr:spPr>
        <a:xfrm>
          <a:off x="390525" y="7858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17</xdr:row>
      <xdr:rowOff>0</xdr:rowOff>
    </xdr:from>
    <xdr:ext cx="65" cy="172227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2000-00000F000000}"/>
            </a:ext>
          </a:extLst>
        </xdr:cNvPr>
        <xdr:cNvSpPr txBox="1"/>
      </xdr:nvSpPr>
      <xdr:spPr>
        <a:xfrm>
          <a:off x="390525" y="7858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17</xdr:row>
      <xdr:rowOff>0</xdr:rowOff>
    </xdr:from>
    <xdr:ext cx="65" cy="172227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2000-000010000000}"/>
            </a:ext>
          </a:extLst>
        </xdr:cNvPr>
        <xdr:cNvSpPr txBox="1"/>
      </xdr:nvSpPr>
      <xdr:spPr>
        <a:xfrm>
          <a:off x="390525" y="7858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17</xdr:row>
      <xdr:rowOff>0</xdr:rowOff>
    </xdr:from>
    <xdr:ext cx="65" cy="172227"/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2000-000011000000}"/>
            </a:ext>
          </a:extLst>
        </xdr:cNvPr>
        <xdr:cNvSpPr txBox="1"/>
      </xdr:nvSpPr>
      <xdr:spPr>
        <a:xfrm>
          <a:off x="390525" y="7858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17</xdr:row>
      <xdr:rowOff>0</xdr:rowOff>
    </xdr:from>
    <xdr:ext cx="65" cy="172227"/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2000-000012000000}"/>
            </a:ext>
          </a:extLst>
        </xdr:cNvPr>
        <xdr:cNvSpPr txBox="1"/>
      </xdr:nvSpPr>
      <xdr:spPr>
        <a:xfrm>
          <a:off x="4086225" y="7858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17</xdr:row>
      <xdr:rowOff>0</xdr:rowOff>
    </xdr:from>
    <xdr:ext cx="65" cy="172227"/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00000000-0008-0000-2000-000013000000}"/>
            </a:ext>
          </a:extLst>
        </xdr:cNvPr>
        <xdr:cNvSpPr txBox="1"/>
      </xdr:nvSpPr>
      <xdr:spPr>
        <a:xfrm>
          <a:off x="4086225" y="7858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17</xdr:row>
      <xdr:rowOff>0</xdr:rowOff>
    </xdr:from>
    <xdr:ext cx="65" cy="172227"/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00000000-0008-0000-2000-000014000000}"/>
            </a:ext>
          </a:extLst>
        </xdr:cNvPr>
        <xdr:cNvSpPr txBox="1"/>
      </xdr:nvSpPr>
      <xdr:spPr>
        <a:xfrm>
          <a:off x="4086225" y="7858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17</xdr:row>
      <xdr:rowOff>0</xdr:rowOff>
    </xdr:from>
    <xdr:ext cx="65" cy="172227"/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2000-000015000000}"/>
            </a:ext>
          </a:extLst>
        </xdr:cNvPr>
        <xdr:cNvSpPr txBox="1"/>
      </xdr:nvSpPr>
      <xdr:spPr>
        <a:xfrm>
          <a:off x="4086225" y="7858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0</xdr:colOff>
      <xdr:row>16</xdr:row>
      <xdr:rowOff>0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SpPr txBox="1"/>
      </xdr:nvSpPr>
      <xdr:spPr>
        <a:xfrm>
          <a:off x="8162925" y="6334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5</xdr:col>
      <xdr:colOff>0</xdr:colOff>
      <xdr:row>16</xdr:row>
      <xdr:rowOff>0</xdr:rowOff>
    </xdr:from>
    <xdr:ext cx="65" cy="172227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SpPr txBox="1"/>
      </xdr:nvSpPr>
      <xdr:spPr>
        <a:xfrm>
          <a:off x="8162925" y="6334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5</xdr:col>
      <xdr:colOff>0</xdr:colOff>
      <xdr:row>16</xdr:row>
      <xdr:rowOff>0</xdr:rowOff>
    </xdr:from>
    <xdr:ext cx="65" cy="172227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SpPr txBox="1"/>
      </xdr:nvSpPr>
      <xdr:spPr>
        <a:xfrm>
          <a:off x="8162925" y="6334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5</xdr:col>
      <xdr:colOff>0</xdr:colOff>
      <xdr:row>16</xdr:row>
      <xdr:rowOff>0</xdr:rowOff>
    </xdr:from>
    <xdr:ext cx="65" cy="172227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1B00-000005000000}"/>
            </a:ext>
          </a:extLst>
        </xdr:cNvPr>
        <xdr:cNvSpPr txBox="1"/>
      </xdr:nvSpPr>
      <xdr:spPr>
        <a:xfrm>
          <a:off x="8162925" y="6334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16</xdr:row>
      <xdr:rowOff>0</xdr:rowOff>
    </xdr:from>
    <xdr:ext cx="65" cy="172227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SpPr txBox="1"/>
      </xdr:nvSpPr>
      <xdr:spPr>
        <a:xfrm>
          <a:off x="390525" y="6334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16</xdr:row>
      <xdr:rowOff>0</xdr:rowOff>
    </xdr:from>
    <xdr:ext cx="65" cy="172227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SpPr txBox="1"/>
      </xdr:nvSpPr>
      <xdr:spPr>
        <a:xfrm>
          <a:off x="390525" y="6334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16</xdr:row>
      <xdr:rowOff>0</xdr:rowOff>
    </xdr:from>
    <xdr:ext cx="65" cy="172227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1B00-000008000000}"/>
            </a:ext>
          </a:extLst>
        </xdr:cNvPr>
        <xdr:cNvSpPr txBox="1"/>
      </xdr:nvSpPr>
      <xdr:spPr>
        <a:xfrm>
          <a:off x="390525" y="6334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16</xdr:row>
      <xdr:rowOff>0</xdr:rowOff>
    </xdr:from>
    <xdr:ext cx="65" cy="172227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SpPr txBox="1"/>
      </xdr:nvSpPr>
      <xdr:spPr>
        <a:xfrm>
          <a:off x="390525" y="6334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16</xdr:row>
      <xdr:rowOff>0</xdr:rowOff>
    </xdr:from>
    <xdr:ext cx="65" cy="172227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SpPr txBox="1"/>
      </xdr:nvSpPr>
      <xdr:spPr>
        <a:xfrm>
          <a:off x="4086225" y="6334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16</xdr:row>
      <xdr:rowOff>0</xdr:rowOff>
    </xdr:from>
    <xdr:ext cx="65" cy="172227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SpPr txBox="1"/>
      </xdr:nvSpPr>
      <xdr:spPr>
        <a:xfrm>
          <a:off x="4086225" y="6334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16</xdr:row>
      <xdr:rowOff>0</xdr:rowOff>
    </xdr:from>
    <xdr:ext cx="65" cy="172227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SpPr txBox="1"/>
      </xdr:nvSpPr>
      <xdr:spPr>
        <a:xfrm>
          <a:off x="4086225" y="6334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16</xdr:row>
      <xdr:rowOff>0</xdr:rowOff>
    </xdr:from>
    <xdr:ext cx="65" cy="172227"/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1B00-00000D000000}"/>
            </a:ext>
          </a:extLst>
        </xdr:cNvPr>
        <xdr:cNvSpPr txBox="1"/>
      </xdr:nvSpPr>
      <xdr:spPr>
        <a:xfrm>
          <a:off x="4086225" y="6334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16</xdr:row>
      <xdr:rowOff>0</xdr:rowOff>
    </xdr:from>
    <xdr:ext cx="65" cy="172227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SpPr txBox="1"/>
      </xdr:nvSpPr>
      <xdr:spPr>
        <a:xfrm>
          <a:off x="390525" y="6334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16</xdr:row>
      <xdr:rowOff>0</xdr:rowOff>
    </xdr:from>
    <xdr:ext cx="65" cy="172227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SpPr txBox="1"/>
      </xdr:nvSpPr>
      <xdr:spPr>
        <a:xfrm>
          <a:off x="390525" y="6334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16</xdr:row>
      <xdr:rowOff>0</xdr:rowOff>
    </xdr:from>
    <xdr:ext cx="65" cy="172227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SpPr txBox="1"/>
      </xdr:nvSpPr>
      <xdr:spPr>
        <a:xfrm>
          <a:off x="390525" y="6334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16</xdr:row>
      <xdr:rowOff>0</xdr:rowOff>
    </xdr:from>
    <xdr:ext cx="65" cy="172227"/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1B00-000011000000}"/>
            </a:ext>
          </a:extLst>
        </xdr:cNvPr>
        <xdr:cNvSpPr txBox="1"/>
      </xdr:nvSpPr>
      <xdr:spPr>
        <a:xfrm>
          <a:off x="390525" y="6334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16</xdr:row>
      <xdr:rowOff>0</xdr:rowOff>
    </xdr:from>
    <xdr:ext cx="65" cy="172227"/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1B00-000012000000}"/>
            </a:ext>
          </a:extLst>
        </xdr:cNvPr>
        <xdr:cNvSpPr txBox="1"/>
      </xdr:nvSpPr>
      <xdr:spPr>
        <a:xfrm>
          <a:off x="4086225" y="6334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16</xdr:row>
      <xdr:rowOff>0</xdr:rowOff>
    </xdr:from>
    <xdr:ext cx="65" cy="172227"/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00000000-0008-0000-1B00-000013000000}"/>
            </a:ext>
          </a:extLst>
        </xdr:cNvPr>
        <xdr:cNvSpPr txBox="1"/>
      </xdr:nvSpPr>
      <xdr:spPr>
        <a:xfrm>
          <a:off x="4086225" y="6334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16</xdr:row>
      <xdr:rowOff>0</xdr:rowOff>
    </xdr:from>
    <xdr:ext cx="65" cy="172227"/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00000000-0008-0000-1B00-000014000000}"/>
            </a:ext>
          </a:extLst>
        </xdr:cNvPr>
        <xdr:cNvSpPr txBox="1"/>
      </xdr:nvSpPr>
      <xdr:spPr>
        <a:xfrm>
          <a:off x="4086225" y="6334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16</xdr:row>
      <xdr:rowOff>0</xdr:rowOff>
    </xdr:from>
    <xdr:ext cx="65" cy="172227"/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1B00-000015000000}"/>
            </a:ext>
          </a:extLst>
        </xdr:cNvPr>
        <xdr:cNvSpPr txBox="1"/>
      </xdr:nvSpPr>
      <xdr:spPr>
        <a:xfrm>
          <a:off x="4086225" y="6334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4</xdr:col>
      <xdr:colOff>0</xdr:colOff>
      <xdr:row>15</xdr:row>
      <xdr:rowOff>0</xdr:rowOff>
    </xdr:from>
    <xdr:ext cx="65" cy="172227"/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3858DEDC-CB6E-4DCA-8515-28063865F65F}"/>
            </a:ext>
          </a:extLst>
        </xdr:cNvPr>
        <xdr:cNvSpPr txBox="1"/>
      </xdr:nvSpPr>
      <xdr:spPr>
        <a:xfrm>
          <a:off x="7772400" y="435102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4</xdr:col>
      <xdr:colOff>0</xdr:colOff>
      <xdr:row>15</xdr:row>
      <xdr:rowOff>0</xdr:rowOff>
    </xdr:from>
    <xdr:ext cx="65" cy="172227"/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6AC4D6FA-EE3A-40DA-8AC1-B66F5CE2E330}"/>
            </a:ext>
          </a:extLst>
        </xdr:cNvPr>
        <xdr:cNvSpPr txBox="1"/>
      </xdr:nvSpPr>
      <xdr:spPr>
        <a:xfrm>
          <a:off x="7772400" y="435102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4</xdr:col>
      <xdr:colOff>0</xdr:colOff>
      <xdr:row>15</xdr:row>
      <xdr:rowOff>0</xdr:rowOff>
    </xdr:from>
    <xdr:ext cx="65" cy="172227"/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DBE38BC2-88B7-49B8-829E-6D8B9CB2B8CF}"/>
            </a:ext>
          </a:extLst>
        </xdr:cNvPr>
        <xdr:cNvSpPr txBox="1"/>
      </xdr:nvSpPr>
      <xdr:spPr>
        <a:xfrm>
          <a:off x="7772400" y="435102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4</xdr:col>
      <xdr:colOff>0</xdr:colOff>
      <xdr:row>15</xdr:row>
      <xdr:rowOff>0</xdr:rowOff>
    </xdr:from>
    <xdr:ext cx="65" cy="172227"/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E9C3F47C-4F26-47CE-A659-B64AAA8B98F7}"/>
            </a:ext>
          </a:extLst>
        </xdr:cNvPr>
        <xdr:cNvSpPr txBox="1"/>
      </xdr:nvSpPr>
      <xdr:spPr>
        <a:xfrm>
          <a:off x="7772400" y="435102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15</xdr:row>
      <xdr:rowOff>0</xdr:rowOff>
    </xdr:from>
    <xdr:ext cx="65" cy="172227"/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FE55FA17-7396-4015-9740-277036BAF2EA}"/>
            </a:ext>
          </a:extLst>
        </xdr:cNvPr>
        <xdr:cNvSpPr txBox="1"/>
      </xdr:nvSpPr>
      <xdr:spPr>
        <a:xfrm>
          <a:off x="403860" y="435102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15</xdr:row>
      <xdr:rowOff>0</xdr:rowOff>
    </xdr:from>
    <xdr:ext cx="65" cy="172227"/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19BEAD6F-073D-4A42-9943-1B305DE8C8F6}"/>
            </a:ext>
          </a:extLst>
        </xdr:cNvPr>
        <xdr:cNvSpPr txBox="1"/>
      </xdr:nvSpPr>
      <xdr:spPr>
        <a:xfrm>
          <a:off x="403860" y="435102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15</xdr:row>
      <xdr:rowOff>0</xdr:rowOff>
    </xdr:from>
    <xdr:ext cx="65" cy="172227"/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FB8819AA-A85D-4C58-B4E0-AA5A6408446A}"/>
            </a:ext>
          </a:extLst>
        </xdr:cNvPr>
        <xdr:cNvSpPr txBox="1"/>
      </xdr:nvSpPr>
      <xdr:spPr>
        <a:xfrm>
          <a:off x="403860" y="435102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15</xdr:row>
      <xdr:rowOff>0</xdr:rowOff>
    </xdr:from>
    <xdr:ext cx="65" cy="172227"/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26259E82-3680-4255-B7A5-5C1DFF7AC690}"/>
            </a:ext>
          </a:extLst>
        </xdr:cNvPr>
        <xdr:cNvSpPr txBox="1"/>
      </xdr:nvSpPr>
      <xdr:spPr>
        <a:xfrm>
          <a:off x="403860" y="435102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15</xdr:row>
      <xdr:rowOff>0</xdr:rowOff>
    </xdr:from>
    <xdr:ext cx="65" cy="172227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49FFA350-81DE-4A1C-A6B3-8CCA62E1F3D0}"/>
            </a:ext>
          </a:extLst>
        </xdr:cNvPr>
        <xdr:cNvSpPr txBox="1"/>
      </xdr:nvSpPr>
      <xdr:spPr>
        <a:xfrm>
          <a:off x="4206240" y="435102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15</xdr:row>
      <xdr:rowOff>0</xdr:rowOff>
    </xdr:from>
    <xdr:ext cx="65" cy="172227"/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25E60B45-7A3E-40EA-A31C-59103887D91D}"/>
            </a:ext>
          </a:extLst>
        </xdr:cNvPr>
        <xdr:cNvSpPr txBox="1"/>
      </xdr:nvSpPr>
      <xdr:spPr>
        <a:xfrm>
          <a:off x="4206240" y="435102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15</xdr:row>
      <xdr:rowOff>0</xdr:rowOff>
    </xdr:from>
    <xdr:ext cx="65" cy="172227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AB0CBBAF-2C8E-4ED0-8533-B576EC89CCD9}"/>
            </a:ext>
          </a:extLst>
        </xdr:cNvPr>
        <xdr:cNvSpPr txBox="1"/>
      </xdr:nvSpPr>
      <xdr:spPr>
        <a:xfrm>
          <a:off x="4206240" y="435102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15</xdr:row>
      <xdr:rowOff>0</xdr:rowOff>
    </xdr:from>
    <xdr:ext cx="65" cy="172227"/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9D7038D2-1935-4DFC-A9F3-A24ACF23887D}"/>
            </a:ext>
          </a:extLst>
        </xdr:cNvPr>
        <xdr:cNvSpPr txBox="1"/>
      </xdr:nvSpPr>
      <xdr:spPr>
        <a:xfrm>
          <a:off x="4206240" y="435102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15</xdr:row>
      <xdr:rowOff>0</xdr:rowOff>
    </xdr:from>
    <xdr:ext cx="65" cy="172227"/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8CA4A27E-5B71-4532-A5DB-88110E25F3EE}"/>
            </a:ext>
          </a:extLst>
        </xdr:cNvPr>
        <xdr:cNvSpPr txBox="1"/>
      </xdr:nvSpPr>
      <xdr:spPr>
        <a:xfrm>
          <a:off x="403860" y="435102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15</xdr:row>
      <xdr:rowOff>0</xdr:rowOff>
    </xdr:from>
    <xdr:ext cx="65" cy="172227"/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AA327A78-0BDA-4ACD-B4E6-761C54865DE5}"/>
            </a:ext>
          </a:extLst>
        </xdr:cNvPr>
        <xdr:cNvSpPr txBox="1"/>
      </xdr:nvSpPr>
      <xdr:spPr>
        <a:xfrm>
          <a:off x="403860" y="435102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15</xdr:row>
      <xdr:rowOff>0</xdr:rowOff>
    </xdr:from>
    <xdr:ext cx="65" cy="172227"/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E65FF5A1-C286-48CF-9889-3D20241FEA7A}"/>
            </a:ext>
          </a:extLst>
        </xdr:cNvPr>
        <xdr:cNvSpPr txBox="1"/>
      </xdr:nvSpPr>
      <xdr:spPr>
        <a:xfrm>
          <a:off x="403860" y="435102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15</xdr:row>
      <xdr:rowOff>0</xdr:rowOff>
    </xdr:from>
    <xdr:ext cx="65" cy="172227"/>
    <xdr:sp macro="" textlink="">
      <xdr:nvSpPr>
        <xdr:cNvPr id="37" name="TextBox 36">
          <a:extLst>
            <a:ext uri="{FF2B5EF4-FFF2-40B4-BE49-F238E27FC236}">
              <a16:creationId xmlns:a16="http://schemas.microsoft.com/office/drawing/2014/main" id="{055F3FD9-BD7D-431E-8315-CB120F32250E}"/>
            </a:ext>
          </a:extLst>
        </xdr:cNvPr>
        <xdr:cNvSpPr txBox="1"/>
      </xdr:nvSpPr>
      <xdr:spPr>
        <a:xfrm>
          <a:off x="403860" y="435102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15</xdr:row>
      <xdr:rowOff>0</xdr:rowOff>
    </xdr:from>
    <xdr:ext cx="65" cy="172227"/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B23C2EC6-AC38-47CD-8A82-A4484177060F}"/>
            </a:ext>
          </a:extLst>
        </xdr:cNvPr>
        <xdr:cNvSpPr txBox="1"/>
      </xdr:nvSpPr>
      <xdr:spPr>
        <a:xfrm>
          <a:off x="4206240" y="435102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15</xdr:row>
      <xdr:rowOff>0</xdr:rowOff>
    </xdr:from>
    <xdr:ext cx="65" cy="172227"/>
    <xdr:sp macro="" textlink="">
      <xdr:nvSpPr>
        <xdr:cNvPr id="39" name="TextBox 38">
          <a:extLst>
            <a:ext uri="{FF2B5EF4-FFF2-40B4-BE49-F238E27FC236}">
              <a16:creationId xmlns:a16="http://schemas.microsoft.com/office/drawing/2014/main" id="{46E2EF16-3340-41D7-BB42-221664A59296}"/>
            </a:ext>
          </a:extLst>
        </xdr:cNvPr>
        <xdr:cNvSpPr txBox="1"/>
      </xdr:nvSpPr>
      <xdr:spPr>
        <a:xfrm>
          <a:off x="4206240" y="435102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15</xdr:row>
      <xdr:rowOff>0</xdr:rowOff>
    </xdr:from>
    <xdr:ext cx="65" cy="172227"/>
    <xdr:sp macro="" textlink="">
      <xdr:nvSpPr>
        <xdr:cNvPr id="40" name="TextBox 39">
          <a:extLst>
            <a:ext uri="{FF2B5EF4-FFF2-40B4-BE49-F238E27FC236}">
              <a16:creationId xmlns:a16="http://schemas.microsoft.com/office/drawing/2014/main" id="{A9BABD5E-080C-4714-99D8-481CAFFAD27B}"/>
            </a:ext>
          </a:extLst>
        </xdr:cNvPr>
        <xdr:cNvSpPr txBox="1"/>
      </xdr:nvSpPr>
      <xdr:spPr>
        <a:xfrm>
          <a:off x="4206240" y="435102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15</xdr:row>
      <xdr:rowOff>0</xdr:rowOff>
    </xdr:from>
    <xdr:ext cx="65" cy="172227"/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4401F66D-5FD0-472B-A283-FA8AC0B773F2}"/>
            </a:ext>
          </a:extLst>
        </xdr:cNvPr>
        <xdr:cNvSpPr txBox="1"/>
      </xdr:nvSpPr>
      <xdr:spPr>
        <a:xfrm>
          <a:off x="4206240" y="435102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drawings/drawing17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19</xdr:row>
      <xdr:rowOff>0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SpPr txBox="1"/>
      </xdr:nvSpPr>
      <xdr:spPr>
        <a:xfrm>
          <a:off x="7553325" y="4629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4</xdr:col>
      <xdr:colOff>0</xdr:colOff>
      <xdr:row>19</xdr:row>
      <xdr:rowOff>0</xdr:rowOff>
    </xdr:from>
    <xdr:ext cx="65" cy="172227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SpPr txBox="1"/>
      </xdr:nvSpPr>
      <xdr:spPr>
        <a:xfrm>
          <a:off x="7553325" y="4629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4</xdr:col>
      <xdr:colOff>0</xdr:colOff>
      <xdr:row>19</xdr:row>
      <xdr:rowOff>0</xdr:rowOff>
    </xdr:from>
    <xdr:ext cx="65" cy="172227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SpPr txBox="1"/>
      </xdr:nvSpPr>
      <xdr:spPr>
        <a:xfrm>
          <a:off x="7553325" y="4629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4</xdr:col>
      <xdr:colOff>0</xdr:colOff>
      <xdr:row>19</xdr:row>
      <xdr:rowOff>0</xdr:rowOff>
    </xdr:from>
    <xdr:ext cx="65" cy="172227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1E00-000005000000}"/>
            </a:ext>
          </a:extLst>
        </xdr:cNvPr>
        <xdr:cNvSpPr txBox="1"/>
      </xdr:nvSpPr>
      <xdr:spPr>
        <a:xfrm>
          <a:off x="7553325" y="4629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19</xdr:row>
      <xdr:rowOff>0</xdr:rowOff>
    </xdr:from>
    <xdr:ext cx="65" cy="172227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1E00-000006000000}"/>
            </a:ext>
          </a:extLst>
        </xdr:cNvPr>
        <xdr:cNvSpPr txBox="1"/>
      </xdr:nvSpPr>
      <xdr:spPr>
        <a:xfrm>
          <a:off x="390525" y="4629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19</xdr:row>
      <xdr:rowOff>0</xdr:rowOff>
    </xdr:from>
    <xdr:ext cx="65" cy="172227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1E00-000007000000}"/>
            </a:ext>
          </a:extLst>
        </xdr:cNvPr>
        <xdr:cNvSpPr txBox="1"/>
      </xdr:nvSpPr>
      <xdr:spPr>
        <a:xfrm>
          <a:off x="390525" y="4629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19</xdr:row>
      <xdr:rowOff>0</xdr:rowOff>
    </xdr:from>
    <xdr:ext cx="65" cy="172227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1E00-000008000000}"/>
            </a:ext>
          </a:extLst>
        </xdr:cNvPr>
        <xdr:cNvSpPr txBox="1"/>
      </xdr:nvSpPr>
      <xdr:spPr>
        <a:xfrm>
          <a:off x="390525" y="4629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19</xdr:row>
      <xdr:rowOff>0</xdr:rowOff>
    </xdr:from>
    <xdr:ext cx="65" cy="172227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1E00-000009000000}"/>
            </a:ext>
          </a:extLst>
        </xdr:cNvPr>
        <xdr:cNvSpPr txBox="1"/>
      </xdr:nvSpPr>
      <xdr:spPr>
        <a:xfrm>
          <a:off x="390525" y="4629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19</xdr:row>
      <xdr:rowOff>0</xdr:rowOff>
    </xdr:from>
    <xdr:ext cx="65" cy="172227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1E00-00000A000000}"/>
            </a:ext>
          </a:extLst>
        </xdr:cNvPr>
        <xdr:cNvSpPr txBox="1"/>
      </xdr:nvSpPr>
      <xdr:spPr>
        <a:xfrm>
          <a:off x="4086225" y="4629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19</xdr:row>
      <xdr:rowOff>0</xdr:rowOff>
    </xdr:from>
    <xdr:ext cx="65" cy="172227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1E00-00000B000000}"/>
            </a:ext>
          </a:extLst>
        </xdr:cNvPr>
        <xdr:cNvSpPr txBox="1"/>
      </xdr:nvSpPr>
      <xdr:spPr>
        <a:xfrm>
          <a:off x="4086225" y="4629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19</xdr:row>
      <xdr:rowOff>0</xdr:rowOff>
    </xdr:from>
    <xdr:ext cx="65" cy="172227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1E00-00000C000000}"/>
            </a:ext>
          </a:extLst>
        </xdr:cNvPr>
        <xdr:cNvSpPr txBox="1"/>
      </xdr:nvSpPr>
      <xdr:spPr>
        <a:xfrm>
          <a:off x="4086225" y="4629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19</xdr:row>
      <xdr:rowOff>0</xdr:rowOff>
    </xdr:from>
    <xdr:ext cx="65" cy="172227"/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1E00-00000D000000}"/>
            </a:ext>
          </a:extLst>
        </xdr:cNvPr>
        <xdr:cNvSpPr txBox="1"/>
      </xdr:nvSpPr>
      <xdr:spPr>
        <a:xfrm>
          <a:off x="4086225" y="4629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19</xdr:row>
      <xdr:rowOff>0</xdr:rowOff>
    </xdr:from>
    <xdr:ext cx="65" cy="172227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1E00-00000E000000}"/>
            </a:ext>
          </a:extLst>
        </xdr:cNvPr>
        <xdr:cNvSpPr txBox="1"/>
      </xdr:nvSpPr>
      <xdr:spPr>
        <a:xfrm>
          <a:off x="390525" y="4629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19</xdr:row>
      <xdr:rowOff>0</xdr:rowOff>
    </xdr:from>
    <xdr:ext cx="65" cy="172227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1E00-00000F000000}"/>
            </a:ext>
          </a:extLst>
        </xdr:cNvPr>
        <xdr:cNvSpPr txBox="1"/>
      </xdr:nvSpPr>
      <xdr:spPr>
        <a:xfrm>
          <a:off x="390525" y="4629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19</xdr:row>
      <xdr:rowOff>0</xdr:rowOff>
    </xdr:from>
    <xdr:ext cx="65" cy="172227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1E00-000010000000}"/>
            </a:ext>
          </a:extLst>
        </xdr:cNvPr>
        <xdr:cNvSpPr txBox="1"/>
      </xdr:nvSpPr>
      <xdr:spPr>
        <a:xfrm>
          <a:off x="390525" y="4629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19</xdr:row>
      <xdr:rowOff>0</xdr:rowOff>
    </xdr:from>
    <xdr:ext cx="65" cy="172227"/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1E00-000011000000}"/>
            </a:ext>
          </a:extLst>
        </xdr:cNvPr>
        <xdr:cNvSpPr txBox="1"/>
      </xdr:nvSpPr>
      <xdr:spPr>
        <a:xfrm>
          <a:off x="390525" y="4629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19</xdr:row>
      <xdr:rowOff>0</xdr:rowOff>
    </xdr:from>
    <xdr:ext cx="65" cy="172227"/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1E00-000012000000}"/>
            </a:ext>
          </a:extLst>
        </xdr:cNvPr>
        <xdr:cNvSpPr txBox="1"/>
      </xdr:nvSpPr>
      <xdr:spPr>
        <a:xfrm>
          <a:off x="4086225" y="4629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19</xdr:row>
      <xdr:rowOff>0</xdr:rowOff>
    </xdr:from>
    <xdr:ext cx="65" cy="172227"/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00000000-0008-0000-1E00-000013000000}"/>
            </a:ext>
          </a:extLst>
        </xdr:cNvPr>
        <xdr:cNvSpPr txBox="1"/>
      </xdr:nvSpPr>
      <xdr:spPr>
        <a:xfrm>
          <a:off x="4086225" y="4629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19</xdr:row>
      <xdr:rowOff>0</xdr:rowOff>
    </xdr:from>
    <xdr:ext cx="65" cy="172227"/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00000000-0008-0000-1E00-000014000000}"/>
            </a:ext>
          </a:extLst>
        </xdr:cNvPr>
        <xdr:cNvSpPr txBox="1"/>
      </xdr:nvSpPr>
      <xdr:spPr>
        <a:xfrm>
          <a:off x="4086225" y="4629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19</xdr:row>
      <xdr:rowOff>0</xdr:rowOff>
    </xdr:from>
    <xdr:ext cx="65" cy="172227"/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1E00-000015000000}"/>
            </a:ext>
          </a:extLst>
        </xdr:cNvPr>
        <xdr:cNvSpPr txBox="1"/>
      </xdr:nvSpPr>
      <xdr:spPr>
        <a:xfrm>
          <a:off x="4086225" y="4629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drawings/drawing18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21</xdr:row>
      <xdr:rowOff>0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SpPr txBox="1"/>
      </xdr:nvSpPr>
      <xdr:spPr>
        <a:xfrm>
          <a:off x="7772400" y="36499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4</xdr:col>
      <xdr:colOff>0</xdr:colOff>
      <xdr:row>21</xdr:row>
      <xdr:rowOff>0</xdr:rowOff>
    </xdr:from>
    <xdr:ext cx="65" cy="172227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SpPr txBox="1"/>
      </xdr:nvSpPr>
      <xdr:spPr>
        <a:xfrm>
          <a:off x="7772400" y="36499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4</xdr:col>
      <xdr:colOff>0</xdr:colOff>
      <xdr:row>21</xdr:row>
      <xdr:rowOff>0</xdr:rowOff>
    </xdr:from>
    <xdr:ext cx="65" cy="172227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SpPr txBox="1"/>
      </xdr:nvSpPr>
      <xdr:spPr>
        <a:xfrm>
          <a:off x="7772400" y="36499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4</xdr:col>
      <xdr:colOff>0</xdr:colOff>
      <xdr:row>21</xdr:row>
      <xdr:rowOff>0</xdr:rowOff>
    </xdr:from>
    <xdr:ext cx="65" cy="172227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2100-000005000000}"/>
            </a:ext>
          </a:extLst>
        </xdr:cNvPr>
        <xdr:cNvSpPr txBox="1"/>
      </xdr:nvSpPr>
      <xdr:spPr>
        <a:xfrm>
          <a:off x="7772400" y="36499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21</xdr:row>
      <xdr:rowOff>0</xdr:rowOff>
    </xdr:from>
    <xdr:ext cx="65" cy="172227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2100-000006000000}"/>
            </a:ext>
          </a:extLst>
        </xdr:cNvPr>
        <xdr:cNvSpPr txBox="1"/>
      </xdr:nvSpPr>
      <xdr:spPr>
        <a:xfrm>
          <a:off x="403860" y="36499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21</xdr:row>
      <xdr:rowOff>0</xdr:rowOff>
    </xdr:from>
    <xdr:ext cx="65" cy="172227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2100-000007000000}"/>
            </a:ext>
          </a:extLst>
        </xdr:cNvPr>
        <xdr:cNvSpPr txBox="1"/>
      </xdr:nvSpPr>
      <xdr:spPr>
        <a:xfrm>
          <a:off x="403860" y="36499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21</xdr:row>
      <xdr:rowOff>0</xdr:rowOff>
    </xdr:from>
    <xdr:ext cx="65" cy="172227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2100-000008000000}"/>
            </a:ext>
          </a:extLst>
        </xdr:cNvPr>
        <xdr:cNvSpPr txBox="1"/>
      </xdr:nvSpPr>
      <xdr:spPr>
        <a:xfrm>
          <a:off x="403860" y="36499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21</xdr:row>
      <xdr:rowOff>0</xdr:rowOff>
    </xdr:from>
    <xdr:ext cx="65" cy="172227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2100-000009000000}"/>
            </a:ext>
          </a:extLst>
        </xdr:cNvPr>
        <xdr:cNvSpPr txBox="1"/>
      </xdr:nvSpPr>
      <xdr:spPr>
        <a:xfrm>
          <a:off x="403860" y="36499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21</xdr:row>
      <xdr:rowOff>0</xdr:rowOff>
    </xdr:from>
    <xdr:ext cx="65" cy="172227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2100-00000A000000}"/>
            </a:ext>
          </a:extLst>
        </xdr:cNvPr>
        <xdr:cNvSpPr txBox="1"/>
      </xdr:nvSpPr>
      <xdr:spPr>
        <a:xfrm>
          <a:off x="4206240" y="36499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21</xdr:row>
      <xdr:rowOff>0</xdr:rowOff>
    </xdr:from>
    <xdr:ext cx="65" cy="172227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2100-00000B000000}"/>
            </a:ext>
          </a:extLst>
        </xdr:cNvPr>
        <xdr:cNvSpPr txBox="1"/>
      </xdr:nvSpPr>
      <xdr:spPr>
        <a:xfrm>
          <a:off x="4206240" y="36499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21</xdr:row>
      <xdr:rowOff>0</xdr:rowOff>
    </xdr:from>
    <xdr:ext cx="65" cy="172227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2100-00000C000000}"/>
            </a:ext>
          </a:extLst>
        </xdr:cNvPr>
        <xdr:cNvSpPr txBox="1"/>
      </xdr:nvSpPr>
      <xdr:spPr>
        <a:xfrm>
          <a:off x="4206240" y="36499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21</xdr:row>
      <xdr:rowOff>0</xdr:rowOff>
    </xdr:from>
    <xdr:ext cx="65" cy="172227"/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2100-00000D000000}"/>
            </a:ext>
          </a:extLst>
        </xdr:cNvPr>
        <xdr:cNvSpPr txBox="1"/>
      </xdr:nvSpPr>
      <xdr:spPr>
        <a:xfrm>
          <a:off x="4206240" y="36499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21</xdr:row>
      <xdr:rowOff>0</xdr:rowOff>
    </xdr:from>
    <xdr:ext cx="65" cy="172227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2100-00000E000000}"/>
            </a:ext>
          </a:extLst>
        </xdr:cNvPr>
        <xdr:cNvSpPr txBox="1"/>
      </xdr:nvSpPr>
      <xdr:spPr>
        <a:xfrm>
          <a:off x="403860" y="36499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21</xdr:row>
      <xdr:rowOff>0</xdr:rowOff>
    </xdr:from>
    <xdr:ext cx="65" cy="172227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2100-00000F000000}"/>
            </a:ext>
          </a:extLst>
        </xdr:cNvPr>
        <xdr:cNvSpPr txBox="1"/>
      </xdr:nvSpPr>
      <xdr:spPr>
        <a:xfrm>
          <a:off x="403860" y="36499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21</xdr:row>
      <xdr:rowOff>0</xdr:rowOff>
    </xdr:from>
    <xdr:ext cx="65" cy="172227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2100-000010000000}"/>
            </a:ext>
          </a:extLst>
        </xdr:cNvPr>
        <xdr:cNvSpPr txBox="1"/>
      </xdr:nvSpPr>
      <xdr:spPr>
        <a:xfrm>
          <a:off x="403860" y="36499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21</xdr:row>
      <xdr:rowOff>0</xdr:rowOff>
    </xdr:from>
    <xdr:ext cx="65" cy="172227"/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2100-000011000000}"/>
            </a:ext>
          </a:extLst>
        </xdr:cNvPr>
        <xdr:cNvSpPr txBox="1"/>
      </xdr:nvSpPr>
      <xdr:spPr>
        <a:xfrm>
          <a:off x="403860" y="36499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21</xdr:row>
      <xdr:rowOff>0</xdr:rowOff>
    </xdr:from>
    <xdr:ext cx="65" cy="172227"/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2100-000012000000}"/>
            </a:ext>
          </a:extLst>
        </xdr:cNvPr>
        <xdr:cNvSpPr txBox="1"/>
      </xdr:nvSpPr>
      <xdr:spPr>
        <a:xfrm>
          <a:off x="4206240" y="36499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21</xdr:row>
      <xdr:rowOff>0</xdr:rowOff>
    </xdr:from>
    <xdr:ext cx="65" cy="172227"/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00000000-0008-0000-2100-000013000000}"/>
            </a:ext>
          </a:extLst>
        </xdr:cNvPr>
        <xdr:cNvSpPr txBox="1"/>
      </xdr:nvSpPr>
      <xdr:spPr>
        <a:xfrm>
          <a:off x="4206240" y="36499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21</xdr:row>
      <xdr:rowOff>0</xdr:rowOff>
    </xdr:from>
    <xdr:ext cx="65" cy="172227"/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00000000-0008-0000-2100-000014000000}"/>
            </a:ext>
          </a:extLst>
        </xdr:cNvPr>
        <xdr:cNvSpPr txBox="1"/>
      </xdr:nvSpPr>
      <xdr:spPr>
        <a:xfrm>
          <a:off x="4206240" y="36499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21</xdr:row>
      <xdr:rowOff>0</xdr:rowOff>
    </xdr:from>
    <xdr:ext cx="65" cy="172227"/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2100-000015000000}"/>
            </a:ext>
          </a:extLst>
        </xdr:cNvPr>
        <xdr:cNvSpPr txBox="1"/>
      </xdr:nvSpPr>
      <xdr:spPr>
        <a:xfrm>
          <a:off x="4206240" y="36499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drawings/drawing19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0</xdr:colOff>
      <xdr:row>32</xdr:row>
      <xdr:rowOff>0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 txBox="1"/>
      </xdr:nvSpPr>
      <xdr:spPr>
        <a:xfrm>
          <a:off x="8397240" y="44119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5</xdr:col>
      <xdr:colOff>0</xdr:colOff>
      <xdr:row>32</xdr:row>
      <xdr:rowOff>0</xdr:rowOff>
    </xdr:from>
    <xdr:ext cx="65" cy="172227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SpPr txBox="1"/>
      </xdr:nvSpPr>
      <xdr:spPr>
        <a:xfrm>
          <a:off x="8397240" y="44119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5</xdr:col>
      <xdr:colOff>0</xdr:colOff>
      <xdr:row>32</xdr:row>
      <xdr:rowOff>0</xdr:rowOff>
    </xdr:from>
    <xdr:ext cx="65" cy="172227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SpPr txBox="1"/>
      </xdr:nvSpPr>
      <xdr:spPr>
        <a:xfrm>
          <a:off x="8397240" y="44119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5</xdr:col>
      <xdr:colOff>0</xdr:colOff>
      <xdr:row>32</xdr:row>
      <xdr:rowOff>0</xdr:rowOff>
    </xdr:from>
    <xdr:ext cx="65" cy="172227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SpPr txBox="1"/>
      </xdr:nvSpPr>
      <xdr:spPr>
        <a:xfrm>
          <a:off x="8397240" y="44119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32</xdr:row>
      <xdr:rowOff>0</xdr:rowOff>
    </xdr:from>
    <xdr:ext cx="65" cy="172227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1600-000006000000}"/>
            </a:ext>
          </a:extLst>
        </xdr:cNvPr>
        <xdr:cNvSpPr txBox="1"/>
      </xdr:nvSpPr>
      <xdr:spPr>
        <a:xfrm>
          <a:off x="403860" y="44119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32</xdr:row>
      <xdr:rowOff>0</xdr:rowOff>
    </xdr:from>
    <xdr:ext cx="65" cy="172227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1600-000007000000}"/>
            </a:ext>
          </a:extLst>
        </xdr:cNvPr>
        <xdr:cNvSpPr txBox="1"/>
      </xdr:nvSpPr>
      <xdr:spPr>
        <a:xfrm>
          <a:off x="403860" y="44119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32</xdr:row>
      <xdr:rowOff>0</xdr:rowOff>
    </xdr:from>
    <xdr:ext cx="65" cy="172227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1600-000008000000}"/>
            </a:ext>
          </a:extLst>
        </xdr:cNvPr>
        <xdr:cNvSpPr txBox="1"/>
      </xdr:nvSpPr>
      <xdr:spPr>
        <a:xfrm>
          <a:off x="403860" y="44119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32</xdr:row>
      <xdr:rowOff>0</xdr:rowOff>
    </xdr:from>
    <xdr:ext cx="65" cy="172227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1600-000009000000}"/>
            </a:ext>
          </a:extLst>
        </xdr:cNvPr>
        <xdr:cNvSpPr txBox="1"/>
      </xdr:nvSpPr>
      <xdr:spPr>
        <a:xfrm>
          <a:off x="403860" y="44119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32</xdr:row>
      <xdr:rowOff>0</xdr:rowOff>
    </xdr:from>
    <xdr:ext cx="65" cy="172227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1600-00000A000000}"/>
            </a:ext>
          </a:extLst>
        </xdr:cNvPr>
        <xdr:cNvSpPr txBox="1"/>
      </xdr:nvSpPr>
      <xdr:spPr>
        <a:xfrm>
          <a:off x="4206240" y="44119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32</xdr:row>
      <xdr:rowOff>0</xdr:rowOff>
    </xdr:from>
    <xdr:ext cx="65" cy="172227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1600-00000B000000}"/>
            </a:ext>
          </a:extLst>
        </xdr:cNvPr>
        <xdr:cNvSpPr txBox="1"/>
      </xdr:nvSpPr>
      <xdr:spPr>
        <a:xfrm>
          <a:off x="4206240" y="44119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32</xdr:row>
      <xdr:rowOff>0</xdr:rowOff>
    </xdr:from>
    <xdr:ext cx="65" cy="172227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1600-00000C000000}"/>
            </a:ext>
          </a:extLst>
        </xdr:cNvPr>
        <xdr:cNvSpPr txBox="1"/>
      </xdr:nvSpPr>
      <xdr:spPr>
        <a:xfrm>
          <a:off x="4206240" y="44119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32</xdr:row>
      <xdr:rowOff>0</xdr:rowOff>
    </xdr:from>
    <xdr:ext cx="65" cy="172227"/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1600-00000D000000}"/>
            </a:ext>
          </a:extLst>
        </xdr:cNvPr>
        <xdr:cNvSpPr txBox="1"/>
      </xdr:nvSpPr>
      <xdr:spPr>
        <a:xfrm>
          <a:off x="4206240" y="44119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32</xdr:row>
      <xdr:rowOff>0</xdr:rowOff>
    </xdr:from>
    <xdr:ext cx="65" cy="172227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1600-00000E000000}"/>
            </a:ext>
          </a:extLst>
        </xdr:cNvPr>
        <xdr:cNvSpPr txBox="1"/>
      </xdr:nvSpPr>
      <xdr:spPr>
        <a:xfrm>
          <a:off x="403860" y="36195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32</xdr:row>
      <xdr:rowOff>0</xdr:rowOff>
    </xdr:from>
    <xdr:ext cx="65" cy="172227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1600-00000F000000}"/>
            </a:ext>
          </a:extLst>
        </xdr:cNvPr>
        <xdr:cNvSpPr txBox="1"/>
      </xdr:nvSpPr>
      <xdr:spPr>
        <a:xfrm>
          <a:off x="403860" y="36195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32</xdr:row>
      <xdr:rowOff>0</xdr:rowOff>
    </xdr:from>
    <xdr:ext cx="65" cy="172227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1600-000010000000}"/>
            </a:ext>
          </a:extLst>
        </xdr:cNvPr>
        <xdr:cNvSpPr txBox="1"/>
      </xdr:nvSpPr>
      <xdr:spPr>
        <a:xfrm>
          <a:off x="403860" y="36195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32</xdr:row>
      <xdr:rowOff>0</xdr:rowOff>
    </xdr:from>
    <xdr:ext cx="65" cy="172227"/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1600-000011000000}"/>
            </a:ext>
          </a:extLst>
        </xdr:cNvPr>
        <xdr:cNvSpPr txBox="1"/>
      </xdr:nvSpPr>
      <xdr:spPr>
        <a:xfrm>
          <a:off x="403860" y="36195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32</xdr:row>
      <xdr:rowOff>0</xdr:rowOff>
    </xdr:from>
    <xdr:ext cx="65" cy="172227"/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1600-000012000000}"/>
            </a:ext>
          </a:extLst>
        </xdr:cNvPr>
        <xdr:cNvSpPr txBox="1"/>
      </xdr:nvSpPr>
      <xdr:spPr>
        <a:xfrm>
          <a:off x="4206240" y="36195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32</xdr:row>
      <xdr:rowOff>0</xdr:rowOff>
    </xdr:from>
    <xdr:ext cx="65" cy="172227"/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00000000-0008-0000-1600-000013000000}"/>
            </a:ext>
          </a:extLst>
        </xdr:cNvPr>
        <xdr:cNvSpPr txBox="1"/>
      </xdr:nvSpPr>
      <xdr:spPr>
        <a:xfrm>
          <a:off x="4206240" y="36195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32</xdr:row>
      <xdr:rowOff>0</xdr:rowOff>
    </xdr:from>
    <xdr:ext cx="65" cy="172227"/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 txBox="1"/>
      </xdr:nvSpPr>
      <xdr:spPr>
        <a:xfrm>
          <a:off x="4206240" y="36195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32</xdr:row>
      <xdr:rowOff>0</xdr:rowOff>
    </xdr:from>
    <xdr:ext cx="65" cy="172227"/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1600-000015000000}"/>
            </a:ext>
          </a:extLst>
        </xdr:cNvPr>
        <xdr:cNvSpPr txBox="1"/>
      </xdr:nvSpPr>
      <xdr:spPr>
        <a:xfrm>
          <a:off x="4206240" y="36195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32</xdr:row>
      <xdr:rowOff>0</xdr:rowOff>
    </xdr:from>
    <xdr:ext cx="65" cy="172227"/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00000000-0008-0000-1600-000016000000}"/>
            </a:ext>
          </a:extLst>
        </xdr:cNvPr>
        <xdr:cNvSpPr txBox="1"/>
      </xdr:nvSpPr>
      <xdr:spPr>
        <a:xfrm>
          <a:off x="403860" y="36195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32</xdr:row>
      <xdr:rowOff>0</xdr:rowOff>
    </xdr:from>
    <xdr:ext cx="65" cy="172227"/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00000000-0008-0000-1600-000017000000}"/>
            </a:ext>
          </a:extLst>
        </xdr:cNvPr>
        <xdr:cNvSpPr txBox="1"/>
      </xdr:nvSpPr>
      <xdr:spPr>
        <a:xfrm>
          <a:off x="403860" y="36195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32</xdr:row>
      <xdr:rowOff>0</xdr:rowOff>
    </xdr:from>
    <xdr:ext cx="65" cy="172227"/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00000000-0008-0000-1600-000018000000}"/>
            </a:ext>
          </a:extLst>
        </xdr:cNvPr>
        <xdr:cNvSpPr txBox="1"/>
      </xdr:nvSpPr>
      <xdr:spPr>
        <a:xfrm>
          <a:off x="403860" y="36195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32</xdr:row>
      <xdr:rowOff>0</xdr:rowOff>
    </xdr:from>
    <xdr:ext cx="65" cy="172227"/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00000000-0008-0000-1600-000019000000}"/>
            </a:ext>
          </a:extLst>
        </xdr:cNvPr>
        <xdr:cNvSpPr txBox="1"/>
      </xdr:nvSpPr>
      <xdr:spPr>
        <a:xfrm>
          <a:off x="403860" y="36195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32</xdr:row>
      <xdr:rowOff>0</xdr:rowOff>
    </xdr:from>
    <xdr:ext cx="65" cy="172227"/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00000000-0008-0000-1600-00001A000000}"/>
            </a:ext>
          </a:extLst>
        </xdr:cNvPr>
        <xdr:cNvSpPr txBox="1"/>
      </xdr:nvSpPr>
      <xdr:spPr>
        <a:xfrm>
          <a:off x="4206240" y="36195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32</xdr:row>
      <xdr:rowOff>0</xdr:rowOff>
    </xdr:from>
    <xdr:ext cx="65" cy="172227"/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00000000-0008-0000-1600-00001B000000}"/>
            </a:ext>
          </a:extLst>
        </xdr:cNvPr>
        <xdr:cNvSpPr txBox="1"/>
      </xdr:nvSpPr>
      <xdr:spPr>
        <a:xfrm>
          <a:off x="4206240" y="36195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32</xdr:row>
      <xdr:rowOff>0</xdr:rowOff>
    </xdr:from>
    <xdr:ext cx="65" cy="172227"/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00000000-0008-0000-1600-00001C000000}"/>
            </a:ext>
          </a:extLst>
        </xdr:cNvPr>
        <xdr:cNvSpPr txBox="1"/>
      </xdr:nvSpPr>
      <xdr:spPr>
        <a:xfrm>
          <a:off x="4206240" y="36195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32</xdr:row>
      <xdr:rowOff>0</xdr:rowOff>
    </xdr:from>
    <xdr:ext cx="65" cy="172227"/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00000000-0008-0000-1600-00001D000000}"/>
            </a:ext>
          </a:extLst>
        </xdr:cNvPr>
        <xdr:cNvSpPr txBox="1"/>
      </xdr:nvSpPr>
      <xdr:spPr>
        <a:xfrm>
          <a:off x="4206240" y="36195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32</xdr:row>
      <xdr:rowOff>0</xdr:rowOff>
    </xdr:from>
    <xdr:ext cx="65" cy="172227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00000000-0008-0000-1600-00001E000000}"/>
            </a:ext>
          </a:extLst>
        </xdr:cNvPr>
        <xdr:cNvSpPr txBox="1"/>
      </xdr:nvSpPr>
      <xdr:spPr>
        <a:xfrm>
          <a:off x="403860" y="36195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32</xdr:row>
      <xdr:rowOff>0</xdr:rowOff>
    </xdr:from>
    <xdr:ext cx="65" cy="172227"/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00000000-0008-0000-1600-00001F000000}"/>
            </a:ext>
          </a:extLst>
        </xdr:cNvPr>
        <xdr:cNvSpPr txBox="1"/>
      </xdr:nvSpPr>
      <xdr:spPr>
        <a:xfrm>
          <a:off x="403860" y="36195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32</xdr:row>
      <xdr:rowOff>0</xdr:rowOff>
    </xdr:from>
    <xdr:ext cx="65" cy="172227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00000000-0008-0000-1600-000020000000}"/>
            </a:ext>
          </a:extLst>
        </xdr:cNvPr>
        <xdr:cNvSpPr txBox="1"/>
      </xdr:nvSpPr>
      <xdr:spPr>
        <a:xfrm>
          <a:off x="403860" y="36195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32</xdr:row>
      <xdr:rowOff>0</xdr:rowOff>
    </xdr:from>
    <xdr:ext cx="65" cy="172227"/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00000000-0008-0000-1600-000021000000}"/>
            </a:ext>
          </a:extLst>
        </xdr:cNvPr>
        <xdr:cNvSpPr txBox="1"/>
      </xdr:nvSpPr>
      <xdr:spPr>
        <a:xfrm>
          <a:off x="403860" y="36195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32</xdr:row>
      <xdr:rowOff>0</xdr:rowOff>
    </xdr:from>
    <xdr:ext cx="65" cy="172227"/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00000000-0008-0000-1600-000022000000}"/>
            </a:ext>
          </a:extLst>
        </xdr:cNvPr>
        <xdr:cNvSpPr txBox="1"/>
      </xdr:nvSpPr>
      <xdr:spPr>
        <a:xfrm>
          <a:off x="4206240" y="36195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32</xdr:row>
      <xdr:rowOff>0</xdr:rowOff>
    </xdr:from>
    <xdr:ext cx="65" cy="172227"/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00000000-0008-0000-1600-000023000000}"/>
            </a:ext>
          </a:extLst>
        </xdr:cNvPr>
        <xdr:cNvSpPr txBox="1"/>
      </xdr:nvSpPr>
      <xdr:spPr>
        <a:xfrm>
          <a:off x="4206240" y="36195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32</xdr:row>
      <xdr:rowOff>0</xdr:rowOff>
    </xdr:from>
    <xdr:ext cx="65" cy="172227"/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00000000-0008-0000-1600-000024000000}"/>
            </a:ext>
          </a:extLst>
        </xdr:cNvPr>
        <xdr:cNvSpPr txBox="1"/>
      </xdr:nvSpPr>
      <xdr:spPr>
        <a:xfrm>
          <a:off x="4206240" y="36195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32</xdr:row>
      <xdr:rowOff>0</xdr:rowOff>
    </xdr:from>
    <xdr:ext cx="65" cy="172227"/>
    <xdr:sp macro="" textlink="">
      <xdr:nvSpPr>
        <xdr:cNvPr id="37" name="TextBox 36">
          <a:extLst>
            <a:ext uri="{FF2B5EF4-FFF2-40B4-BE49-F238E27FC236}">
              <a16:creationId xmlns:a16="http://schemas.microsoft.com/office/drawing/2014/main" id="{00000000-0008-0000-1600-000025000000}"/>
            </a:ext>
          </a:extLst>
        </xdr:cNvPr>
        <xdr:cNvSpPr txBox="1"/>
      </xdr:nvSpPr>
      <xdr:spPr>
        <a:xfrm>
          <a:off x="4206240" y="36195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32</xdr:row>
      <xdr:rowOff>0</xdr:rowOff>
    </xdr:from>
    <xdr:ext cx="65" cy="172227"/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00000000-0008-0000-1600-000026000000}"/>
            </a:ext>
          </a:extLst>
        </xdr:cNvPr>
        <xdr:cNvSpPr txBox="1"/>
      </xdr:nvSpPr>
      <xdr:spPr>
        <a:xfrm>
          <a:off x="403860" y="36195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32</xdr:row>
      <xdr:rowOff>0</xdr:rowOff>
    </xdr:from>
    <xdr:ext cx="65" cy="172227"/>
    <xdr:sp macro="" textlink="">
      <xdr:nvSpPr>
        <xdr:cNvPr id="39" name="TextBox 38">
          <a:extLst>
            <a:ext uri="{FF2B5EF4-FFF2-40B4-BE49-F238E27FC236}">
              <a16:creationId xmlns:a16="http://schemas.microsoft.com/office/drawing/2014/main" id="{00000000-0008-0000-1600-000027000000}"/>
            </a:ext>
          </a:extLst>
        </xdr:cNvPr>
        <xdr:cNvSpPr txBox="1"/>
      </xdr:nvSpPr>
      <xdr:spPr>
        <a:xfrm>
          <a:off x="403860" y="36195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32</xdr:row>
      <xdr:rowOff>0</xdr:rowOff>
    </xdr:from>
    <xdr:ext cx="65" cy="172227"/>
    <xdr:sp macro="" textlink="">
      <xdr:nvSpPr>
        <xdr:cNvPr id="40" name="TextBox 39">
          <a:extLst>
            <a:ext uri="{FF2B5EF4-FFF2-40B4-BE49-F238E27FC236}">
              <a16:creationId xmlns:a16="http://schemas.microsoft.com/office/drawing/2014/main" id="{00000000-0008-0000-1600-000028000000}"/>
            </a:ext>
          </a:extLst>
        </xdr:cNvPr>
        <xdr:cNvSpPr txBox="1"/>
      </xdr:nvSpPr>
      <xdr:spPr>
        <a:xfrm>
          <a:off x="403860" y="36195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32</xdr:row>
      <xdr:rowOff>0</xdr:rowOff>
    </xdr:from>
    <xdr:ext cx="65" cy="172227"/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1600-000029000000}"/>
            </a:ext>
          </a:extLst>
        </xdr:cNvPr>
        <xdr:cNvSpPr txBox="1"/>
      </xdr:nvSpPr>
      <xdr:spPr>
        <a:xfrm>
          <a:off x="403860" y="36195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32</xdr:row>
      <xdr:rowOff>0</xdr:rowOff>
    </xdr:from>
    <xdr:ext cx="65" cy="172227"/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1600-00002A000000}"/>
            </a:ext>
          </a:extLst>
        </xdr:cNvPr>
        <xdr:cNvSpPr txBox="1"/>
      </xdr:nvSpPr>
      <xdr:spPr>
        <a:xfrm>
          <a:off x="4206240" y="36195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32</xdr:row>
      <xdr:rowOff>0</xdr:rowOff>
    </xdr:from>
    <xdr:ext cx="65" cy="172227"/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1600-00002B000000}"/>
            </a:ext>
          </a:extLst>
        </xdr:cNvPr>
        <xdr:cNvSpPr txBox="1"/>
      </xdr:nvSpPr>
      <xdr:spPr>
        <a:xfrm>
          <a:off x="4206240" y="36195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32</xdr:row>
      <xdr:rowOff>0</xdr:rowOff>
    </xdr:from>
    <xdr:ext cx="65" cy="172227"/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1600-00002C000000}"/>
            </a:ext>
          </a:extLst>
        </xdr:cNvPr>
        <xdr:cNvSpPr txBox="1"/>
      </xdr:nvSpPr>
      <xdr:spPr>
        <a:xfrm>
          <a:off x="4206240" y="36195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32</xdr:row>
      <xdr:rowOff>0</xdr:rowOff>
    </xdr:from>
    <xdr:ext cx="65" cy="172227"/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1600-00002D000000}"/>
            </a:ext>
          </a:extLst>
        </xdr:cNvPr>
        <xdr:cNvSpPr txBox="1"/>
      </xdr:nvSpPr>
      <xdr:spPr>
        <a:xfrm>
          <a:off x="4206240" y="36195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32</xdr:row>
      <xdr:rowOff>0</xdr:rowOff>
    </xdr:from>
    <xdr:ext cx="65" cy="172227"/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00000000-0008-0000-1600-00003E000000}"/>
            </a:ext>
          </a:extLst>
        </xdr:cNvPr>
        <xdr:cNvSpPr txBox="1"/>
      </xdr:nvSpPr>
      <xdr:spPr>
        <a:xfrm>
          <a:off x="403860" y="256794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32</xdr:row>
      <xdr:rowOff>0</xdr:rowOff>
    </xdr:from>
    <xdr:ext cx="65" cy="172227"/>
    <xdr:sp macro="" textlink="">
      <xdr:nvSpPr>
        <xdr:cNvPr id="63" name="TextBox 62">
          <a:extLst>
            <a:ext uri="{FF2B5EF4-FFF2-40B4-BE49-F238E27FC236}">
              <a16:creationId xmlns:a16="http://schemas.microsoft.com/office/drawing/2014/main" id="{00000000-0008-0000-1600-00003F000000}"/>
            </a:ext>
          </a:extLst>
        </xdr:cNvPr>
        <xdr:cNvSpPr txBox="1"/>
      </xdr:nvSpPr>
      <xdr:spPr>
        <a:xfrm>
          <a:off x="403860" y="256794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32</xdr:row>
      <xdr:rowOff>0</xdr:rowOff>
    </xdr:from>
    <xdr:ext cx="65" cy="172227"/>
    <xdr:sp macro="" textlink="">
      <xdr:nvSpPr>
        <xdr:cNvPr id="64" name="TextBox 63">
          <a:extLst>
            <a:ext uri="{FF2B5EF4-FFF2-40B4-BE49-F238E27FC236}">
              <a16:creationId xmlns:a16="http://schemas.microsoft.com/office/drawing/2014/main" id="{00000000-0008-0000-1600-000040000000}"/>
            </a:ext>
          </a:extLst>
        </xdr:cNvPr>
        <xdr:cNvSpPr txBox="1"/>
      </xdr:nvSpPr>
      <xdr:spPr>
        <a:xfrm>
          <a:off x="403860" y="256794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32</xdr:row>
      <xdr:rowOff>0</xdr:rowOff>
    </xdr:from>
    <xdr:ext cx="65" cy="172227"/>
    <xdr:sp macro="" textlink="">
      <xdr:nvSpPr>
        <xdr:cNvPr id="65" name="TextBox 64">
          <a:extLst>
            <a:ext uri="{FF2B5EF4-FFF2-40B4-BE49-F238E27FC236}">
              <a16:creationId xmlns:a16="http://schemas.microsoft.com/office/drawing/2014/main" id="{00000000-0008-0000-1600-000041000000}"/>
            </a:ext>
          </a:extLst>
        </xdr:cNvPr>
        <xdr:cNvSpPr txBox="1"/>
      </xdr:nvSpPr>
      <xdr:spPr>
        <a:xfrm>
          <a:off x="403860" y="256794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32</xdr:row>
      <xdr:rowOff>0</xdr:rowOff>
    </xdr:from>
    <xdr:ext cx="65" cy="172227"/>
    <xdr:sp macro="" textlink="">
      <xdr:nvSpPr>
        <xdr:cNvPr id="66" name="TextBox 65">
          <a:extLst>
            <a:ext uri="{FF2B5EF4-FFF2-40B4-BE49-F238E27FC236}">
              <a16:creationId xmlns:a16="http://schemas.microsoft.com/office/drawing/2014/main" id="{00000000-0008-0000-1600-000042000000}"/>
            </a:ext>
          </a:extLst>
        </xdr:cNvPr>
        <xdr:cNvSpPr txBox="1"/>
      </xdr:nvSpPr>
      <xdr:spPr>
        <a:xfrm>
          <a:off x="4206240" y="256794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32</xdr:row>
      <xdr:rowOff>0</xdr:rowOff>
    </xdr:from>
    <xdr:ext cx="65" cy="172227"/>
    <xdr:sp macro="" textlink="">
      <xdr:nvSpPr>
        <xdr:cNvPr id="67" name="TextBox 66">
          <a:extLst>
            <a:ext uri="{FF2B5EF4-FFF2-40B4-BE49-F238E27FC236}">
              <a16:creationId xmlns:a16="http://schemas.microsoft.com/office/drawing/2014/main" id="{00000000-0008-0000-1600-000043000000}"/>
            </a:ext>
          </a:extLst>
        </xdr:cNvPr>
        <xdr:cNvSpPr txBox="1"/>
      </xdr:nvSpPr>
      <xdr:spPr>
        <a:xfrm>
          <a:off x="4206240" y="256794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32</xdr:row>
      <xdr:rowOff>0</xdr:rowOff>
    </xdr:from>
    <xdr:ext cx="65" cy="172227"/>
    <xdr:sp macro="" textlink="">
      <xdr:nvSpPr>
        <xdr:cNvPr id="68" name="TextBox 67">
          <a:extLst>
            <a:ext uri="{FF2B5EF4-FFF2-40B4-BE49-F238E27FC236}">
              <a16:creationId xmlns:a16="http://schemas.microsoft.com/office/drawing/2014/main" id="{00000000-0008-0000-1600-000044000000}"/>
            </a:ext>
          </a:extLst>
        </xdr:cNvPr>
        <xdr:cNvSpPr txBox="1"/>
      </xdr:nvSpPr>
      <xdr:spPr>
        <a:xfrm>
          <a:off x="4206240" y="256794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32</xdr:row>
      <xdr:rowOff>0</xdr:rowOff>
    </xdr:from>
    <xdr:ext cx="65" cy="172227"/>
    <xdr:sp macro="" textlink="">
      <xdr:nvSpPr>
        <xdr:cNvPr id="69" name="TextBox 68">
          <a:extLst>
            <a:ext uri="{FF2B5EF4-FFF2-40B4-BE49-F238E27FC236}">
              <a16:creationId xmlns:a16="http://schemas.microsoft.com/office/drawing/2014/main" id="{00000000-0008-0000-1600-000045000000}"/>
            </a:ext>
          </a:extLst>
        </xdr:cNvPr>
        <xdr:cNvSpPr txBox="1"/>
      </xdr:nvSpPr>
      <xdr:spPr>
        <a:xfrm>
          <a:off x="4206240" y="256794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32</xdr:row>
      <xdr:rowOff>0</xdr:rowOff>
    </xdr:from>
    <xdr:ext cx="65" cy="172227"/>
    <xdr:sp macro="" textlink="">
      <xdr:nvSpPr>
        <xdr:cNvPr id="70" name="TextBox 69">
          <a:extLst>
            <a:ext uri="{FF2B5EF4-FFF2-40B4-BE49-F238E27FC236}">
              <a16:creationId xmlns:a16="http://schemas.microsoft.com/office/drawing/2014/main" id="{00000000-0008-0000-1600-000046000000}"/>
            </a:ext>
          </a:extLst>
        </xdr:cNvPr>
        <xdr:cNvSpPr txBox="1"/>
      </xdr:nvSpPr>
      <xdr:spPr>
        <a:xfrm>
          <a:off x="403860" y="256794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32</xdr:row>
      <xdr:rowOff>0</xdr:rowOff>
    </xdr:from>
    <xdr:ext cx="65" cy="172227"/>
    <xdr:sp macro="" textlink="">
      <xdr:nvSpPr>
        <xdr:cNvPr id="71" name="TextBox 70">
          <a:extLst>
            <a:ext uri="{FF2B5EF4-FFF2-40B4-BE49-F238E27FC236}">
              <a16:creationId xmlns:a16="http://schemas.microsoft.com/office/drawing/2014/main" id="{00000000-0008-0000-1600-000047000000}"/>
            </a:ext>
          </a:extLst>
        </xdr:cNvPr>
        <xdr:cNvSpPr txBox="1"/>
      </xdr:nvSpPr>
      <xdr:spPr>
        <a:xfrm>
          <a:off x="403860" y="256794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32</xdr:row>
      <xdr:rowOff>0</xdr:rowOff>
    </xdr:from>
    <xdr:ext cx="65" cy="172227"/>
    <xdr:sp macro="" textlink="">
      <xdr:nvSpPr>
        <xdr:cNvPr id="72" name="TextBox 71">
          <a:extLst>
            <a:ext uri="{FF2B5EF4-FFF2-40B4-BE49-F238E27FC236}">
              <a16:creationId xmlns:a16="http://schemas.microsoft.com/office/drawing/2014/main" id="{00000000-0008-0000-1600-000048000000}"/>
            </a:ext>
          </a:extLst>
        </xdr:cNvPr>
        <xdr:cNvSpPr txBox="1"/>
      </xdr:nvSpPr>
      <xdr:spPr>
        <a:xfrm>
          <a:off x="403860" y="256794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32</xdr:row>
      <xdr:rowOff>0</xdr:rowOff>
    </xdr:from>
    <xdr:ext cx="65" cy="172227"/>
    <xdr:sp macro="" textlink="">
      <xdr:nvSpPr>
        <xdr:cNvPr id="73" name="TextBox 72">
          <a:extLst>
            <a:ext uri="{FF2B5EF4-FFF2-40B4-BE49-F238E27FC236}">
              <a16:creationId xmlns:a16="http://schemas.microsoft.com/office/drawing/2014/main" id="{00000000-0008-0000-1600-000049000000}"/>
            </a:ext>
          </a:extLst>
        </xdr:cNvPr>
        <xdr:cNvSpPr txBox="1"/>
      </xdr:nvSpPr>
      <xdr:spPr>
        <a:xfrm>
          <a:off x="403860" y="256794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32</xdr:row>
      <xdr:rowOff>0</xdr:rowOff>
    </xdr:from>
    <xdr:ext cx="65" cy="172227"/>
    <xdr:sp macro="" textlink="">
      <xdr:nvSpPr>
        <xdr:cNvPr id="74" name="TextBox 73">
          <a:extLst>
            <a:ext uri="{FF2B5EF4-FFF2-40B4-BE49-F238E27FC236}">
              <a16:creationId xmlns:a16="http://schemas.microsoft.com/office/drawing/2014/main" id="{00000000-0008-0000-1600-00004A000000}"/>
            </a:ext>
          </a:extLst>
        </xdr:cNvPr>
        <xdr:cNvSpPr txBox="1"/>
      </xdr:nvSpPr>
      <xdr:spPr>
        <a:xfrm>
          <a:off x="4206240" y="256794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32</xdr:row>
      <xdr:rowOff>0</xdr:rowOff>
    </xdr:from>
    <xdr:ext cx="65" cy="172227"/>
    <xdr:sp macro="" textlink="">
      <xdr:nvSpPr>
        <xdr:cNvPr id="75" name="TextBox 74">
          <a:extLst>
            <a:ext uri="{FF2B5EF4-FFF2-40B4-BE49-F238E27FC236}">
              <a16:creationId xmlns:a16="http://schemas.microsoft.com/office/drawing/2014/main" id="{00000000-0008-0000-1600-00004B000000}"/>
            </a:ext>
          </a:extLst>
        </xdr:cNvPr>
        <xdr:cNvSpPr txBox="1"/>
      </xdr:nvSpPr>
      <xdr:spPr>
        <a:xfrm>
          <a:off x="4206240" y="256794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32</xdr:row>
      <xdr:rowOff>0</xdr:rowOff>
    </xdr:from>
    <xdr:ext cx="65" cy="172227"/>
    <xdr:sp macro="" textlink="">
      <xdr:nvSpPr>
        <xdr:cNvPr id="76" name="TextBox 75">
          <a:extLst>
            <a:ext uri="{FF2B5EF4-FFF2-40B4-BE49-F238E27FC236}">
              <a16:creationId xmlns:a16="http://schemas.microsoft.com/office/drawing/2014/main" id="{00000000-0008-0000-1600-00004C000000}"/>
            </a:ext>
          </a:extLst>
        </xdr:cNvPr>
        <xdr:cNvSpPr txBox="1"/>
      </xdr:nvSpPr>
      <xdr:spPr>
        <a:xfrm>
          <a:off x="4206240" y="256794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32</xdr:row>
      <xdr:rowOff>0</xdr:rowOff>
    </xdr:from>
    <xdr:ext cx="65" cy="172227"/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1600-00004D000000}"/>
            </a:ext>
          </a:extLst>
        </xdr:cNvPr>
        <xdr:cNvSpPr txBox="1"/>
      </xdr:nvSpPr>
      <xdr:spPr>
        <a:xfrm>
          <a:off x="4206240" y="256794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5</xdr:col>
      <xdr:colOff>0</xdr:colOff>
      <xdr:row>15</xdr:row>
      <xdr:rowOff>0</xdr:rowOff>
    </xdr:from>
    <xdr:ext cx="65" cy="172227"/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1600-00004E000000}"/>
            </a:ext>
          </a:extLst>
        </xdr:cNvPr>
        <xdr:cNvSpPr txBox="1"/>
      </xdr:nvSpPr>
      <xdr:spPr>
        <a:xfrm>
          <a:off x="8397240" y="576834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5</xdr:col>
      <xdr:colOff>0</xdr:colOff>
      <xdr:row>15</xdr:row>
      <xdr:rowOff>0</xdr:rowOff>
    </xdr:from>
    <xdr:ext cx="65" cy="172227"/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1600-00004F000000}"/>
            </a:ext>
          </a:extLst>
        </xdr:cNvPr>
        <xdr:cNvSpPr txBox="1"/>
      </xdr:nvSpPr>
      <xdr:spPr>
        <a:xfrm>
          <a:off x="8397240" y="576834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5</xdr:col>
      <xdr:colOff>0</xdr:colOff>
      <xdr:row>15</xdr:row>
      <xdr:rowOff>0</xdr:rowOff>
    </xdr:from>
    <xdr:ext cx="65" cy="172227"/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1600-000050000000}"/>
            </a:ext>
          </a:extLst>
        </xdr:cNvPr>
        <xdr:cNvSpPr txBox="1"/>
      </xdr:nvSpPr>
      <xdr:spPr>
        <a:xfrm>
          <a:off x="8397240" y="576834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5</xdr:col>
      <xdr:colOff>0</xdr:colOff>
      <xdr:row>15</xdr:row>
      <xdr:rowOff>0</xdr:rowOff>
    </xdr:from>
    <xdr:ext cx="65" cy="172227"/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00000000-0008-0000-1600-000051000000}"/>
            </a:ext>
          </a:extLst>
        </xdr:cNvPr>
        <xdr:cNvSpPr txBox="1"/>
      </xdr:nvSpPr>
      <xdr:spPr>
        <a:xfrm>
          <a:off x="8397240" y="576834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5</xdr:col>
      <xdr:colOff>0</xdr:colOff>
      <xdr:row>15</xdr:row>
      <xdr:rowOff>0</xdr:rowOff>
    </xdr:from>
    <xdr:ext cx="65" cy="172227"/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00000000-0008-0000-1600-000052000000}"/>
            </a:ext>
          </a:extLst>
        </xdr:cNvPr>
        <xdr:cNvSpPr txBox="1"/>
      </xdr:nvSpPr>
      <xdr:spPr>
        <a:xfrm>
          <a:off x="8397240" y="576834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5</xdr:col>
      <xdr:colOff>0</xdr:colOff>
      <xdr:row>15</xdr:row>
      <xdr:rowOff>0</xdr:rowOff>
    </xdr:from>
    <xdr:ext cx="65" cy="172227"/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1600-000053000000}"/>
            </a:ext>
          </a:extLst>
        </xdr:cNvPr>
        <xdr:cNvSpPr txBox="1"/>
      </xdr:nvSpPr>
      <xdr:spPr>
        <a:xfrm>
          <a:off x="8397240" y="576834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5</xdr:col>
      <xdr:colOff>0</xdr:colOff>
      <xdr:row>15</xdr:row>
      <xdr:rowOff>0</xdr:rowOff>
    </xdr:from>
    <xdr:ext cx="65" cy="172227"/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00000000-0008-0000-1600-000054000000}"/>
            </a:ext>
          </a:extLst>
        </xdr:cNvPr>
        <xdr:cNvSpPr txBox="1"/>
      </xdr:nvSpPr>
      <xdr:spPr>
        <a:xfrm>
          <a:off x="8397240" y="576834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5</xdr:col>
      <xdr:colOff>0</xdr:colOff>
      <xdr:row>15</xdr:row>
      <xdr:rowOff>0</xdr:rowOff>
    </xdr:from>
    <xdr:ext cx="65" cy="172227"/>
    <xdr:sp macro="" textlink="">
      <xdr:nvSpPr>
        <xdr:cNvPr id="85" name="TextBox 84">
          <a:extLst>
            <a:ext uri="{FF2B5EF4-FFF2-40B4-BE49-F238E27FC236}">
              <a16:creationId xmlns:a16="http://schemas.microsoft.com/office/drawing/2014/main" id="{00000000-0008-0000-1600-000055000000}"/>
            </a:ext>
          </a:extLst>
        </xdr:cNvPr>
        <xdr:cNvSpPr txBox="1"/>
      </xdr:nvSpPr>
      <xdr:spPr>
        <a:xfrm>
          <a:off x="8397240" y="576834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5</xdr:col>
      <xdr:colOff>0</xdr:colOff>
      <xdr:row>15</xdr:row>
      <xdr:rowOff>0</xdr:rowOff>
    </xdr:from>
    <xdr:ext cx="65" cy="172227"/>
    <xdr:sp macro="" textlink="">
      <xdr:nvSpPr>
        <xdr:cNvPr id="86" name="TextBox 85">
          <a:extLst>
            <a:ext uri="{FF2B5EF4-FFF2-40B4-BE49-F238E27FC236}">
              <a16:creationId xmlns:a16="http://schemas.microsoft.com/office/drawing/2014/main" id="{00000000-0008-0000-1600-000056000000}"/>
            </a:ext>
          </a:extLst>
        </xdr:cNvPr>
        <xdr:cNvSpPr txBox="1"/>
      </xdr:nvSpPr>
      <xdr:spPr>
        <a:xfrm>
          <a:off x="8397240" y="576834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5</xdr:col>
      <xdr:colOff>0</xdr:colOff>
      <xdr:row>15</xdr:row>
      <xdr:rowOff>0</xdr:rowOff>
    </xdr:from>
    <xdr:ext cx="65" cy="172227"/>
    <xdr:sp macro="" textlink="">
      <xdr:nvSpPr>
        <xdr:cNvPr id="87" name="TextBox 86">
          <a:extLst>
            <a:ext uri="{FF2B5EF4-FFF2-40B4-BE49-F238E27FC236}">
              <a16:creationId xmlns:a16="http://schemas.microsoft.com/office/drawing/2014/main" id="{00000000-0008-0000-1600-000057000000}"/>
            </a:ext>
          </a:extLst>
        </xdr:cNvPr>
        <xdr:cNvSpPr txBox="1"/>
      </xdr:nvSpPr>
      <xdr:spPr>
        <a:xfrm>
          <a:off x="8397240" y="576834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5</xdr:col>
      <xdr:colOff>0</xdr:colOff>
      <xdr:row>15</xdr:row>
      <xdr:rowOff>0</xdr:rowOff>
    </xdr:from>
    <xdr:ext cx="65" cy="172227"/>
    <xdr:sp macro="" textlink="">
      <xdr:nvSpPr>
        <xdr:cNvPr id="88" name="TextBox 87">
          <a:extLst>
            <a:ext uri="{FF2B5EF4-FFF2-40B4-BE49-F238E27FC236}">
              <a16:creationId xmlns:a16="http://schemas.microsoft.com/office/drawing/2014/main" id="{00000000-0008-0000-1600-000058000000}"/>
            </a:ext>
          </a:extLst>
        </xdr:cNvPr>
        <xdr:cNvSpPr txBox="1"/>
      </xdr:nvSpPr>
      <xdr:spPr>
        <a:xfrm>
          <a:off x="8397240" y="576834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5</xdr:col>
      <xdr:colOff>0</xdr:colOff>
      <xdr:row>15</xdr:row>
      <xdr:rowOff>0</xdr:rowOff>
    </xdr:from>
    <xdr:ext cx="65" cy="172227"/>
    <xdr:sp macro="" textlink="">
      <xdr:nvSpPr>
        <xdr:cNvPr id="89" name="TextBox 88">
          <a:extLst>
            <a:ext uri="{FF2B5EF4-FFF2-40B4-BE49-F238E27FC236}">
              <a16:creationId xmlns:a16="http://schemas.microsoft.com/office/drawing/2014/main" id="{00000000-0008-0000-1600-000059000000}"/>
            </a:ext>
          </a:extLst>
        </xdr:cNvPr>
        <xdr:cNvSpPr txBox="1"/>
      </xdr:nvSpPr>
      <xdr:spPr>
        <a:xfrm>
          <a:off x="8397240" y="576834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9</xdr:row>
      <xdr:rowOff>304800</xdr:rowOff>
    </xdr:from>
    <xdr:ext cx="65" cy="172227"/>
    <xdr:sp macro="" textlink="">
      <xdr:nvSpPr>
        <xdr:cNvPr id="90" name="TextBox 89">
          <a:extLst>
            <a:ext uri="{FF2B5EF4-FFF2-40B4-BE49-F238E27FC236}">
              <a16:creationId xmlns:a16="http://schemas.microsoft.com/office/drawing/2014/main" id="{00000000-0008-0000-1600-00005A000000}"/>
            </a:ext>
          </a:extLst>
        </xdr:cNvPr>
        <xdr:cNvSpPr txBox="1"/>
      </xdr:nvSpPr>
      <xdr:spPr>
        <a:xfrm>
          <a:off x="403860" y="256794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9</xdr:row>
      <xdr:rowOff>304800</xdr:rowOff>
    </xdr:from>
    <xdr:ext cx="65" cy="172227"/>
    <xdr:sp macro="" textlink="">
      <xdr:nvSpPr>
        <xdr:cNvPr id="91" name="TextBox 90">
          <a:extLst>
            <a:ext uri="{FF2B5EF4-FFF2-40B4-BE49-F238E27FC236}">
              <a16:creationId xmlns:a16="http://schemas.microsoft.com/office/drawing/2014/main" id="{00000000-0008-0000-1600-00005B000000}"/>
            </a:ext>
          </a:extLst>
        </xdr:cNvPr>
        <xdr:cNvSpPr txBox="1"/>
      </xdr:nvSpPr>
      <xdr:spPr>
        <a:xfrm>
          <a:off x="403860" y="256794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9</xdr:row>
      <xdr:rowOff>304800</xdr:rowOff>
    </xdr:from>
    <xdr:ext cx="65" cy="172227"/>
    <xdr:sp macro="" textlink="">
      <xdr:nvSpPr>
        <xdr:cNvPr id="92" name="TextBox 91">
          <a:extLst>
            <a:ext uri="{FF2B5EF4-FFF2-40B4-BE49-F238E27FC236}">
              <a16:creationId xmlns:a16="http://schemas.microsoft.com/office/drawing/2014/main" id="{00000000-0008-0000-1600-00005C000000}"/>
            </a:ext>
          </a:extLst>
        </xdr:cNvPr>
        <xdr:cNvSpPr txBox="1"/>
      </xdr:nvSpPr>
      <xdr:spPr>
        <a:xfrm>
          <a:off x="403860" y="256794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9</xdr:row>
      <xdr:rowOff>304800</xdr:rowOff>
    </xdr:from>
    <xdr:ext cx="65" cy="172227"/>
    <xdr:sp macro="" textlink="">
      <xdr:nvSpPr>
        <xdr:cNvPr id="93" name="TextBox 92">
          <a:extLst>
            <a:ext uri="{FF2B5EF4-FFF2-40B4-BE49-F238E27FC236}">
              <a16:creationId xmlns:a16="http://schemas.microsoft.com/office/drawing/2014/main" id="{00000000-0008-0000-1600-00005D000000}"/>
            </a:ext>
          </a:extLst>
        </xdr:cNvPr>
        <xdr:cNvSpPr txBox="1"/>
      </xdr:nvSpPr>
      <xdr:spPr>
        <a:xfrm>
          <a:off x="403860" y="256794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9</xdr:row>
      <xdr:rowOff>304800</xdr:rowOff>
    </xdr:from>
    <xdr:ext cx="65" cy="172227"/>
    <xdr:sp macro="" textlink="">
      <xdr:nvSpPr>
        <xdr:cNvPr id="94" name="TextBox 93">
          <a:extLst>
            <a:ext uri="{FF2B5EF4-FFF2-40B4-BE49-F238E27FC236}">
              <a16:creationId xmlns:a16="http://schemas.microsoft.com/office/drawing/2014/main" id="{00000000-0008-0000-1600-00005E000000}"/>
            </a:ext>
          </a:extLst>
        </xdr:cNvPr>
        <xdr:cNvSpPr txBox="1"/>
      </xdr:nvSpPr>
      <xdr:spPr>
        <a:xfrm>
          <a:off x="4206240" y="256794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9</xdr:row>
      <xdr:rowOff>304800</xdr:rowOff>
    </xdr:from>
    <xdr:ext cx="65" cy="172227"/>
    <xdr:sp macro="" textlink="">
      <xdr:nvSpPr>
        <xdr:cNvPr id="95" name="TextBox 94">
          <a:extLst>
            <a:ext uri="{FF2B5EF4-FFF2-40B4-BE49-F238E27FC236}">
              <a16:creationId xmlns:a16="http://schemas.microsoft.com/office/drawing/2014/main" id="{00000000-0008-0000-1600-00005F000000}"/>
            </a:ext>
          </a:extLst>
        </xdr:cNvPr>
        <xdr:cNvSpPr txBox="1"/>
      </xdr:nvSpPr>
      <xdr:spPr>
        <a:xfrm>
          <a:off x="4206240" y="256794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9</xdr:row>
      <xdr:rowOff>304800</xdr:rowOff>
    </xdr:from>
    <xdr:ext cx="65" cy="172227"/>
    <xdr:sp macro="" textlink="">
      <xdr:nvSpPr>
        <xdr:cNvPr id="96" name="TextBox 95">
          <a:extLst>
            <a:ext uri="{FF2B5EF4-FFF2-40B4-BE49-F238E27FC236}">
              <a16:creationId xmlns:a16="http://schemas.microsoft.com/office/drawing/2014/main" id="{00000000-0008-0000-1600-000060000000}"/>
            </a:ext>
          </a:extLst>
        </xdr:cNvPr>
        <xdr:cNvSpPr txBox="1"/>
      </xdr:nvSpPr>
      <xdr:spPr>
        <a:xfrm>
          <a:off x="4206240" y="256794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9</xdr:row>
      <xdr:rowOff>304800</xdr:rowOff>
    </xdr:from>
    <xdr:ext cx="65" cy="172227"/>
    <xdr:sp macro="" textlink="">
      <xdr:nvSpPr>
        <xdr:cNvPr id="97" name="TextBox 96">
          <a:extLst>
            <a:ext uri="{FF2B5EF4-FFF2-40B4-BE49-F238E27FC236}">
              <a16:creationId xmlns:a16="http://schemas.microsoft.com/office/drawing/2014/main" id="{00000000-0008-0000-1600-000061000000}"/>
            </a:ext>
          </a:extLst>
        </xdr:cNvPr>
        <xdr:cNvSpPr txBox="1"/>
      </xdr:nvSpPr>
      <xdr:spPr>
        <a:xfrm>
          <a:off x="4206240" y="256794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9</xdr:row>
      <xdr:rowOff>304800</xdr:rowOff>
    </xdr:from>
    <xdr:ext cx="65" cy="172227"/>
    <xdr:sp macro="" textlink="">
      <xdr:nvSpPr>
        <xdr:cNvPr id="98" name="TextBox 97">
          <a:extLst>
            <a:ext uri="{FF2B5EF4-FFF2-40B4-BE49-F238E27FC236}">
              <a16:creationId xmlns:a16="http://schemas.microsoft.com/office/drawing/2014/main" id="{00000000-0008-0000-1600-000062000000}"/>
            </a:ext>
          </a:extLst>
        </xdr:cNvPr>
        <xdr:cNvSpPr txBox="1"/>
      </xdr:nvSpPr>
      <xdr:spPr>
        <a:xfrm>
          <a:off x="403860" y="256794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9</xdr:row>
      <xdr:rowOff>304800</xdr:rowOff>
    </xdr:from>
    <xdr:ext cx="65" cy="172227"/>
    <xdr:sp macro="" textlink="">
      <xdr:nvSpPr>
        <xdr:cNvPr id="99" name="TextBox 98">
          <a:extLst>
            <a:ext uri="{FF2B5EF4-FFF2-40B4-BE49-F238E27FC236}">
              <a16:creationId xmlns:a16="http://schemas.microsoft.com/office/drawing/2014/main" id="{00000000-0008-0000-1600-000063000000}"/>
            </a:ext>
          </a:extLst>
        </xdr:cNvPr>
        <xdr:cNvSpPr txBox="1"/>
      </xdr:nvSpPr>
      <xdr:spPr>
        <a:xfrm>
          <a:off x="403860" y="256794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9</xdr:row>
      <xdr:rowOff>304800</xdr:rowOff>
    </xdr:from>
    <xdr:ext cx="65" cy="172227"/>
    <xdr:sp macro="" textlink="">
      <xdr:nvSpPr>
        <xdr:cNvPr id="100" name="TextBox 99">
          <a:extLst>
            <a:ext uri="{FF2B5EF4-FFF2-40B4-BE49-F238E27FC236}">
              <a16:creationId xmlns:a16="http://schemas.microsoft.com/office/drawing/2014/main" id="{00000000-0008-0000-1600-000064000000}"/>
            </a:ext>
          </a:extLst>
        </xdr:cNvPr>
        <xdr:cNvSpPr txBox="1"/>
      </xdr:nvSpPr>
      <xdr:spPr>
        <a:xfrm>
          <a:off x="403860" y="256794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9</xdr:row>
      <xdr:rowOff>304800</xdr:rowOff>
    </xdr:from>
    <xdr:ext cx="65" cy="172227"/>
    <xdr:sp macro="" textlink="">
      <xdr:nvSpPr>
        <xdr:cNvPr id="101" name="TextBox 100">
          <a:extLst>
            <a:ext uri="{FF2B5EF4-FFF2-40B4-BE49-F238E27FC236}">
              <a16:creationId xmlns:a16="http://schemas.microsoft.com/office/drawing/2014/main" id="{00000000-0008-0000-1600-000065000000}"/>
            </a:ext>
          </a:extLst>
        </xdr:cNvPr>
        <xdr:cNvSpPr txBox="1"/>
      </xdr:nvSpPr>
      <xdr:spPr>
        <a:xfrm>
          <a:off x="403860" y="256794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9</xdr:row>
      <xdr:rowOff>304800</xdr:rowOff>
    </xdr:from>
    <xdr:ext cx="65" cy="172227"/>
    <xdr:sp macro="" textlink="">
      <xdr:nvSpPr>
        <xdr:cNvPr id="102" name="TextBox 101">
          <a:extLst>
            <a:ext uri="{FF2B5EF4-FFF2-40B4-BE49-F238E27FC236}">
              <a16:creationId xmlns:a16="http://schemas.microsoft.com/office/drawing/2014/main" id="{00000000-0008-0000-1600-000066000000}"/>
            </a:ext>
          </a:extLst>
        </xdr:cNvPr>
        <xdr:cNvSpPr txBox="1"/>
      </xdr:nvSpPr>
      <xdr:spPr>
        <a:xfrm>
          <a:off x="4206240" y="256794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9</xdr:row>
      <xdr:rowOff>304800</xdr:rowOff>
    </xdr:from>
    <xdr:ext cx="65" cy="172227"/>
    <xdr:sp macro="" textlink="">
      <xdr:nvSpPr>
        <xdr:cNvPr id="103" name="TextBox 102">
          <a:extLst>
            <a:ext uri="{FF2B5EF4-FFF2-40B4-BE49-F238E27FC236}">
              <a16:creationId xmlns:a16="http://schemas.microsoft.com/office/drawing/2014/main" id="{00000000-0008-0000-1600-000067000000}"/>
            </a:ext>
          </a:extLst>
        </xdr:cNvPr>
        <xdr:cNvSpPr txBox="1"/>
      </xdr:nvSpPr>
      <xdr:spPr>
        <a:xfrm>
          <a:off x="4206240" y="256794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9</xdr:row>
      <xdr:rowOff>304800</xdr:rowOff>
    </xdr:from>
    <xdr:ext cx="65" cy="172227"/>
    <xdr:sp macro="" textlink="">
      <xdr:nvSpPr>
        <xdr:cNvPr id="104" name="TextBox 103">
          <a:extLst>
            <a:ext uri="{FF2B5EF4-FFF2-40B4-BE49-F238E27FC236}">
              <a16:creationId xmlns:a16="http://schemas.microsoft.com/office/drawing/2014/main" id="{00000000-0008-0000-1600-000068000000}"/>
            </a:ext>
          </a:extLst>
        </xdr:cNvPr>
        <xdr:cNvSpPr txBox="1"/>
      </xdr:nvSpPr>
      <xdr:spPr>
        <a:xfrm>
          <a:off x="4206240" y="256794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9</xdr:row>
      <xdr:rowOff>304800</xdr:rowOff>
    </xdr:from>
    <xdr:ext cx="65" cy="172227"/>
    <xdr:sp macro="" textlink="">
      <xdr:nvSpPr>
        <xdr:cNvPr id="105" name="TextBox 104">
          <a:extLst>
            <a:ext uri="{FF2B5EF4-FFF2-40B4-BE49-F238E27FC236}">
              <a16:creationId xmlns:a16="http://schemas.microsoft.com/office/drawing/2014/main" id="{00000000-0008-0000-1600-000069000000}"/>
            </a:ext>
          </a:extLst>
        </xdr:cNvPr>
        <xdr:cNvSpPr txBox="1"/>
      </xdr:nvSpPr>
      <xdr:spPr>
        <a:xfrm>
          <a:off x="4206240" y="256794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drawings/drawing20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0</xdr:colOff>
      <xdr:row>36</xdr:row>
      <xdr:rowOff>0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 txBox="1"/>
      </xdr:nvSpPr>
      <xdr:spPr>
        <a:xfrm>
          <a:off x="8397240" y="44119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5</xdr:col>
      <xdr:colOff>0</xdr:colOff>
      <xdr:row>36</xdr:row>
      <xdr:rowOff>0</xdr:rowOff>
    </xdr:from>
    <xdr:ext cx="65" cy="172227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 txBox="1"/>
      </xdr:nvSpPr>
      <xdr:spPr>
        <a:xfrm>
          <a:off x="8397240" y="44119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5</xdr:col>
      <xdr:colOff>0</xdr:colOff>
      <xdr:row>36</xdr:row>
      <xdr:rowOff>0</xdr:rowOff>
    </xdr:from>
    <xdr:ext cx="65" cy="172227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SpPr txBox="1"/>
      </xdr:nvSpPr>
      <xdr:spPr>
        <a:xfrm>
          <a:off x="8397240" y="44119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5</xdr:col>
      <xdr:colOff>0</xdr:colOff>
      <xdr:row>36</xdr:row>
      <xdr:rowOff>0</xdr:rowOff>
    </xdr:from>
    <xdr:ext cx="65" cy="172227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1500-000005000000}"/>
            </a:ext>
          </a:extLst>
        </xdr:cNvPr>
        <xdr:cNvSpPr txBox="1"/>
      </xdr:nvSpPr>
      <xdr:spPr>
        <a:xfrm>
          <a:off x="8397240" y="44119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36</xdr:row>
      <xdr:rowOff>0</xdr:rowOff>
    </xdr:from>
    <xdr:ext cx="65" cy="172227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1500-000006000000}"/>
            </a:ext>
          </a:extLst>
        </xdr:cNvPr>
        <xdr:cNvSpPr txBox="1"/>
      </xdr:nvSpPr>
      <xdr:spPr>
        <a:xfrm>
          <a:off x="403860" y="44119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36</xdr:row>
      <xdr:rowOff>0</xdr:rowOff>
    </xdr:from>
    <xdr:ext cx="65" cy="172227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1500-000007000000}"/>
            </a:ext>
          </a:extLst>
        </xdr:cNvPr>
        <xdr:cNvSpPr txBox="1"/>
      </xdr:nvSpPr>
      <xdr:spPr>
        <a:xfrm>
          <a:off x="403860" y="44119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36</xdr:row>
      <xdr:rowOff>0</xdr:rowOff>
    </xdr:from>
    <xdr:ext cx="65" cy="172227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1500-000008000000}"/>
            </a:ext>
          </a:extLst>
        </xdr:cNvPr>
        <xdr:cNvSpPr txBox="1"/>
      </xdr:nvSpPr>
      <xdr:spPr>
        <a:xfrm>
          <a:off x="403860" y="44119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36</xdr:row>
      <xdr:rowOff>0</xdr:rowOff>
    </xdr:from>
    <xdr:ext cx="65" cy="172227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1500-000009000000}"/>
            </a:ext>
          </a:extLst>
        </xdr:cNvPr>
        <xdr:cNvSpPr txBox="1"/>
      </xdr:nvSpPr>
      <xdr:spPr>
        <a:xfrm>
          <a:off x="403860" y="44119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36</xdr:row>
      <xdr:rowOff>0</xdr:rowOff>
    </xdr:from>
    <xdr:ext cx="65" cy="172227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1500-00000A000000}"/>
            </a:ext>
          </a:extLst>
        </xdr:cNvPr>
        <xdr:cNvSpPr txBox="1"/>
      </xdr:nvSpPr>
      <xdr:spPr>
        <a:xfrm>
          <a:off x="4206240" y="44119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36</xdr:row>
      <xdr:rowOff>0</xdr:rowOff>
    </xdr:from>
    <xdr:ext cx="65" cy="172227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1500-00000B000000}"/>
            </a:ext>
          </a:extLst>
        </xdr:cNvPr>
        <xdr:cNvSpPr txBox="1"/>
      </xdr:nvSpPr>
      <xdr:spPr>
        <a:xfrm>
          <a:off x="4206240" y="44119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36</xdr:row>
      <xdr:rowOff>0</xdr:rowOff>
    </xdr:from>
    <xdr:ext cx="65" cy="172227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1500-00000C000000}"/>
            </a:ext>
          </a:extLst>
        </xdr:cNvPr>
        <xdr:cNvSpPr txBox="1"/>
      </xdr:nvSpPr>
      <xdr:spPr>
        <a:xfrm>
          <a:off x="4206240" y="44119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36</xdr:row>
      <xdr:rowOff>0</xdr:rowOff>
    </xdr:from>
    <xdr:ext cx="65" cy="172227"/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1500-00000D000000}"/>
            </a:ext>
          </a:extLst>
        </xdr:cNvPr>
        <xdr:cNvSpPr txBox="1"/>
      </xdr:nvSpPr>
      <xdr:spPr>
        <a:xfrm>
          <a:off x="4206240" y="44119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36</xdr:row>
      <xdr:rowOff>0</xdr:rowOff>
    </xdr:from>
    <xdr:ext cx="65" cy="172227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1500-00000E000000}"/>
            </a:ext>
          </a:extLst>
        </xdr:cNvPr>
        <xdr:cNvSpPr txBox="1"/>
      </xdr:nvSpPr>
      <xdr:spPr>
        <a:xfrm>
          <a:off x="403860" y="36195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36</xdr:row>
      <xdr:rowOff>0</xdr:rowOff>
    </xdr:from>
    <xdr:ext cx="65" cy="172227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1500-00000F000000}"/>
            </a:ext>
          </a:extLst>
        </xdr:cNvPr>
        <xdr:cNvSpPr txBox="1"/>
      </xdr:nvSpPr>
      <xdr:spPr>
        <a:xfrm>
          <a:off x="403860" y="36195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36</xdr:row>
      <xdr:rowOff>0</xdr:rowOff>
    </xdr:from>
    <xdr:ext cx="65" cy="172227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1500-000010000000}"/>
            </a:ext>
          </a:extLst>
        </xdr:cNvPr>
        <xdr:cNvSpPr txBox="1"/>
      </xdr:nvSpPr>
      <xdr:spPr>
        <a:xfrm>
          <a:off x="403860" y="36195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36</xdr:row>
      <xdr:rowOff>0</xdr:rowOff>
    </xdr:from>
    <xdr:ext cx="65" cy="172227"/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SpPr txBox="1"/>
      </xdr:nvSpPr>
      <xdr:spPr>
        <a:xfrm>
          <a:off x="403860" y="36195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36</xdr:row>
      <xdr:rowOff>0</xdr:rowOff>
    </xdr:from>
    <xdr:ext cx="65" cy="172227"/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1500-000012000000}"/>
            </a:ext>
          </a:extLst>
        </xdr:cNvPr>
        <xdr:cNvSpPr txBox="1"/>
      </xdr:nvSpPr>
      <xdr:spPr>
        <a:xfrm>
          <a:off x="4206240" y="36195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36</xdr:row>
      <xdr:rowOff>0</xdr:rowOff>
    </xdr:from>
    <xdr:ext cx="65" cy="172227"/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 txBox="1"/>
      </xdr:nvSpPr>
      <xdr:spPr>
        <a:xfrm>
          <a:off x="4206240" y="36195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36</xdr:row>
      <xdr:rowOff>0</xdr:rowOff>
    </xdr:from>
    <xdr:ext cx="65" cy="172227"/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00000000-0008-0000-1500-000014000000}"/>
            </a:ext>
          </a:extLst>
        </xdr:cNvPr>
        <xdr:cNvSpPr txBox="1"/>
      </xdr:nvSpPr>
      <xdr:spPr>
        <a:xfrm>
          <a:off x="4206240" y="36195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36</xdr:row>
      <xdr:rowOff>0</xdr:rowOff>
    </xdr:from>
    <xdr:ext cx="65" cy="172227"/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SpPr txBox="1"/>
      </xdr:nvSpPr>
      <xdr:spPr>
        <a:xfrm>
          <a:off x="4206240" y="36195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36</xdr:row>
      <xdr:rowOff>0</xdr:rowOff>
    </xdr:from>
    <xdr:ext cx="65" cy="172227"/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00000000-0008-0000-1500-000016000000}"/>
            </a:ext>
          </a:extLst>
        </xdr:cNvPr>
        <xdr:cNvSpPr txBox="1"/>
      </xdr:nvSpPr>
      <xdr:spPr>
        <a:xfrm>
          <a:off x="403860" y="36195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36</xdr:row>
      <xdr:rowOff>0</xdr:rowOff>
    </xdr:from>
    <xdr:ext cx="65" cy="172227"/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00000000-0008-0000-1500-000017000000}"/>
            </a:ext>
          </a:extLst>
        </xdr:cNvPr>
        <xdr:cNvSpPr txBox="1"/>
      </xdr:nvSpPr>
      <xdr:spPr>
        <a:xfrm>
          <a:off x="403860" y="36195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36</xdr:row>
      <xdr:rowOff>0</xdr:rowOff>
    </xdr:from>
    <xdr:ext cx="65" cy="172227"/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00000000-0008-0000-1500-000018000000}"/>
            </a:ext>
          </a:extLst>
        </xdr:cNvPr>
        <xdr:cNvSpPr txBox="1"/>
      </xdr:nvSpPr>
      <xdr:spPr>
        <a:xfrm>
          <a:off x="403860" y="36195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36</xdr:row>
      <xdr:rowOff>0</xdr:rowOff>
    </xdr:from>
    <xdr:ext cx="65" cy="172227"/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00000000-0008-0000-1500-000019000000}"/>
            </a:ext>
          </a:extLst>
        </xdr:cNvPr>
        <xdr:cNvSpPr txBox="1"/>
      </xdr:nvSpPr>
      <xdr:spPr>
        <a:xfrm>
          <a:off x="403860" y="36195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36</xdr:row>
      <xdr:rowOff>0</xdr:rowOff>
    </xdr:from>
    <xdr:ext cx="65" cy="172227"/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00000000-0008-0000-1500-00001A000000}"/>
            </a:ext>
          </a:extLst>
        </xdr:cNvPr>
        <xdr:cNvSpPr txBox="1"/>
      </xdr:nvSpPr>
      <xdr:spPr>
        <a:xfrm>
          <a:off x="4206240" y="36195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36</xdr:row>
      <xdr:rowOff>0</xdr:rowOff>
    </xdr:from>
    <xdr:ext cx="65" cy="172227"/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00000000-0008-0000-1500-00001B000000}"/>
            </a:ext>
          </a:extLst>
        </xdr:cNvPr>
        <xdr:cNvSpPr txBox="1"/>
      </xdr:nvSpPr>
      <xdr:spPr>
        <a:xfrm>
          <a:off x="4206240" y="36195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36</xdr:row>
      <xdr:rowOff>0</xdr:rowOff>
    </xdr:from>
    <xdr:ext cx="65" cy="172227"/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00000000-0008-0000-1500-00001C000000}"/>
            </a:ext>
          </a:extLst>
        </xdr:cNvPr>
        <xdr:cNvSpPr txBox="1"/>
      </xdr:nvSpPr>
      <xdr:spPr>
        <a:xfrm>
          <a:off x="4206240" y="36195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36</xdr:row>
      <xdr:rowOff>0</xdr:rowOff>
    </xdr:from>
    <xdr:ext cx="65" cy="172227"/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00000000-0008-0000-1500-00001D000000}"/>
            </a:ext>
          </a:extLst>
        </xdr:cNvPr>
        <xdr:cNvSpPr txBox="1"/>
      </xdr:nvSpPr>
      <xdr:spPr>
        <a:xfrm>
          <a:off x="4206240" y="36195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36</xdr:row>
      <xdr:rowOff>0</xdr:rowOff>
    </xdr:from>
    <xdr:ext cx="65" cy="172227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00000000-0008-0000-1500-00001E000000}"/>
            </a:ext>
          </a:extLst>
        </xdr:cNvPr>
        <xdr:cNvSpPr txBox="1"/>
      </xdr:nvSpPr>
      <xdr:spPr>
        <a:xfrm>
          <a:off x="403860" y="36195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36</xdr:row>
      <xdr:rowOff>0</xdr:rowOff>
    </xdr:from>
    <xdr:ext cx="65" cy="172227"/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00000000-0008-0000-1500-00001F000000}"/>
            </a:ext>
          </a:extLst>
        </xdr:cNvPr>
        <xdr:cNvSpPr txBox="1"/>
      </xdr:nvSpPr>
      <xdr:spPr>
        <a:xfrm>
          <a:off x="403860" y="36195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36</xdr:row>
      <xdr:rowOff>0</xdr:rowOff>
    </xdr:from>
    <xdr:ext cx="65" cy="172227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00000000-0008-0000-1500-000020000000}"/>
            </a:ext>
          </a:extLst>
        </xdr:cNvPr>
        <xdr:cNvSpPr txBox="1"/>
      </xdr:nvSpPr>
      <xdr:spPr>
        <a:xfrm>
          <a:off x="403860" y="36195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36</xdr:row>
      <xdr:rowOff>0</xdr:rowOff>
    </xdr:from>
    <xdr:ext cx="65" cy="172227"/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00000000-0008-0000-1500-000021000000}"/>
            </a:ext>
          </a:extLst>
        </xdr:cNvPr>
        <xdr:cNvSpPr txBox="1"/>
      </xdr:nvSpPr>
      <xdr:spPr>
        <a:xfrm>
          <a:off x="403860" y="36195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36</xdr:row>
      <xdr:rowOff>0</xdr:rowOff>
    </xdr:from>
    <xdr:ext cx="65" cy="172227"/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00000000-0008-0000-1500-000022000000}"/>
            </a:ext>
          </a:extLst>
        </xdr:cNvPr>
        <xdr:cNvSpPr txBox="1"/>
      </xdr:nvSpPr>
      <xdr:spPr>
        <a:xfrm>
          <a:off x="4206240" y="36195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36</xdr:row>
      <xdr:rowOff>0</xdr:rowOff>
    </xdr:from>
    <xdr:ext cx="65" cy="172227"/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00000000-0008-0000-1500-000023000000}"/>
            </a:ext>
          </a:extLst>
        </xdr:cNvPr>
        <xdr:cNvSpPr txBox="1"/>
      </xdr:nvSpPr>
      <xdr:spPr>
        <a:xfrm>
          <a:off x="4206240" y="36195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36</xdr:row>
      <xdr:rowOff>0</xdr:rowOff>
    </xdr:from>
    <xdr:ext cx="65" cy="172227"/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00000000-0008-0000-1500-000024000000}"/>
            </a:ext>
          </a:extLst>
        </xdr:cNvPr>
        <xdr:cNvSpPr txBox="1"/>
      </xdr:nvSpPr>
      <xdr:spPr>
        <a:xfrm>
          <a:off x="4206240" y="36195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36</xdr:row>
      <xdr:rowOff>0</xdr:rowOff>
    </xdr:from>
    <xdr:ext cx="65" cy="172227"/>
    <xdr:sp macro="" textlink="">
      <xdr:nvSpPr>
        <xdr:cNvPr id="37" name="TextBox 36">
          <a:extLst>
            <a:ext uri="{FF2B5EF4-FFF2-40B4-BE49-F238E27FC236}">
              <a16:creationId xmlns:a16="http://schemas.microsoft.com/office/drawing/2014/main" id="{00000000-0008-0000-1500-000025000000}"/>
            </a:ext>
          </a:extLst>
        </xdr:cNvPr>
        <xdr:cNvSpPr txBox="1"/>
      </xdr:nvSpPr>
      <xdr:spPr>
        <a:xfrm>
          <a:off x="4206240" y="36195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36</xdr:row>
      <xdr:rowOff>0</xdr:rowOff>
    </xdr:from>
    <xdr:ext cx="65" cy="172227"/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00000000-0008-0000-1500-000026000000}"/>
            </a:ext>
          </a:extLst>
        </xdr:cNvPr>
        <xdr:cNvSpPr txBox="1"/>
      </xdr:nvSpPr>
      <xdr:spPr>
        <a:xfrm>
          <a:off x="403860" y="36195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36</xdr:row>
      <xdr:rowOff>0</xdr:rowOff>
    </xdr:from>
    <xdr:ext cx="65" cy="172227"/>
    <xdr:sp macro="" textlink="">
      <xdr:nvSpPr>
        <xdr:cNvPr id="39" name="TextBox 38">
          <a:extLst>
            <a:ext uri="{FF2B5EF4-FFF2-40B4-BE49-F238E27FC236}">
              <a16:creationId xmlns:a16="http://schemas.microsoft.com/office/drawing/2014/main" id="{00000000-0008-0000-1500-000027000000}"/>
            </a:ext>
          </a:extLst>
        </xdr:cNvPr>
        <xdr:cNvSpPr txBox="1"/>
      </xdr:nvSpPr>
      <xdr:spPr>
        <a:xfrm>
          <a:off x="403860" y="36195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36</xdr:row>
      <xdr:rowOff>0</xdr:rowOff>
    </xdr:from>
    <xdr:ext cx="65" cy="172227"/>
    <xdr:sp macro="" textlink="">
      <xdr:nvSpPr>
        <xdr:cNvPr id="40" name="TextBox 39">
          <a:extLst>
            <a:ext uri="{FF2B5EF4-FFF2-40B4-BE49-F238E27FC236}">
              <a16:creationId xmlns:a16="http://schemas.microsoft.com/office/drawing/2014/main" id="{00000000-0008-0000-1500-000028000000}"/>
            </a:ext>
          </a:extLst>
        </xdr:cNvPr>
        <xdr:cNvSpPr txBox="1"/>
      </xdr:nvSpPr>
      <xdr:spPr>
        <a:xfrm>
          <a:off x="403860" y="36195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36</xdr:row>
      <xdr:rowOff>0</xdr:rowOff>
    </xdr:from>
    <xdr:ext cx="65" cy="172227"/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1500-000029000000}"/>
            </a:ext>
          </a:extLst>
        </xdr:cNvPr>
        <xdr:cNvSpPr txBox="1"/>
      </xdr:nvSpPr>
      <xdr:spPr>
        <a:xfrm>
          <a:off x="403860" y="36195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36</xdr:row>
      <xdr:rowOff>0</xdr:rowOff>
    </xdr:from>
    <xdr:ext cx="65" cy="172227"/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1500-00002A000000}"/>
            </a:ext>
          </a:extLst>
        </xdr:cNvPr>
        <xdr:cNvSpPr txBox="1"/>
      </xdr:nvSpPr>
      <xdr:spPr>
        <a:xfrm>
          <a:off x="4206240" y="36195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36</xdr:row>
      <xdr:rowOff>0</xdr:rowOff>
    </xdr:from>
    <xdr:ext cx="65" cy="172227"/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1500-00002B000000}"/>
            </a:ext>
          </a:extLst>
        </xdr:cNvPr>
        <xdr:cNvSpPr txBox="1"/>
      </xdr:nvSpPr>
      <xdr:spPr>
        <a:xfrm>
          <a:off x="4206240" y="36195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36</xdr:row>
      <xdr:rowOff>0</xdr:rowOff>
    </xdr:from>
    <xdr:ext cx="65" cy="172227"/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1500-00002C000000}"/>
            </a:ext>
          </a:extLst>
        </xdr:cNvPr>
        <xdr:cNvSpPr txBox="1"/>
      </xdr:nvSpPr>
      <xdr:spPr>
        <a:xfrm>
          <a:off x="4206240" y="36195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36</xdr:row>
      <xdr:rowOff>0</xdr:rowOff>
    </xdr:from>
    <xdr:ext cx="65" cy="172227"/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1500-00002D000000}"/>
            </a:ext>
          </a:extLst>
        </xdr:cNvPr>
        <xdr:cNvSpPr txBox="1"/>
      </xdr:nvSpPr>
      <xdr:spPr>
        <a:xfrm>
          <a:off x="4206240" y="36195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5</xdr:col>
      <xdr:colOff>0</xdr:colOff>
      <xdr:row>18</xdr:row>
      <xdr:rowOff>304800</xdr:rowOff>
    </xdr:from>
    <xdr:ext cx="65" cy="172227"/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1500-00002E000000}"/>
            </a:ext>
          </a:extLst>
        </xdr:cNvPr>
        <xdr:cNvSpPr txBox="1"/>
      </xdr:nvSpPr>
      <xdr:spPr>
        <a:xfrm>
          <a:off x="8397240" y="717042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5</xdr:col>
      <xdr:colOff>0</xdr:colOff>
      <xdr:row>18</xdr:row>
      <xdr:rowOff>304800</xdr:rowOff>
    </xdr:from>
    <xdr:ext cx="65" cy="172227"/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1500-00002F000000}"/>
            </a:ext>
          </a:extLst>
        </xdr:cNvPr>
        <xdr:cNvSpPr txBox="1"/>
      </xdr:nvSpPr>
      <xdr:spPr>
        <a:xfrm>
          <a:off x="8397240" y="717042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5</xdr:col>
      <xdr:colOff>0</xdr:colOff>
      <xdr:row>18</xdr:row>
      <xdr:rowOff>304800</xdr:rowOff>
    </xdr:from>
    <xdr:ext cx="65" cy="172227"/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1500-000030000000}"/>
            </a:ext>
          </a:extLst>
        </xdr:cNvPr>
        <xdr:cNvSpPr txBox="1"/>
      </xdr:nvSpPr>
      <xdr:spPr>
        <a:xfrm>
          <a:off x="8397240" y="717042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5</xdr:col>
      <xdr:colOff>0</xdr:colOff>
      <xdr:row>18</xdr:row>
      <xdr:rowOff>304800</xdr:rowOff>
    </xdr:from>
    <xdr:ext cx="65" cy="172227"/>
    <xdr:sp macro="" textlink="">
      <xdr:nvSpPr>
        <xdr:cNvPr id="49" name="TextBox 48">
          <a:extLst>
            <a:ext uri="{FF2B5EF4-FFF2-40B4-BE49-F238E27FC236}">
              <a16:creationId xmlns:a16="http://schemas.microsoft.com/office/drawing/2014/main" id="{00000000-0008-0000-1500-000031000000}"/>
            </a:ext>
          </a:extLst>
        </xdr:cNvPr>
        <xdr:cNvSpPr txBox="1"/>
      </xdr:nvSpPr>
      <xdr:spPr>
        <a:xfrm>
          <a:off x="8397240" y="717042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5</xdr:col>
      <xdr:colOff>0</xdr:colOff>
      <xdr:row>18</xdr:row>
      <xdr:rowOff>304800</xdr:rowOff>
    </xdr:from>
    <xdr:ext cx="65" cy="172227"/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00000000-0008-0000-1500-000032000000}"/>
            </a:ext>
          </a:extLst>
        </xdr:cNvPr>
        <xdr:cNvSpPr txBox="1"/>
      </xdr:nvSpPr>
      <xdr:spPr>
        <a:xfrm>
          <a:off x="8397240" y="717042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5</xdr:col>
      <xdr:colOff>0</xdr:colOff>
      <xdr:row>18</xdr:row>
      <xdr:rowOff>304800</xdr:rowOff>
    </xdr:from>
    <xdr:ext cx="65" cy="172227"/>
    <xdr:sp macro="" textlink="">
      <xdr:nvSpPr>
        <xdr:cNvPr id="51" name="TextBox 50">
          <a:extLst>
            <a:ext uri="{FF2B5EF4-FFF2-40B4-BE49-F238E27FC236}">
              <a16:creationId xmlns:a16="http://schemas.microsoft.com/office/drawing/2014/main" id="{00000000-0008-0000-1500-000033000000}"/>
            </a:ext>
          </a:extLst>
        </xdr:cNvPr>
        <xdr:cNvSpPr txBox="1"/>
      </xdr:nvSpPr>
      <xdr:spPr>
        <a:xfrm>
          <a:off x="8397240" y="717042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5</xdr:col>
      <xdr:colOff>0</xdr:colOff>
      <xdr:row>18</xdr:row>
      <xdr:rowOff>304800</xdr:rowOff>
    </xdr:from>
    <xdr:ext cx="65" cy="172227"/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00000000-0008-0000-1500-000034000000}"/>
            </a:ext>
          </a:extLst>
        </xdr:cNvPr>
        <xdr:cNvSpPr txBox="1"/>
      </xdr:nvSpPr>
      <xdr:spPr>
        <a:xfrm>
          <a:off x="8397240" y="717042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5</xdr:col>
      <xdr:colOff>0</xdr:colOff>
      <xdr:row>18</xdr:row>
      <xdr:rowOff>304800</xdr:rowOff>
    </xdr:from>
    <xdr:ext cx="65" cy="172227"/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00000000-0008-0000-1500-000035000000}"/>
            </a:ext>
          </a:extLst>
        </xdr:cNvPr>
        <xdr:cNvSpPr txBox="1"/>
      </xdr:nvSpPr>
      <xdr:spPr>
        <a:xfrm>
          <a:off x="8397240" y="717042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5</xdr:col>
      <xdr:colOff>0</xdr:colOff>
      <xdr:row>18</xdr:row>
      <xdr:rowOff>304800</xdr:rowOff>
    </xdr:from>
    <xdr:ext cx="65" cy="172227"/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00000000-0008-0000-1500-000036000000}"/>
            </a:ext>
          </a:extLst>
        </xdr:cNvPr>
        <xdr:cNvSpPr txBox="1"/>
      </xdr:nvSpPr>
      <xdr:spPr>
        <a:xfrm>
          <a:off x="8397240" y="717042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5</xdr:col>
      <xdr:colOff>0</xdr:colOff>
      <xdr:row>18</xdr:row>
      <xdr:rowOff>304800</xdr:rowOff>
    </xdr:from>
    <xdr:ext cx="65" cy="172227"/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00000000-0008-0000-1500-000037000000}"/>
            </a:ext>
          </a:extLst>
        </xdr:cNvPr>
        <xdr:cNvSpPr txBox="1"/>
      </xdr:nvSpPr>
      <xdr:spPr>
        <a:xfrm>
          <a:off x="8397240" y="717042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5</xdr:col>
      <xdr:colOff>0</xdr:colOff>
      <xdr:row>18</xdr:row>
      <xdr:rowOff>304800</xdr:rowOff>
    </xdr:from>
    <xdr:ext cx="65" cy="172227"/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00000000-0008-0000-1500-000038000000}"/>
            </a:ext>
          </a:extLst>
        </xdr:cNvPr>
        <xdr:cNvSpPr txBox="1"/>
      </xdr:nvSpPr>
      <xdr:spPr>
        <a:xfrm>
          <a:off x="8397240" y="717042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5</xdr:col>
      <xdr:colOff>0</xdr:colOff>
      <xdr:row>18</xdr:row>
      <xdr:rowOff>304800</xdr:rowOff>
    </xdr:from>
    <xdr:ext cx="65" cy="172227"/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00000000-0008-0000-1500-000039000000}"/>
            </a:ext>
          </a:extLst>
        </xdr:cNvPr>
        <xdr:cNvSpPr txBox="1"/>
      </xdr:nvSpPr>
      <xdr:spPr>
        <a:xfrm>
          <a:off x="8397240" y="717042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9</xdr:row>
      <xdr:rowOff>304800</xdr:rowOff>
    </xdr:from>
    <xdr:ext cx="65" cy="172227"/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00000000-0008-0000-1500-00003A000000}"/>
            </a:ext>
          </a:extLst>
        </xdr:cNvPr>
        <xdr:cNvSpPr txBox="1"/>
      </xdr:nvSpPr>
      <xdr:spPr>
        <a:xfrm>
          <a:off x="403860" y="397002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9</xdr:row>
      <xdr:rowOff>304800</xdr:rowOff>
    </xdr:from>
    <xdr:ext cx="65" cy="172227"/>
    <xdr:sp macro="" textlink="">
      <xdr:nvSpPr>
        <xdr:cNvPr id="59" name="TextBox 58">
          <a:extLst>
            <a:ext uri="{FF2B5EF4-FFF2-40B4-BE49-F238E27FC236}">
              <a16:creationId xmlns:a16="http://schemas.microsoft.com/office/drawing/2014/main" id="{00000000-0008-0000-1500-00003B000000}"/>
            </a:ext>
          </a:extLst>
        </xdr:cNvPr>
        <xdr:cNvSpPr txBox="1"/>
      </xdr:nvSpPr>
      <xdr:spPr>
        <a:xfrm>
          <a:off x="403860" y="397002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9</xdr:row>
      <xdr:rowOff>304800</xdr:rowOff>
    </xdr:from>
    <xdr:ext cx="65" cy="172227"/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00000000-0008-0000-1500-00003C000000}"/>
            </a:ext>
          </a:extLst>
        </xdr:cNvPr>
        <xdr:cNvSpPr txBox="1"/>
      </xdr:nvSpPr>
      <xdr:spPr>
        <a:xfrm>
          <a:off x="403860" y="397002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9</xdr:row>
      <xdr:rowOff>304800</xdr:rowOff>
    </xdr:from>
    <xdr:ext cx="65" cy="172227"/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id="{00000000-0008-0000-1500-00003D000000}"/>
            </a:ext>
          </a:extLst>
        </xdr:cNvPr>
        <xdr:cNvSpPr txBox="1"/>
      </xdr:nvSpPr>
      <xdr:spPr>
        <a:xfrm>
          <a:off x="403860" y="397002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9</xdr:row>
      <xdr:rowOff>304800</xdr:rowOff>
    </xdr:from>
    <xdr:ext cx="65" cy="172227"/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00000000-0008-0000-1500-00003E000000}"/>
            </a:ext>
          </a:extLst>
        </xdr:cNvPr>
        <xdr:cNvSpPr txBox="1"/>
      </xdr:nvSpPr>
      <xdr:spPr>
        <a:xfrm>
          <a:off x="4206240" y="397002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9</xdr:row>
      <xdr:rowOff>304800</xdr:rowOff>
    </xdr:from>
    <xdr:ext cx="65" cy="172227"/>
    <xdr:sp macro="" textlink="">
      <xdr:nvSpPr>
        <xdr:cNvPr id="63" name="TextBox 62">
          <a:extLst>
            <a:ext uri="{FF2B5EF4-FFF2-40B4-BE49-F238E27FC236}">
              <a16:creationId xmlns:a16="http://schemas.microsoft.com/office/drawing/2014/main" id="{00000000-0008-0000-1500-00003F000000}"/>
            </a:ext>
          </a:extLst>
        </xdr:cNvPr>
        <xdr:cNvSpPr txBox="1"/>
      </xdr:nvSpPr>
      <xdr:spPr>
        <a:xfrm>
          <a:off x="4206240" y="397002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9</xdr:row>
      <xdr:rowOff>304800</xdr:rowOff>
    </xdr:from>
    <xdr:ext cx="65" cy="172227"/>
    <xdr:sp macro="" textlink="">
      <xdr:nvSpPr>
        <xdr:cNvPr id="64" name="TextBox 63">
          <a:extLst>
            <a:ext uri="{FF2B5EF4-FFF2-40B4-BE49-F238E27FC236}">
              <a16:creationId xmlns:a16="http://schemas.microsoft.com/office/drawing/2014/main" id="{00000000-0008-0000-1500-000040000000}"/>
            </a:ext>
          </a:extLst>
        </xdr:cNvPr>
        <xdr:cNvSpPr txBox="1"/>
      </xdr:nvSpPr>
      <xdr:spPr>
        <a:xfrm>
          <a:off x="4206240" y="397002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9</xdr:row>
      <xdr:rowOff>304800</xdr:rowOff>
    </xdr:from>
    <xdr:ext cx="65" cy="172227"/>
    <xdr:sp macro="" textlink="">
      <xdr:nvSpPr>
        <xdr:cNvPr id="65" name="TextBox 64">
          <a:extLst>
            <a:ext uri="{FF2B5EF4-FFF2-40B4-BE49-F238E27FC236}">
              <a16:creationId xmlns:a16="http://schemas.microsoft.com/office/drawing/2014/main" id="{00000000-0008-0000-1500-000041000000}"/>
            </a:ext>
          </a:extLst>
        </xdr:cNvPr>
        <xdr:cNvSpPr txBox="1"/>
      </xdr:nvSpPr>
      <xdr:spPr>
        <a:xfrm>
          <a:off x="4206240" y="397002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9</xdr:row>
      <xdr:rowOff>304800</xdr:rowOff>
    </xdr:from>
    <xdr:ext cx="65" cy="172227"/>
    <xdr:sp macro="" textlink="">
      <xdr:nvSpPr>
        <xdr:cNvPr id="66" name="TextBox 65">
          <a:extLst>
            <a:ext uri="{FF2B5EF4-FFF2-40B4-BE49-F238E27FC236}">
              <a16:creationId xmlns:a16="http://schemas.microsoft.com/office/drawing/2014/main" id="{00000000-0008-0000-1500-000042000000}"/>
            </a:ext>
          </a:extLst>
        </xdr:cNvPr>
        <xdr:cNvSpPr txBox="1"/>
      </xdr:nvSpPr>
      <xdr:spPr>
        <a:xfrm>
          <a:off x="403860" y="397002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9</xdr:row>
      <xdr:rowOff>304800</xdr:rowOff>
    </xdr:from>
    <xdr:ext cx="65" cy="172227"/>
    <xdr:sp macro="" textlink="">
      <xdr:nvSpPr>
        <xdr:cNvPr id="67" name="TextBox 66">
          <a:extLst>
            <a:ext uri="{FF2B5EF4-FFF2-40B4-BE49-F238E27FC236}">
              <a16:creationId xmlns:a16="http://schemas.microsoft.com/office/drawing/2014/main" id="{00000000-0008-0000-1500-000043000000}"/>
            </a:ext>
          </a:extLst>
        </xdr:cNvPr>
        <xdr:cNvSpPr txBox="1"/>
      </xdr:nvSpPr>
      <xdr:spPr>
        <a:xfrm>
          <a:off x="403860" y="397002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9</xdr:row>
      <xdr:rowOff>304800</xdr:rowOff>
    </xdr:from>
    <xdr:ext cx="65" cy="172227"/>
    <xdr:sp macro="" textlink="">
      <xdr:nvSpPr>
        <xdr:cNvPr id="68" name="TextBox 67">
          <a:extLst>
            <a:ext uri="{FF2B5EF4-FFF2-40B4-BE49-F238E27FC236}">
              <a16:creationId xmlns:a16="http://schemas.microsoft.com/office/drawing/2014/main" id="{00000000-0008-0000-1500-000044000000}"/>
            </a:ext>
          </a:extLst>
        </xdr:cNvPr>
        <xdr:cNvSpPr txBox="1"/>
      </xdr:nvSpPr>
      <xdr:spPr>
        <a:xfrm>
          <a:off x="403860" y="397002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9</xdr:row>
      <xdr:rowOff>304800</xdr:rowOff>
    </xdr:from>
    <xdr:ext cx="65" cy="172227"/>
    <xdr:sp macro="" textlink="">
      <xdr:nvSpPr>
        <xdr:cNvPr id="69" name="TextBox 68">
          <a:extLst>
            <a:ext uri="{FF2B5EF4-FFF2-40B4-BE49-F238E27FC236}">
              <a16:creationId xmlns:a16="http://schemas.microsoft.com/office/drawing/2014/main" id="{00000000-0008-0000-1500-000045000000}"/>
            </a:ext>
          </a:extLst>
        </xdr:cNvPr>
        <xdr:cNvSpPr txBox="1"/>
      </xdr:nvSpPr>
      <xdr:spPr>
        <a:xfrm>
          <a:off x="403860" y="397002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9</xdr:row>
      <xdr:rowOff>304800</xdr:rowOff>
    </xdr:from>
    <xdr:ext cx="65" cy="172227"/>
    <xdr:sp macro="" textlink="">
      <xdr:nvSpPr>
        <xdr:cNvPr id="70" name="TextBox 69">
          <a:extLst>
            <a:ext uri="{FF2B5EF4-FFF2-40B4-BE49-F238E27FC236}">
              <a16:creationId xmlns:a16="http://schemas.microsoft.com/office/drawing/2014/main" id="{00000000-0008-0000-1500-000046000000}"/>
            </a:ext>
          </a:extLst>
        </xdr:cNvPr>
        <xdr:cNvSpPr txBox="1"/>
      </xdr:nvSpPr>
      <xdr:spPr>
        <a:xfrm>
          <a:off x="4206240" y="397002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9</xdr:row>
      <xdr:rowOff>304800</xdr:rowOff>
    </xdr:from>
    <xdr:ext cx="65" cy="172227"/>
    <xdr:sp macro="" textlink="">
      <xdr:nvSpPr>
        <xdr:cNvPr id="71" name="TextBox 70">
          <a:extLst>
            <a:ext uri="{FF2B5EF4-FFF2-40B4-BE49-F238E27FC236}">
              <a16:creationId xmlns:a16="http://schemas.microsoft.com/office/drawing/2014/main" id="{00000000-0008-0000-1500-000047000000}"/>
            </a:ext>
          </a:extLst>
        </xdr:cNvPr>
        <xdr:cNvSpPr txBox="1"/>
      </xdr:nvSpPr>
      <xdr:spPr>
        <a:xfrm>
          <a:off x="4206240" y="397002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9</xdr:row>
      <xdr:rowOff>304800</xdr:rowOff>
    </xdr:from>
    <xdr:ext cx="65" cy="172227"/>
    <xdr:sp macro="" textlink="">
      <xdr:nvSpPr>
        <xdr:cNvPr id="72" name="TextBox 71">
          <a:extLst>
            <a:ext uri="{FF2B5EF4-FFF2-40B4-BE49-F238E27FC236}">
              <a16:creationId xmlns:a16="http://schemas.microsoft.com/office/drawing/2014/main" id="{00000000-0008-0000-1500-000048000000}"/>
            </a:ext>
          </a:extLst>
        </xdr:cNvPr>
        <xdr:cNvSpPr txBox="1"/>
      </xdr:nvSpPr>
      <xdr:spPr>
        <a:xfrm>
          <a:off x="4206240" y="397002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9</xdr:row>
      <xdr:rowOff>304800</xdr:rowOff>
    </xdr:from>
    <xdr:ext cx="65" cy="172227"/>
    <xdr:sp macro="" textlink="">
      <xdr:nvSpPr>
        <xdr:cNvPr id="73" name="TextBox 72">
          <a:extLst>
            <a:ext uri="{FF2B5EF4-FFF2-40B4-BE49-F238E27FC236}">
              <a16:creationId xmlns:a16="http://schemas.microsoft.com/office/drawing/2014/main" id="{00000000-0008-0000-1500-000049000000}"/>
            </a:ext>
          </a:extLst>
        </xdr:cNvPr>
        <xdr:cNvSpPr txBox="1"/>
      </xdr:nvSpPr>
      <xdr:spPr>
        <a:xfrm>
          <a:off x="4206240" y="397002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drawings/drawing2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12</xdr:row>
      <xdr:rowOff>0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D72D1DEC-39B5-4DB4-BF94-1001E4A9D0CC}"/>
            </a:ext>
          </a:extLst>
        </xdr:cNvPr>
        <xdr:cNvSpPr txBox="1"/>
      </xdr:nvSpPr>
      <xdr:spPr>
        <a:xfrm>
          <a:off x="777240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4</xdr:col>
      <xdr:colOff>0</xdr:colOff>
      <xdr:row>12</xdr:row>
      <xdr:rowOff>0</xdr:rowOff>
    </xdr:from>
    <xdr:ext cx="65" cy="172227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ACB76B95-3D26-4DC3-8BB9-756EEF9E9CEB}"/>
            </a:ext>
          </a:extLst>
        </xdr:cNvPr>
        <xdr:cNvSpPr txBox="1"/>
      </xdr:nvSpPr>
      <xdr:spPr>
        <a:xfrm>
          <a:off x="777240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4</xdr:col>
      <xdr:colOff>0</xdr:colOff>
      <xdr:row>12</xdr:row>
      <xdr:rowOff>0</xdr:rowOff>
    </xdr:from>
    <xdr:ext cx="65" cy="172227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2D54CAEA-DF8C-4957-A397-03655BDB50F7}"/>
            </a:ext>
          </a:extLst>
        </xdr:cNvPr>
        <xdr:cNvSpPr txBox="1"/>
      </xdr:nvSpPr>
      <xdr:spPr>
        <a:xfrm>
          <a:off x="777240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4</xdr:col>
      <xdr:colOff>0</xdr:colOff>
      <xdr:row>12</xdr:row>
      <xdr:rowOff>0</xdr:rowOff>
    </xdr:from>
    <xdr:ext cx="65" cy="172227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A0930E92-7BCA-4FDC-A398-747C45011405}"/>
            </a:ext>
          </a:extLst>
        </xdr:cNvPr>
        <xdr:cNvSpPr txBox="1"/>
      </xdr:nvSpPr>
      <xdr:spPr>
        <a:xfrm>
          <a:off x="777240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2227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9A297E25-4F74-439F-A0F2-8FD702F99DBF}"/>
            </a:ext>
          </a:extLst>
        </xdr:cNvPr>
        <xdr:cNvSpPr txBox="1"/>
      </xdr:nvSpPr>
      <xdr:spPr>
        <a:xfrm>
          <a:off x="40386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2227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CA5CC3FC-1040-45C4-B309-310B35BF76FC}"/>
            </a:ext>
          </a:extLst>
        </xdr:cNvPr>
        <xdr:cNvSpPr txBox="1"/>
      </xdr:nvSpPr>
      <xdr:spPr>
        <a:xfrm>
          <a:off x="40386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2227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7652AB17-D687-424C-BD57-5AF7439C577F}"/>
            </a:ext>
          </a:extLst>
        </xdr:cNvPr>
        <xdr:cNvSpPr txBox="1"/>
      </xdr:nvSpPr>
      <xdr:spPr>
        <a:xfrm>
          <a:off x="40386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2227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E641E0A0-2B89-49C7-AF44-3ABA6486744F}"/>
            </a:ext>
          </a:extLst>
        </xdr:cNvPr>
        <xdr:cNvSpPr txBox="1"/>
      </xdr:nvSpPr>
      <xdr:spPr>
        <a:xfrm>
          <a:off x="40386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12</xdr:row>
      <xdr:rowOff>0</xdr:rowOff>
    </xdr:from>
    <xdr:ext cx="65" cy="172227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17992A68-C37C-46AE-A523-BCE1AEAE9DC3}"/>
            </a:ext>
          </a:extLst>
        </xdr:cNvPr>
        <xdr:cNvSpPr txBox="1"/>
      </xdr:nvSpPr>
      <xdr:spPr>
        <a:xfrm>
          <a:off x="420624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12</xdr:row>
      <xdr:rowOff>0</xdr:rowOff>
    </xdr:from>
    <xdr:ext cx="65" cy="172227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C8ACD570-80FF-4783-8958-A99A2A2C4548}"/>
            </a:ext>
          </a:extLst>
        </xdr:cNvPr>
        <xdr:cNvSpPr txBox="1"/>
      </xdr:nvSpPr>
      <xdr:spPr>
        <a:xfrm>
          <a:off x="420624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12</xdr:row>
      <xdr:rowOff>0</xdr:rowOff>
    </xdr:from>
    <xdr:ext cx="65" cy="172227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E9E6741E-AF4A-4986-B329-5D26421A5E87}"/>
            </a:ext>
          </a:extLst>
        </xdr:cNvPr>
        <xdr:cNvSpPr txBox="1"/>
      </xdr:nvSpPr>
      <xdr:spPr>
        <a:xfrm>
          <a:off x="420624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12</xdr:row>
      <xdr:rowOff>0</xdr:rowOff>
    </xdr:from>
    <xdr:ext cx="65" cy="172227"/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F9698CCD-B4F6-4C02-8D14-80B44B2D8895}"/>
            </a:ext>
          </a:extLst>
        </xdr:cNvPr>
        <xdr:cNvSpPr txBox="1"/>
      </xdr:nvSpPr>
      <xdr:spPr>
        <a:xfrm>
          <a:off x="420624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2227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CD26DB67-B0FD-414D-9AF4-B78AC01D8368}"/>
            </a:ext>
          </a:extLst>
        </xdr:cNvPr>
        <xdr:cNvSpPr txBox="1"/>
      </xdr:nvSpPr>
      <xdr:spPr>
        <a:xfrm>
          <a:off x="40386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2227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C0B2DA6B-E58B-4DAB-B702-FF29183521BB}"/>
            </a:ext>
          </a:extLst>
        </xdr:cNvPr>
        <xdr:cNvSpPr txBox="1"/>
      </xdr:nvSpPr>
      <xdr:spPr>
        <a:xfrm>
          <a:off x="40386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2227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CF1CBF47-B109-4CB2-88D8-C4FD370622F1}"/>
            </a:ext>
          </a:extLst>
        </xdr:cNvPr>
        <xdr:cNvSpPr txBox="1"/>
      </xdr:nvSpPr>
      <xdr:spPr>
        <a:xfrm>
          <a:off x="40386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2227"/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E18BC39F-C1A0-433B-A900-477C7E1A535A}"/>
            </a:ext>
          </a:extLst>
        </xdr:cNvPr>
        <xdr:cNvSpPr txBox="1"/>
      </xdr:nvSpPr>
      <xdr:spPr>
        <a:xfrm>
          <a:off x="40386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12</xdr:row>
      <xdr:rowOff>0</xdr:rowOff>
    </xdr:from>
    <xdr:ext cx="65" cy="172227"/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B63C113D-08AF-4633-B665-2127744022FF}"/>
            </a:ext>
          </a:extLst>
        </xdr:cNvPr>
        <xdr:cNvSpPr txBox="1"/>
      </xdr:nvSpPr>
      <xdr:spPr>
        <a:xfrm>
          <a:off x="420624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12</xdr:row>
      <xdr:rowOff>0</xdr:rowOff>
    </xdr:from>
    <xdr:ext cx="65" cy="172227"/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8BE8CD9A-70AF-405D-940E-57F05D36D2E4}"/>
            </a:ext>
          </a:extLst>
        </xdr:cNvPr>
        <xdr:cNvSpPr txBox="1"/>
      </xdr:nvSpPr>
      <xdr:spPr>
        <a:xfrm>
          <a:off x="420624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12</xdr:row>
      <xdr:rowOff>0</xdr:rowOff>
    </xdr:from>
    <xdr:ext cx="65" cy="172227"/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41C36AA6-CF46-4AA5-847B-82EF005941E4}"/>
            </a:ext>
          </a:extLst>
        </xdr:cNvPr>
        <xdr:cNvSpPr txBox="1"/>
      </xdr:nvSpPr>
      <xdr:spPr>
        <a:xfrm>
          <a:off x="420624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12</xdr:row>
      <xdr:rowOff>0</xdr:rowOff>
    </xdr:from>
    <xdr:ext cx="65" cy="172227"/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5D748615-71C6-48D4-B571-0293C19A3637}"/>
            </a:ext>
          </a:extLst>
        </xdr:cNvPr>
        <xdr:cNvSpPr txBox="1"/>
      </xdr:nvSpPr>
      <xdr:spPr>
        <a:xfrm>
          <a:off x="420624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4</xdr:col>
      <xdr:colOff>0</xdr:colOff>
      <xdr:row>12</xdr:row>
      <xdr:rowOff>0</xdr:rowOff>
    </xdr:from>
    <xdr:ext cx="65" cy="172227"/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60F4D2FE-DAE0-4E80-9AA8-EC8A8DD2DD02}"/>
            </a:ext>
          </a:extLst>
        </xdr:cNvPr>
        <xdr:cNvSpPr txBox="1"/>
      </xdr:nvSpPr>
      <xdr:spPr>
        <a:xfrm>
          <a:off x="777240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4</xdr:col>
      <xdr:colOff>0</xdr:colOff>
      <xdr:row>12</xdr:row>
      <xdr:rowOff>0</xdr:rowOff>
    </xdr:from>
    <xdr:ext cx="65" cy="172227"/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BDCE0038-07C1-46DA-9B92-D9CE117061A5}"/>
            </a:ext>
          </a:extLst>
        </xdr:cNvPr>
        <xdr:cNvSpPr txBox="1"/>
      </xdr:nvSpPr>
      <xdr:spPr>
        <a:xfrm>
          <a:off x="777240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4</xdr:col>
      <xdr:colOff>0</xdr:colOff>
      <xdr:row>12</xdr:row>
      <xdr:rowOff>0</xdr:rowOff>
    </xdr:from>
    <xdr:ext cx="65" cy="172227"/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C4E8E845-43D5-4435-A081-7A55D05A4CCA}"/>
            </a:ext>
          </a:extLst>
        </xdr:cNvPr>
        <xdr:cNvSpPr txBox="1"/>
      </xdr:nvSpPr>
      <xdr:spPr>
        <a:xfrm>
          <a:off x="777240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4</xdr:col>
      <xdr:colOff>0</xdr:colOff>
      <xdr:row>12</xdr:row>
      <xdr:rowOff>0</xdr:rowOff>
    </xdr:from>
    <xdr:ext cx="65" cy="172227"/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8AF95FAA-EC92-47F0-A8FB-ABF928D1BCB4}"/>
            </a:ext>
          </a:extLst>
        </xdr:cNvPr>
        <xdr:cNvSpPr txBox="1"/>
      </xdr:nvSpPr>
      <xdr:spPr>
        <a:xfrm>
          <a:off x="777240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2227"/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FDE4F3B0-F59D-4FD0-8BB7-66262C2D201A}"/>
            </a:ext>
          </a:extLst>
        </xdr:cNvPr>
        <xdr:cNvSpPr txBox="1"/>
      </xdr:nvSpPr>
      <xdr:spPr>
        <a:xfrm>
          <a:off x="40386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2227"/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7E5E0E04-2641-4D87-B4B2-0D728EDFCB39}"/>
            </a:ext>
          </a:extLst>
        </xdr:cNvPr>
        <xdr:cNvSpPr txBox="1"/>
      </xdr:nvSpPr>
      <xdr:spPr>
        <a:xfrm>
          <a:off x="40386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2227"/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DCAB0AA6-E4EC-458B-AEE0-C9204DF57C9C}"/>
            </a:ext>
          </a:extLst>
        </xdr:cNvPr>
        <xdr:cNvSpPr txBox="1"/>
      </xdr:nvSpPr>
      <xdr:spPr>
        <a:xfrm>
          <a:off x="40386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2227"/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FC8DC2BD-EFF7-40EF-966A-2DD6F008BB46}"/>
            </a:ext>
          </a:extLst>
        </xdr:cNvPr>
        <xdr:cNvSpPr txBox="1"/>
      </xdr:nvSpPr>
      <xdr:spPr>
        <a:xfrm>
          <a:off x="40386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12</xdr:row>
      <xdr:rowOff>0</xdr:rowOff>
    </xdr:from>
    <xdr:ext cx="65" cy="172227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B1505424-3059-4DF7-B343-32114FD77CFB}"/>
            </a:ext>
          </a:extLst>
        </xdr:cNvPr>
        <xdr:cNvSpPr txBox="1"/>
      </xdr:nvSpPr>
      <xdr:spPr>
        <a:xfrm>
          <a:off x="420624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12</xdr:row>
      <xdr:rowOff>0</xdr:rowOff>
    </xdr:from>
    <xdr:ext cx="65" cy="172227"/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31A48D68-2A14-4015-9CBB-232D217B60A4}"/>
            </a:ext>
          </a:extLst>
        </xdr:cNvPr>
        <xdr:cNvSpPr txBox="1"/>
      </xdr:nvSpPr>
      <xdr:spPr>
        <a:xfrm>
          <a:off x="420624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12</xdr:row>
      <xdr:rowOff>0</xdr:rowOff>
    </xdr:from>
    <xdr:ext cx="65" cy="172227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B34C463D-EAEF-422C-8EDA-4718AF7178BE}"/>
            </a:ext>
          </a:extLst>
        </xdr:cNvPr>
        <xdr:cNvSpPr txBox="1"/>
      </xdr:nvSpPr>
      <xdr:spPr>
        <a:xfrm>
          <a:off x="420624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12</xdr:row>
      <xdr:rowOff>0</xdr:rowOff>
    </xdr:from>
    <xdr:ext cx="65" cy="172227"/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749B2EA2-6671-4430-AF2D-9B30C2931BFA}"/>
            </a:ext>
          </a:extLst>
        </xdr:cNvPr>
        <xdr:cNvSpPr txBox="1"/>
      </xdr:nvSpPr>
      <xdr:spPr>
        <a:xfrm>
          <a:off x="420624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2227"/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9E804878-DB16-4E1A-974A-D22D180F5902}"/>
            </a:ext>
          </a:extLst>
        </xdr:cNvPr>
        <xdr:cNvSpPr txBox="1"/>
      </xdr:nvSpPr>
      <xdr:spPr>
        <a:xfrm>
          <a:off x="40386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2227"/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78706F01-0B8A-4DF7-BD42-5FB991AAC7EA}"/>
            </a:ext>
          </a:extLst>
        </xdr:cNvPr>
        <xdr:cNvSpPr txBox="1"/>
      </xdr:nvSpPr>
      <xdr:spPr>
        <a:xfrm>
          <a:off x="40386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2227"/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0414D1E8-6554-4E11-9BAF-8EB5013785CC}"/>
            </a:ext>
          </a:extLst>
        </xdr:cNvPr>
        <xdr:cNvSpPr txBox="1"/>
      </xdr:nvSpPr>
      <xdr:spPr>
        <a:xfrm>
          <a:off x="40386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2227"/>
    <xdr:sp macro="" textlink="">
      <xdr:nvSpPr>
        <xdr:cNvPr id="37" name="TextBox 36">
          <a:extLst>
            <a:ext uri="{FF2B5EF4-FFF2-40B4-BE49-F238E27FC236}">
              <a16:creationId xmlns:a16="http://schemas.microsoft.com/office/drawing/2014/main" id="{F2A5CD2E-9B4D-4F27-8F3F-EDB6382F42AB}"/>
            </a:ext>
          </a:extLst>
        </xdr:cNvPr>
        <xdr:cNvSpPr txBox="1"/>
      </xdr:nvSpPr>
      <xdr:spPr>
        <a:xfrm>
          <a:off x="40386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12</xdr:row>
      <xdr:rowOff>0</xdr:rowOff>
    </xdr:from>
    <xdr:ext cx="65" cy="172227"/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B4C0244D-8ED3-4990-A72F-FD93D6A2606C}"/>
            </a:ext>
          </a:extLst>
        </xdr:cNvPr>
        <xdr:cNvSpPr txBox="1"/>
      </xdr:nvSpPr>
      <xdr:spPr>
        <a:xfrm>
          <a:off x="420624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12</xdr:row>
      <xdr:rowOff>0</xdr:rowOff>
    </xdr:from>
    <xdr:ext cx="65" cy="172227"/>
    <xdr:sp macro="" textlink="">
      <xdr:nvSpPr>
        <xdr:cNvPr id="39" name="TextBox 38">
          <a:extLst>
            <a:ext uri="{FF2B5EF4-FFF2-40B4-BE49-F238E27FC236}">
              <a16:creationId xmlns:a16="http://schemas.microsoft.com/office/drawing/2014/main" id="{87EA1A7B-2914-4290-BB04-66AE6A0F67D8}"/>
            </a:ext>
          </a:extLst>
        </xdr:cNvPr>
        <xdr:cNvSpPr txBox="1"/>
      </xdr:nvSpPr>
      <xdr:spPr>
        <a:xfrm>
          <a:off x="420624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12</xdr:row>
      <xdr:rowOff>0</xdr:rowOff>
    </xdr:from>
    <xdr:ext cx="65" cy="172227"/>
    <xdr:sp macro="" textlink="">
      <xdr:nvSpPr>
        <xdr:cNvPr id="40" name="TextBox 39">
          <a:extLst>
            <a:ext uri="{FF2B5EF4-FFF2-40B4-BE49-F238E27FC236}">
              <a16:creationId xmlns:a16="http://schemas.microsoft.com/office/drawing/2014/main" id="{9A969B98-4B47-4FA3-B53E-E62BF91FF5EE}"/>
            </a:ext>
          </a:extLst>
        </xdr:cNvPr>
        <xdr:cNvSpPr txBox="1"/>
      </xdr:nvSpPr>
      <xdr:spPr>
        <a:xfrm>
          <a:off x="420624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12</xdr:row>
      <xdr:rowOff>0</xdr:rowOff>
    </xdr:from>
    <xdr:ext cx="65" cy="172227"/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7CE5E38D-FFAB-4D42-872C-4FFE689BA832}"/>
            </a:ext>
          </a:extLst>
        </xdr:cNvPr>
        <xdr:cNvSpPr txBox="1"/>
      </xdr:nvSpPr>
      <xdr:spPr>
        <a:xfrm>
          <a:off x="420624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drawings/drawing2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16</xdr:row>
      <xdr:rowOff>0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SpPr txBox="1"/>
      </xdr:nvSpPr>
      <xdr:spPr>
        <a:xfrm>
          <a:off x="7553325" y="4629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4</xdr:col>
      <xdr:colOff>0</xdr:colOff>
      <xdr:row>16</xdr:row>
      <xdr:rowOff>0</xdr:rowOff>
    </xdr:from>
    <xdr:ext cx="65" cy="172227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SpPr txBox="1"/>
      </xdr:nvSpPr>
      <xdr:spPr>
        <a:xfrm>
          <a:off x="7553325" y="4629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4</xdr:col>
      <xdr:colOff>0</xdr:colOff>
      <xdr:row>16</xdr:row>
      <xdr:rowOff>0</xdr:rowOff>
    </xdr:from>
    <xdr:ext cx="65" cy="172227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SpPr txBox="1"/>
      </xdr:nvSpPr>
      <xdr:spPr>
        <a:xfrm>
          <a:off x="7553325" y="4629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4</xdr:col>
      <xdr:colOff>0</xdr:colOff>
      <xdr:row>16</xdr:row>
      <xdr:rowOff>0</xdr:rowOff>
    </xdr:from>
    <xdr:ext cx="65" cy="172227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2400-000005000000}"/>
            </a:ext>
          </a:extLst>
        </xdr:cNvPr>
        <xdr:cNvSpPr txBox="1"/>
      </xdr:nvSpPr>
      <xdr:spPr>
        <a:xfrm>
          <a:off x="7553325" y="4629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16</xdr:row>
      <xdr:rowOff>0</xdr:rowOff>
    </xdr:from>
    <xdr:ext cx="65" cy="172227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2400-000006000000}"/>
            </a:ext>
          </a:extLst>
        </xdr:cNvPr>
        <xdr:cNvSpPr txBox="1"/>
      </xdr:nvSpPr>
      <xdr:spPr>
        <a:xfrm>
          <a:off x="390525" y="4629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16</xdr:row>
      <xdr:rowOff>0</xdr:rowOff>
    </xdr:from>
    <xdr:ext cx="65" cy="172227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2400-000007000000}"/>
            </a:ext>
          </a:extLst>
        </xdr:cNvPr>
        <xdr:cNvSpPr txBox="1"/>
      </xdr:nvSpPr>
      <xdr:spPr>
        <a:xfrm>
          <a:off x="390525" y="4629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16</xdr:row>
      <xdr:rowOff>0</xdr:rowOff>
    </xdr:from>
    <xdr:ext cx="65" cy="172227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2400-000008000000}"/>
            </a:ext>
          </a:extLst>
        </xdr:cNvPr>
        <xdr:cNvSpPr txBox="1"/>
      </xdr:nvSpPr>
      <xdr:spPr>
        <a:xfrm>
          <a:off x="390525" y="4629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16</xdr:row>
      <xdr:rowOff>0</xdr:rowOff>
    </xdr:from>
    <xdr:ext cx="65" cy="172227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2400-000009000000}"/>
            </a:ext>
          </a:extLst>
        </xdr:cNvPr>
        <xdr:cNvSpPr txBox="1"/>
      </xdr:nvSpPr>
      <xdr:spPr>
        <a:xfrm>
          <a:off x="390525" y="4629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16</xdr:row>
      <xdr:rowOff>0</xdr:rowOff>
    </xdr:from>
    <xdr:ext cx="65" cy="172227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2400-00000A000000}"/>
            </a:ext>
          </a:extLst>
        </xdr:cNvPr>
        <xdr:cNvSpPr txBox="1"/>
      </xdr:nvSpPr>
      <xdr:spPr>
        <a:xfrm>
          <a:off x="4086225" y="4629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16</xdr:row>
      <xdr:rowOff>0</xdr:rowOff>
    </xdr:from>
    <xdr:ext cx="65" cy="172227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2400-00000B000000}"/>
            </a:ext>
          </a:extLst>
        </xdr:cNvPr>
        <xdr:cNvSpPr txBox="1"/>
      </xdr:nvSpPr>
      <xdr:spPr>
        <a:xfrm>
          <a:off x="4086225" y="4629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16</xdr:row>
      <xdr:rowOff>0</xdr:rowOff>
    </xdr:from>
    <xdr:ext cx="65" cy="172227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2400-00000C000000}"/>
            </a:ext>
          </a:extLst>
        </xdr:cNvPr>
        <xdr:cNvSpPr txBox="1"/>
      </xdr:nvSpPr>
      <xdr:spPr>
        <a:xfrm>
          <a:off x="4086225" y="4629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16</xdr:row>
      <xdr:rowOff>0</xdr:rowOff>
    </xdr:from>
    <xdr:ext cx="65" cy="172227"/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2400-00000D000000}"/>
            </a:ext>
          </a:extLst>
        </xdr:cNvPr>
        <xdr:cNvSpPr txBox="1"/>
      </xdr:nvSpPr>
      <xdr:spPr>
        <a:xfrm>
          <a:off x="4086225" y="4629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16</xdr:row>
      <xdr:rowOff>0</xdr:rowOff>
    </xdr:from>
    <xdr:ext cx="65" cy="172227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2400-00000E000000}"/>
            </a:ext>
          </a:extLst>
        </xdr:cNvPr>
        <xdr:cNvSpPr txBox="1"/>
      </xdr:nvSpPr>
      <xdr:spPr>
        <a:xfrm>
          <a:off x="390525" y="4629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16</xdr:row>
      <xdr:rowOff>0</xdr:rowOff>
    </xdr:from>
    <xdr:ext cx="65" cy="172227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2400-00000F000000}"/>
            </a:ext>
          </a:extLst>
        </xdr:cNvPr>
        <xdr:cNvSpPr txBox="1"/>
      </xdr:nvSpPr>
      <xdr:spPr>
        <a:xfrm>
          <a:off x="390525" y="4629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16</xdr:row>
      <xdr:rowOff>0</xdr:rowOff>
    </xdr:from>
    <xdr:ext cx="65" cy="172227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2400-000010000000}"/>
            </a:ext>
          </a:extLst>
        </xdr:cNvPr>
        <xdr:cNvSpPr txBox="1"/>
      </xdr:nvSpPr>
      <xdr:spPr>
        <a:xfrm>
          <a:off x="390525" y="4629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16</xdr:row>
      <xdr:rowOff>0</xdr:rowOff>
    </xdr:from>
    <xdr:ext cx="65" cy="172227"/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2400-000011000000}"/>
            </a:ext>
          </a:extLst>
        </xdr:cNvPr>
        <xdr:cNvSpPr txBox="1"/>
      </xdr:nvSpPr>
      <xdr:spPr>
        <a:xfrm>
          <a:off x="390525" y="4629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16</xdr:row>
      <xdr:rowOff>0</xdr:rowOff>
    </xdr:from>
    <xdr:ext cx="65" cy="172227"/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2400-000012000000}"/>
            </a:ext>
          </a:extLst>
        </xdr:cNvPr>
        <xdr:cNvSpPr txBox="1"/>
      </xdr:nvSpPr>
      <xdr:spPr>
        <a:xfrm>
          <a:off x="4086225" y="4629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16</xdr:row>
      <xdr:rowOff>0</xdr:rowOff>
    </xdr:from>
    <xdr:ext cx="65" cy="172227"/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00000000-0008-0000-2400-000013000000}"/>
            </a:ext>
          </a:extLst>
        </xdr:cNvPr>
        <xdr:cNvSpPr txBox="1"/>
      </xdr:nvSpPr>
      <xdr:spPr>
        <a:xfrm>
          <a:off x="4086225" y="4629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16</xdr:row>
      <xdr:rowOff>0</xdr:rowOff>
    </xdr:from>
    <xdr:ext cx="65" cy="172227"/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00000000-0008-0000-2400-000014000000}"/>
            </a:ext>
          </a:extLst>
        </xdr:cNvPr>
        <xdr:cNvSpPr txBox="1"/>
      </xdr:nvSpPr>
      <xdr:spPr>
        <a:xfrm>
          <a:off x="4086225" y="4629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16</xdr:row>
      <xdr:rowOff>0</xdr:rowOff>
    </xdr:from>
    <xdr:ext cx="65" cy="172227"/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2400-000015000000}"/>
            </a:ext>
          </a:extLst>
        </xdr:cNvPr>
        <xdr:cNvSpPr txBox="1"/>
      </xdr:nvSpPr>
      <xdr:spPr>
        <a:xfrm>
          <a:off x="4086225" y="4629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drawings/drawing23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12</xdr:row>
      <xdr:rowOff>0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568FEBB-E76B-4578-AFAF-D24BDDCA8AD0}"/>
            </a:ext>
          </a:extLst>
        </xdr:cNvPr>
        <xdr:cNvSpPr txBox="1"/>
      </xdr:nvSpPr>
      <xdr:spPr>
        <a:xfrm>
          <a:off x="777240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4</xdr:col>
      <xdr:colOff>0</xdr:colOff>
      <xdr:row>12</xdr:row>
      <xdr:rowOff>0</xdr:rowOff>
    </xdr:from>
    <xdr:ext cx="65" cy="172227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A758A96-31A6-489C-974A-A9A367C0D437}"/>
            </a:ext>
          </a:extLst>
        </xdr:cNvPr>
        <xdr:cNvSpPr txBox="1"/>
      </xdr:nvSpPr>
      <xdr:spPr>
        <a:xfrm>
          <a:off x="777240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4</xdr:col>
      <xdr:colOff>0</xdr:colOff>
      <xdr:row>12</xdr:row>
      <xdr:rowOff>0</xdr:rowOff>
    </xdr:from>
    <xdr:ext cx="65" cy="172227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FAA1016B-250C-4E3A-89C5-832F68F30C6D}"/>
            </a:ext>
          </a:extLst>
        </xdr:cNvPr>
        <xdr:cNvSpPr txBox="1"/>
      </xdr:nvSpPr>
      <xdr:spPr>
        <a:xfrm>
          <a:off x="777240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4</xdr:col>
      <xdr:colOff>0</xdr:colOff>
      <xdr:row>12</xdr:row>
      <xdr:rowOff>0</xdr:rowOff>
    </xdr:from>
    <xdr:ext cx="65" cy="172227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C38380A2-7E47-4C13-B585-2919DA4D6439}"/>
            </a:ext>
          </a:extLst>
        </xdr:cNvPr>
        <xdr:cNvSpPr txBox="1"/>
      </xdr:nvSpPr>
      <xdr:spPr>
        <a:xfrm>
          <a:off x="777240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2227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9BF63147-9A82-4E91-B3E8-D67E3B06A374}"/>
            </a:ext>
          </a:extLst>
        </xdr:cNvPr>
        <xdr:cNvSpPr txBox="1"/>
      </xdr:nvSpPr>
      <xdr:spPr>
        <a:xfrm>
          <a:off x="40386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2227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DE963B4A-0FBF-4F3C-BC12-03D9B22B0E02}"/>
            </a:ext>
          </a:extLst>
        </xdr:cNvPr>
        <xdr:cNvSpPr txBox="1"/>
      </xdr:nvSpPr>
      <xdr:spPr>
        <a:xfrm>
          <a:off x="40386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2227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E933E9A6-C85E-4DB6-B1EB-CB39D0FD3354}"/>
            </a:ext>
          </a:extLst>
        </xdr:cNvPr>
        <xdr:cNvSpPr txBox="1"/>
      </xdr:nvSpPr>
      <xdr:spPr>
        <a:xfrm>
          <a:off x="40386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2227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F7ACD428-B931-4B4D-BE29-413B99EBF6BB}"/>
            </a:ext>
          </a:extLst>
        </xdr:cNvPr>
        <xdr:cNvSpPr txBox="1"/>
      </xdr:nvSpPr>
      <xdr:spPr>
        <a:xfrm>
          <a:off x="40386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12</xdr:row>
      <xdr:rowOff>0</xdr:rowOff>
    </xdr:from>
    <xdr:ext cx="65" cy="172227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E68F82DA-3FBB-40EF-9B68-9E5BEAF4EECA}"/>
            </a:ext>
          </a:extLst>
        </xdr:cNvPr>
        <xdr:cNvSpPr txBox="1"/>
      </xdr:nvSpPr>
      <xdr:spPr>
        <a:xfrm>
          <a:off x="420624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12</xdr:row>
      <xdr:rowOff>0</xdr:rowOff>
    </xdr:from>
    <xdr:ext cx="65" cy="172227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7C22AF3A-B3F0-4021-A766-BFE4B36A16A6}"/>
            </a:ext>
          </a:extLst>
        </xdr:cNvPr>
        <xdr:cNvSpPr txBox="1"/>
      </xdr:nvSpPr>
      <xdr:spPr>
        <a:xfrm>
          <a:off x="420624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12</xdr:row>
      <xdr:rowOff>0</xdr:rowOff>
    </xdr:from>
    <xdr:ext cx="65" cy="172227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4E7D00F9-FB84-464C-B7C3-909DF3289088}"/>
            </a:ext>
          </a:extLst>
        </xdr:cNvPr>
        <xdr:cNvSpPr txBox="1"/>
      </xdr:nvSpPr>
      <xdr:spPr>
        <a:xfrm>
          <a:off x="420624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12</xdr:row>
      <xdr:rowOff>0</xdr:rowOff>
    </xdr:from>
    <xdr:ext cx="65" cy="172227"/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82EA879A-9783-45D1-8A1C-6270A817AEBF}"/>
            </a:ext>
          </a:extLst>
        </xdr:cNvPr>
        <xdr:cNvSpPr txBox="1"/>
      </xdr:nvSpPr>
      <xdr:spPr>
        <a:xfrm>
          <a:off x="420624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2227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EBB983D1-558A-4AD4-813E-E4B3B1303BD9}"/>
            </a:ext>
          </a:extLst>
        </xdr:cNvPr>
        <xdr:cNvSpPr txBox="1"/>
      </xdr:nvSpPr>
      <xdr:spPr>
        <a:xfrm>
          <a:off x="40386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2227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FBD80432-262F-4E30-A897-8B9391436913}"/>
            </a:ext>
          </a:extLst>
        </xdr:cNvPr>
        <xdr:cNvSpPr txBox="1"/>
      </xdr:nvSpPr>
      <xdr:spPr>
        <a:xfrm>
          <a:off x="40386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2227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6202255C-7CDF-48FC-AB34-DB48F5DB2AB0}"/>
            </a:ext>
          </a:extLst>
        </xdr:cNvPr>
        <xdr:cNvSpPr txBox="1"/>
      </xdr:nvSpPr>
      <xdr:spPr>
        <a:xfrm>
          <a:off x="40386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2227"/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7E0DFE4D-E9B7-4BE3-9A46-D115B998FEAB}"/>
            </a:ext>
          </a:extLst>
        </xdr:cNvPr>
        <xdr:cNvSpPr txBox="1"/>
      </xdr:nvSpPr>
      <xdr:spPr>
        <a:xfrm>
          <a:off x="40386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12</xdr:row>
      <xdr:rowOff>0</xdr:rowOff>
    </xdr:from>
    <xdr:ext cx="65" cy="172227"/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4954C3F2-1D7B-43E5-8E4D-300B80024239}"/>
            </a:ext>
          </a:extLst>
        </xdr:cNvPr>
        <xdr:cNvSpPr txBox="1"/>
      </xdr:nvSpPr>
      <xdr:spPr>
        <a:xfrm>
          <a:off x="420624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12</xdr:row>
      <xdr:rowOff>0</xdr:rowOff>
    </xdr:from>
    <xdr:ext cx="65" cy="172227"/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99569D08-B9C4-4ECD-A75A-E1F17BDC6EBD}"/>
            </a:ext>
          </a:extLst>
        </xdr:cNvPr>
        <xdr:cNvSpPr txBox="1"/>
      </xdr:nvSpPr>
      <xdr:spPr>
        <a:xfrm>
          <a:off x="420624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12</xdr:row>
      <xdr:rowOff>0</xdr:rowOff>
    </xdr:from>
    <xdr:ext cx="65" cy="172227"/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A8A665C0-9AAF-458F-A2C9-E2DA91DD0044}"/>
            </a:ext>
          </a:extLst>
        </xdr:cNvPr>
        <xdr:cNvSpPr txBox="1"/>
      </xdr:nvSpPr>
      <xdr:spPr>
        <a:xfrm>
          <a:off x="420624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12</xdr:row>
      <xdr:rowOff>0</xdr:rowOff>
    </xdr:from>
    <xdr:ext cx="65" cy="172227"/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54BBCA58-855D-4628-8EC7-5AD4CCF11BB9}"/>
            </a:ext>
          </a:extLst>
        </xdr:cNvPr>
        <xdr:cNvSpPr txBox="1"/>
      </xdr:nvSpPr>
      <xdr:spPr>
        <a:xfrm>
          <a:off x="420624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4</xdr:col>
      <xdr:colOff>0</xdr:colOff>
      <xdr:row>12</xdr:row>
      <xdr:rowOff>0</xdr:rowOff>
    </xdr:from>
    <xdr:ext cx="65" cy="172227"/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516A2BC0-1F2A-40B0-9DC9-A3FF346B66A3}"/>
            </a:ext>
          </a:extLst>
        </xdr:cNvPr>
        <xdr:cNvSpPr txBox="1"/>
      </xdr:nvSpPr>
      <xdr:spPr>
        <a:xfrm>
          <a:off x="777240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4</xdr:col>
      <xdr:colOff>0</xdr:colOff>
      <xdr:row>12</xdr:row>
      <xdr:rowOff>0</xdr:rowOff>
    </xdr:from>
    <xdr:ext cx="65" cy="172227"/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0C9B2230-4A39-41BE-95B3-ADECB2CBA8FC}"/>
            </a:ext>
          </a:extLst>
        </xdr:cNvPr>
        <xdr:cNvSpPr txBox="1"/>
      </xdr:nvSpPr>
      <xdr:spPr>
        <a:xfrm>
          <a:off x="777240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4</xdr:col>
      <xdr:colOff>0</xdr:colOff>
      <xdr:row>12</xdr:row>
      <xdr:rowOff>0</xdr:rowOff>
    </xdr:from>
    <xdr:ext cx="65" cy="172227"/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AD940C6E-AEF0-4026-8498-9FEC897F345A}"/>
            </a:ext>
          </a:extLst>
        </xdr:cNvPr>
        <xdr:cNvSpPr txBox="1"/>
      </xdr:nvSpPr>
      <xdr:spPr>
        <a:xfrm>
          <a:off x="777240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4</xdr:col>
      <xdr:colOff>0</xdr:colOff>
      <xdr:row>12</xdr:row>
      <xdr:rowOff>0</xdr:rowOff>
    </xdr:from>
    <xdr:ext cx="65" cy="172227"/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F20DA25E-398D-48F2-9BFB-1BF3C4C3120A}"/>
            </a:ext>
          </a:extLst>
        </xdr:cNvPr>
        <xdr:cNvSpPr txBox="1"/>
      </xdr:nvSpPr>
      <xdr:spPr>
        <a:xfrm>
          <a:off x="777240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2227"/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7E48F440-1759-41BF-AA28-F7A4A6D5CF96}"/>
            </a:ext>
          </a:extLst>
        </xdr:cNvPr>
        <xdr:cNvSpPr txBox="1"/>
      </xdr:nvSpPr>
      <xdr:spPr>
        <a:xfrm>
          <a:off x="40386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2227"/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DC055550-13B3-49D9-BADE-568649A735B0}"/>
            </a:ext>
          </a:extLst>
        </xdr:cNvPr>
        <xdr:cNvSpPr txBox="1"/>
      </xdr:nvSpPr>
      <xdr:spPr>
        <a:xfrm>
          <a:off x="40386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2227"/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3546B509-54C5-430D-B3A3-86B25821E5C8}"/>
            </a:ext>
          </a:extLst>
        </xdr:cNvPr>
        <xdr:cNvSpPr txBox="1"/>
      </xdr:nvSpPr>
      <xdr:spPr>
        <a:xfrm>
          <a:off x="40386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2227"/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9FB84D86-89A5-4A3B-A6F2-C651EEEB5F85}"/>
            </a:ext>
          </a:extLst>
        </xdr:cNvPr>
        <xdr:cNvSpPr txBox="1"/>
      </xdr:nvSpPr>
      <xdr:spPr>
        <a:xfrm>
          <a:off x="40386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12</xdr:row>
      <xdr:rowOff>0</xdr:rowOff>
    </xdr:from>
    <xdr:ext cx="65" cy="172227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0A067A22-812A-4527-8FEA-013D6607D33D}"/>
            </a:ext>
          </a:extLst>
        </xdr:cNvPr>
        <xdr:cNvSpPr txBox="1"/>
      </xdr:nvSpPr>
      <xdr:spPr>
        <a:xfrm>
          <a:off x="420624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12</xdr:row>
      <xdr:rowOff>0</xdr:rowOff>
    </xdr:from>
    <xdr:ext cx="65" cy="172227"/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5B3E3411-B3BA-49B2-B59B-8364B5942822}"/>
            </a:ext>
          </a:extLst>
        </xdr:cNvPr>
        <xdr:cNvSpPr txBox="1"/>
      </xdr:nvSpPr>
      <xdr:spPr>
        <a:xfrm>
          <a:off x="420624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12</xdr:row>
      <xdr:rowOff>0</xdr:rowOff>
    </xdr:from>
    <xdr:ext cx="65" cy="172227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5CD5F6FE-7D3D-4912-A0D1-A0A3BF9FF3D3}"/>
            </a:ext>
          </a:extLst>
        </xdr:cNvPr>
        <xdr:cNvSpPr txBox="1"/>
      </xdr:nvSpPr>
      <xdr:spPr>
        <a:xfrm>
          <a:off x="420624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12</xdr:row>
      <xdr:rowOff>0</xdr:rowOff>
    </xdr:from>
    <xdr:ext cx="65" cy="172227"/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B263ABF8-FEC6-41EB-A75A-5C80F1D78BD7}"/>
            </a:ext>
          </a:extLst>
        </xdr:cNvPr>
        <xdr:cNvSpPr txBox="1"/>
      </xdr:nvSpPr>
      <xdr:spPr>
        <a:xfrm>
          <a:off x="420624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2227"/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287549AA-4D32-4035-AC78-506F9B4B8A44}"/>
            </a:ext>
          </a:extLst>
        </xdr:cNvPr>
        <xdr:cNvSpPr txBox="1"/>
      </xdr:nvSpPr>
      <xdr:spPr>
        <a:xfrm>
          <a:off x="40386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2227"/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76E28537-C484-4D41-A314-D1C618F90194}"/>
            </a:ext>
          </a:extLst>
        </xdr:cNvPr>
        <xdr:cNvSpPr txBox="1"/>
      </xdr:nvSpPr>
      <xdr:spPr>
        <a:xfrm>
          <a:off x="40386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2227"/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76D5A9F2-CFD1-4165-952A-3EE9F8D9D2F8}"/>
            </a:ext>
          </a:extLst>
        </xdr:cNvPr>
        <xdr:cNvSpPr txBox="1"/>
      </xdr:nvSpPr>
      <xdr:spPr>
        <a:xfrm>
          <a:off x="40386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2227"/>
    <xdr:sp macro="" textlink="">
      <xdr:nvSpPr>
        <xdr:cNvPr id="37" name="TextBox 36">
          <a:extLst>
            <a:ext uri="{FF2B5EF4-FFF2-40B4-BE49-F238E27FC236}">
              <a16:creationId xmlns:a16="http://schemas.microsoft.com/office/drawing/2014/main" id="{1F9CC6AF-6FD7-4057-AB90-674BFD4540C9}"/>
            </a:ext>
          </a:extLst>
        </xdr:cNvPr>
        <xdr:cNvSpPr txBox="1"/>
      </xdr:nvSpPr>
      <xdr:spPr>
        <a:xfrm>
          <a:off x="40386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12</xdr:row>
      <xdr:rowOff>0</xdr:rowOff>
    </xdr:from>
    <xdr:ext cx="65" cy="172227"/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AF67BB5C-629E-46D7-8CFA-096D96B136A8}"/>
            </a:ext>
          </a:extLst>
        </xdr:cNvPr>
        <xdr:cNvSpPr txBox="1"/>
      </xdr:nvSpPr>
      <xdr:spPr>
        <a:xfrm>
          <a:off x="420624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12</xdr:row>
      <xdr:rowOff>0</xdr:rowOff>
    </xdr:from>
    <xdr:ext cx="65" cy="172227"/>
    <xdr:sp macro="" textlink="">
      <xdr:nvSpPr>
        <xdr:cNvPr id="39" name="TextBox 38">
          <a:extLst>
            <a:ext uri="{FF2B5EF4-FFF2-40B4-BE49-F238E27FC236}">
              <a16:creationId xmlns:a16="http://schemas.microsoft.com/office/drawing/2014/main" id="{B0E4E09E-D03F-4CC3-9B28-70D2AB5E4A44}"/>
            </a:ext>
          </a:extLst>
        </xdr:cNvPr>
        <xdr:cNvSpPr txBox="1"/>
      </xdr:nvSpPr>
      <xdr:spPr>
        <a:xfrm>
          <a:off x="420624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12</xdr:row>
      <xdr:rowOff>0</xdr:rowOff>
    </xdr:from>
    <xdr:ext cx="65" cy="172227"/>
    <xdr:sp macro="" textlink="">
      <xdr:nvSpPr>
        <xdr:cNvPr id="40" name="TextBox 39">
          <a:extLst>
            <a:ext uri="{FF2B5EF4-FFF2-40B4-BE49-F238E27FC236}">
              <a16:creationId xmlns:a16="http://schemas.microsoft.com/office/drawing/2014/main" id="{481411BA-A949-4295-8720-B9251C375943}"/>
            </a:ext>
          </a:extLst>
        </xdr:cNvPr>
        <xdr:cNvSpPr txBox="1"/>
      </xdr:nvSpPr>
      <xdr:spPr>
        <a:xfrm>
          <a:off x="420624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12</xdr:row>
      <xdr:rowOff>0</xdr:rowOff>
    </xdr:from>
    <xdr:ext cx="65" cy="172227"/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97411819-58B2-4F2D-BCBC-7071DB0C647B}"/>
            </a:ext>
          </a:extLst>
        </xdr:cNvPr>
        <xdr:cNvSpPr txBox="1"/>
      </xdr:nvSpPr>
      <xdr:spPr>
        <a:xfrm>
          <a:off x="420624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drawings/drawing24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12</xdr:row>
      <xdr:rowOff>0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AD50173-2661-4B20-A789-F6782E54FBAB}"/>
            </a:ext>
          </a:extLst>
        </xdr:cNvPr>
        <xdr:cNvSpPr txBox="1"/>
      </xdr:nvSpPr>
      <xdr:spPr>
        <a:xfrm>
          <a:off x="777240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4</xdr:col>
      <xdr:colOff>0</xdr:colOff>
      <xdr:row>12</xdr:row>
      <xdr:rowOff>0</xdr:rowOff>
    </xdr:from>
    <xdr:ext cx="65" cy="172227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2D526B77-7F83-4750-B7CE-97EF39F822EC}"/>
            </a:ext>
          </a:extLst>
        </xdr:cNvPr>
        <xdr:cNvSpPr txBox="1"/>
      </xdr:nvSpPr>
      <xdr:spPr>
        <a:xfrm>
          <a:off x="777240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4</xdr:col>
      <xdr:colOff>0</xdr:colOff>
      <xdr:row>12</xdr:row>
      <xdr:rowOff>0</xdr:rowOff>
    </xdr:from>
    <xdr:ext cx="65" cy="172227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8618C886-2EF2-4A36-9B5E-ED58A0C8B29A}"/>
            </a:ext>
          </a:extLst>
        </xdr:cNvPr>
        <xdr:cNvSpPr txBox="1"/>
      </xdr:nvSpPr>
      <xdr:spPr>
        <a:xfrm>
          <a:off x="777240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4</xdr:col>
      <xdr:colOff>0</xdr:colOff>
      <xdr:row>12</xdr:row>
      <xdr:rowOff>0</xdr:rowOff>
    </xdr:from>
    <xdr:ext cx="65" cy="172227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2A248ABA-F819-4145-8825-6C95026F77FF}"/>
            </a:ext>
          </a:extLst>
        </xdr:cNvPr>
        <xdr:cNvSpPr txBox="1"/>
      </xdr:nvSpPr>
      <xdr:spPr>
        <a:xfrm>
          <a:off x="777240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2227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F9A1B408-8BF7-4137-97F0-5D760DBC80FD}"/>
            </a:ext>
          </a:extLst>
        </xdr:cNvPr>
        <xdr:cNvSpPr txBox="1"/>
      </xdr:nvSpPr>
      <xdr:spPr>
        <a:xfrm>
          <a:off x="40386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2227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FFF52A01-4C5D-4C25-8F61-C3FEACECB241}"/>
            </a:ext>
          </a:extLst>
        </xdr:cNvPr>
        <xdr:cNvSpPr txBox="1"/>
      </xdr:nvSpPr>
      <xdr:spPr>
        <a:xfrm>
          <a:off x="40386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2227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F81D624-1177-4940-BDD5-418927C54E28}"/>
            </a:ext>
          </a:extLst>
        </xdr:cNvPr>
        <xdr:cNvSpPr txBox="1"/>
      </xdr:nvSpPr>
      <xdr:spPr>
        <a:xfrm>
          <a:off x="40386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2227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B1E12686-6895-4897-8126-C074FEA14081}"/>
            </a:ext>
          </a:extLst>
        </xdr:cNvPr>
        <xdr:cNvSpPr txBox="1"/>
      </xdr:nvSpPr>
      <xdr:spPr>
        <a:xfrm>
          <a:off x="40386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12</xdr:row>
      <xdr:rowOff>0</xdr:rowOff>
    </xdr:from>
    <xdr:ext cx="65" cy="172227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52C2C12D-818A-4A8D-A208-B6852674FED9}"/>
            </a:ext>
          </a:extLst>
        </xdr:cNvPr>
        <xdr:cNvSpPr txBox="1"/>
      </xdr:nvSpPr>
      <xdr:spPr>
        <a:xfrm>
          <a:off x="420624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12</xdr:row>
      <xdr:rowOff>0</xdr:rowOff>
    </xdr:from>
    <xdr:ext cx="65" cy="172227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99332896-F50C-40FE-AFDD-C0224F58C01B}"/>
            </a:ext>
          </a:extLst>
        </xdr:cNvPr>
        <xdr:cNvSpPr txBox="1"/>
      </xdr:nvSpPr>
      <xdr:spPr>
        <a:xfrm>
          <a:off x="420624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12</xdr:row>
      <xdr:rowOff>0</xdr:rowOff>
    </xdr:from>
    <xdr:ext cx="65" cy="172227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83132CD0-61D9-4F3C-B5AB-864CF4B6747F}"/>
            </a:ext>
          </a:extLst>
        </xdr:cNvPr>
        <xdr:cNvSpPr txBox="1"/>
      </xdr:nvSpPr>
      <xdr:spPr>
        <a:xfrm>
          <a:off x="420624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12</xdr:row>
      <xdr:rowOff>0</xdr:rowOff>
    </xdr:from>
    <xdr:ext cx="65" cy="172227"/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AEFB00F5-A64B-44DF-AFF3-7770C5A422E6}"/>
            </a:ext>
          </a:extLst>
        </xdr:cNvPr>
        <xdr:cNvSpPr txBox="1"/>
      </xdr:nvSpPr>
      <xdr:spPr>
        <a:xfrm>
          <a:off x="420624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2227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2F9CB2D4-8D18-412D-9EDB-E2B2BA9F5947}"/>
            </a:ext>
          </a:extLst>
        </xdr:cNvPr>
        <xdr:cNvSpPr txBox="1"/>
      </xdr:nvSpPr>
      <xdr:spPr>
        <a:xfrm>
          <a:off x="40386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2227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62E037E1-E44F-48D5-9F78-6CE7A6C97C29}"/>
            </a:ext>
          </a:extLst>
        </xdr:cNvPr>
        <xdr:cNvSpPr txBox="1"/>
      </xdr:nvSpPr>
      <xdr:spPr>
        <a:xfrm>
          <a:off x="40386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2227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123AD146-8BF4-4FDF-97AF-4D58F4C22F0A}"/>
            </a:ext>
          </a:extLst>
        </xdr:cNvPr>
        <xdr:cNvSpPr txBox="1"/>
      </xdr:nvSpPr>
      <xdr:spPr>
        <a:xfrm>
          <a:off x="40386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2227"/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7369AFC9-AB99-47CA-825F-E20F1901DD36}"/>
            </a:ext>
          </a:extLst>
        </xdr:cNvPr>
        <xdr:cNvSpPr txBox="1"/>
      </xdr:nvSpPr>
      <xdr:spPr>
        <a:xfrm>
          <a:off x="40386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12</xdr:row>
      <xdr:rowOff>0</xdr:rowOff>
    </xdr:from>
    <xdr:ext cx="65" cy="172227"/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DE5729E7-26F9-4A56-B38C-24BD7092C2E9}"/>
            </a:ext>
          </a:extLst>
        </xdr:cNvPr>
        <xdr:cNvSpPr txBox="1"/>
      </xdr:nvSpPr>
      <xdr:spPr>
        <a:xfrm>
          <a:off x="420624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12</xdr:row>
      <xdr:rowOff>0</xdr:rowOff>
    </xdr:from>
    <xdr:ext cx="65" cy="172227"/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333F90B2-ABB1-401D-81B5-6261F19F604B}"/>
            </a:ext>
          </a:extLst>
        </xdr:cNvPr>
        <xdr:cNvSpPr txBox="1"/>
      </xdr:nvSpPr>
      <xdr:spPr>
        <a:xfrm>
          <a:off x="420624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12</xdr:row>
      <xdr:rowOff>0</xdr:rowOff>
    </xdr:from>
    <xdr:ext cx="65" cy="172227"/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1AA9B492-9AF2-4AE6-8338-49E2633F6B91}"/>
            </a:ext>
          </a:extLst>
        </xdr:cNvPr>
        <xdr:cNvSpPr txBox="1"/>
      </xdr:nvSpPr>
      <xdr:spPr>
        <a:xfrm>
          <a:off x="420624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12</xdr:row>
      <xdr:rowOff>0</xdr:rowOff>
    </xdr:from>
    <xdr:ext cx="65" cy="172227"/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DA22283B-6174-4E52-BF2E-1A91260E4791}"/>
            </a:ext>
          </a:extLst>
        </xdr:cNvPr>
        <xdr:cNvSpPr txBox="1"/>
      </xdr:nvSpPr>
      <xdr:spPr>
        <a:xfrm>
          <a:off x="420624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4</xdr:col>
      <xdr:colOff>0</xdr:colOff>
      <xdr:row>12</xdr:row>
      <xdr:rowOff>0</xdr:rowOff>
    </xdr:from>
    <xdr:ext cx="65" cy="172227"/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CCE34E03-9B36-4AB6-B808-00097443C73D}"/>
            </a:ext>
          </a:extLst>
        </xdr:cNvPr>
        <xdr:cNvSpPr txBox="1"/>
      </xdr:nvSpPr>
      <xdr:spPr>
        <a:xfrm>
          <a:off x="777240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4</xdr:col>
      <xdr:colOff>0</xdr:colOff>
      <xdr:row>12</xdr:row>
      <xdr:rowOff>0</xdr:rowOff>
    </xdr:from>
    <xdr:ext cx="65" cy="172227"/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9012E55E-A11B-477B-8EAF-2AD83694425B}"/>
            </a:ext>
          </a:extLst>
        </xdr:cNvPr>
        <xdr:cNvSpPr txBox="1"/>
      </xdr:nvSpPr>
      <xdr:spPr>
        <a:xfrm>
          <a:off x="777240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4</xdr:col>
      <xdr:colOff>0</xdr:colOff>
      <xdr:row>12</xdr:row>
      <xdr:rowOff>0</xdr:rowOff>
    </xdr:from>
    <xdr:ext cx="65" cy="172227"/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7FD6CD45-E9F5-473A-8486-85422B016223}"/>
            </a:ext>
          </a:extLst>
        </xdr:cNvPr>
        <xdr:cNvSpPr txBox="1"/>
      </xdr:nvSpPr>
      <xdr:spPr>
        <a:xfrm>
          <a:off x="777240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4</xdr:col>
      <xdr:colOff>0</xdr:colOff>
      <xdr:row>12</xdr:row>
      <xdr:rowOff>0</xdr:rowOff>
    </xdr:from>
    <xdr:ext cx="65" cy="172227"/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242155EC-7F45-4CAC-96A7-21C744247F5F}"/>
            </a:ext>
          </a:extLst>
        </xdr:cNvPr>
        <xdr:cNvSpPr txBox="1"/>
      </xdr:nvSpPr>
      <xdr:spPr>
        <a:xfrm>
          <a:off x="777240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2227"/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8554041B-2A4A-41EF-BDE9-282890601D12}"/>
            </a:ext>
          </a:extLst>
        </xdr:cNvPr>
        <xdr:cNvSpPr txBox="1"/>
      </xdr:nvSpPr>
      <xdr:spPr>
        <a:xfrm>
          <a:off x="40386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2227"/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CFF36A04-832F-4C99-B5A3-FDED63E543F4}"/>
            </a:ext>
          </a:extLst>
        </xdr:cNvPr>
        <xdr:cNvSpPr txBox="1"/>
      </xdr:nvSpPr>
      <xdr:spPr>
        <a:xfrm>
          <a:off x="40386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2227"/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01AB0ACD-62B7-4521-B22B-BED24C8AE79A}"/>
            </a:ext>
          </a:extLst>
        </xdr:cNvPr>
        <xdr:cNvSpPr txBox="1"/>
      </xdr:nvSpPr>
      <xdr:spPr>
        <a:xfrm>
          <a:off x="40386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2227"/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0F34D8B4-7EA8-4403-A5B8-5103081160D0}"/>
            </a:ext>
          </a:extLst>
        </xdr:cNvPr>
        <xdr:cNvSpPr txBox="1"/>
      </xdr:nvSpPr>
      <xdr:spPr>
        <a:xfrm>
          <a:off x="40386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12</xdr:row>
      <xdr:rowOff>0</xdr:rowOff>
    </xdr:from>
    <xdr:ext cx="65" cy="172227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7374ED72-0CA5-4649-9AEA-FB0FAD2A7EDD}"/>
            </a:ext>
          </a:extLst>
        </xdr:cNvPr>
        <xdr:cNvSpPr txBox="1"/>
      </xdr:nvSpPr>
      <xdr:spPr>
        <a:xfrm>
          <a:off x="420624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12</xdr:row>
      <xdr:rowOff>0</xdr:rowOff>
    </xdr:from>
    <xdr:ext cx="65" cy="172227"/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A1061115-969C-4BBA-87AB-F5F6ACF5DD49}"/>
            </a:ext>
          </a:extLst>
        </xdr:cNvPr>
        <xdr:cNvSpPr txBox="1"/>
      </xdr:nvSpPr>
      <xdr:spPr>
        <a:xfrm>
          <a:off x="420624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12</xdr:row>
      <xdr:rowOff>0</xdr:rowOff>
    </xdr:from>
    <xdr:ext cx="65" cy="172227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3BE2B6F5-5239-4822-9403-D456AC37DA7A}"/>
            </a:ext>
          </a:extLst>
        </xdr:cNvPr>
        <xdr:cNvSpPr txBox="1"/>
      </xdr:nvSpPr>
      <xdr:spPr>
        <a:xfrm>
          <a:off x="420624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12</xdr:row>
      <xdr:rowOff>0</xdr:rowOff>
    </xdr:from>
    <xdr:ext cx="65" cy="172227"/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142DE927-4B5F-4577-BD2D-D36FCF24589E}"/>
            </a:ext>
          </a:extLst>
        </xdr:cNvPr>
        <xdr:cNvSpPr txBox="1"/>
      </xdr:nvSpPr>
      <xdr:spPr>
        <a:xfrm>
          <a:off x="420624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2227"/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D2C022A4-43D8-431D-93F0-A2426EC43C5B}"/>
            </a:ext>
          </a:extLst>
        </xdr:cNvPr>
        <xdr:cNvSpPr txBox="1"/>
      </xdr:nvSpPr>
      <xdr:spPr>
        <a:xfrm>
          <a:off x="40386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2227"/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16A32225-3666-452B-A208-70B190BD23ED}"/>
            </a:ext>
          </a:extLst>
        </xdr:cNvPr>
        <xdr:cNvSpPr txBox="1"/>
      </xdr:nvSpPr>
      <xdr:spPr>
        <a:xfrm>
          <a:off x="40386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2227"/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F1693F48-D60B-4C1F-BF65-472D8BE369BA}"/>
            </a:ext>
          </a:extLst>
        </xdr:cNvPr>
        <xdr:cNvSpPr txBox="1"/>
      </xdr:nvSpPr>
      <xdr:spPr>
        <a:xfrm>
          <a:off x="40386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2227"/>
    <xdr:sp macro="" textlink="">
      <xdr:nvSpPr>
        <xdr:cNvPr id="37" name="TextBox 36">
          <a:extLst>
            <a:ext uri="{FF2B5EF4-FFF2-40B4-BE49-F238E27FC236}">
              <a16:creationId xmlns:a16="http://schemas.microsoft.com/office/drawing/2014/main" id="{6A2DE17A-3717-431E-8879-E676A6153821}"/>
            </a:ext>
          </a:extLst>
        </xdr:cNvPr>
        <xdr:cNvSpPr txBox="1"/>
      </xdr:nvSpPr>
      <xdr:spPr>
        <a:xfrm>
          <a:off x="40386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12</xdr:row>
      <xdr:rowOff>0</xdr:rowOff>
    </xdr:from>
    <xdr:ext cx="65" cy="172227"/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8B020667-229B-4F61-B3C4-2C16F0DFA55F}"/>
            </a:ext>
          </a:extLst>
        </xdr:cNvPr>
        <xdr:cNvSpPr txBox="1"/>
      </xdr:nvSpPr>
      <xdr:spPr>
        <a:xfrm>
          <a:off x="420624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12</xdr:row>
      <xdr:rowOff>0</xdr:rowOff>
    </xdr:from>
    <xdr:ext cx="65" cy="172227"/>
    <xdr:sp macro="" textlink="">
      <xdr:nvSpPr>
        <xdr:cNvPr id="39" name="TextBox 38">
          <a:extLst>
            <a:ext uri="{FF2B5EF4-FFF2-40B4-BE49-F238E27FC236}">
              <a16:creationId xmlns:a16="http://schemas.microsoft.com/office/drawing/2014/main" id="{01CB5EC2-08C6-47FE-9A09-C6BF5BA62C7B}"/>
            </a:ext>
          </a:extLst>
        </xdr:cNvPr>
        <xdr:cNvSpPr txBox="1"/>
      </xdr:nvSpPr>
      <xdr:spPr>
        <a:xfrm>
          <a:off x="420624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12</xdr:row>
      <xdr:rowOff>0</xdr:rowOff>
    </xdr:from>
    <xdr:ext cx="65" cy="172227"/>
    <xdr:sp macro="" textlink="">
      <xdr:nvSpPr>
        <xdr:cNvPr id="40" name="TextBox 39">
          <a:extLst>
            <a:ext uri="{FF2B5EF4-FFF2-40B4-BE49-F238E27FC236}">
              <a16:creationId xmlns:a16="http://schemas.microsoft.com/office/drawing/2014/main" id="{FDF04A5A-197A-4295-873C-EC162A11E1BB}"/>
            </a:ext>
          </a:extLst>
        </xdr:cNvPr>
        <xdr:cNvSpPr txBox="1"/>
      </xdr:nvSpPr>
      <xdr:spPr>
        <a:xfrm>
          <a:off x="420624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12</xdr:row>
      <xdr:rowOff>0</xdr:rowOff>
    </xdr:from>
    <xdr:ext cx="65" cy="172227"/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3AA9AC2B-DDED-4BBB-84FB-D9190BE6B4D0}"/>
            </a:ext>
          </a:extLst>
        </xdr:cNvPr>
        <xdr:cNvSpPr txBox="1"/>
      </xdr:nvSpPr>
      <xdr:spPr>
        <a:xfrm>
          <a:off x="420624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drawings/drawing25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16</xdr:row>
      <xdr:rowOff>0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48DD837-E7C3-4D8E-833A-82D4221DFE89}"/>
            </a:ext>
          </a:extLst>
        </xdr:cNvPr>
        <xdr:cNvSpPr txBox="1"/>
      </xdr:nvSpPr>
      <xdr:spPr>
        <a:xfrm>
          <a:off x="7772400" y="470154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4</xdr:col>
      <xdr:colOff>0</xdr:colOff>
      <xdr:row>16</xdr:row>
      <xdr:rowOff>0</xdr:rowOff>
    </xdr:from>
    <xdr:ext cx="65" cy="172227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8544905D-E3CD-483D-A1A9-1285EDFDADF0}"/>
            </a:ext>
          </a:extLst>
        </xdr:cNvPr>
        <xdr:cNvSpPr txBox="1"/>
      </xdr:nvSpPr>
      <xdr:spPr>
        <a:xfrm>
          <a:off x="7772400" y="470154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4</xdr:col>
      <xdr:colOff>0</xdr:colOff>
      <xdr:row>16</xdr:row>
      <xdr:rowOff>0</xdr:rowOff>
    </xdr:from>
    <xdr:ext cx="65" cy="172227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82C9FEDC-53D1-4E0F-8780-889182DAEBD3}"/>
            </a:ext>
          </a:extLst>
        </xdr:cNvPr>
        <xdr:cNvSpPr txBox="1"/>
      </xdr:nvSpPr>
      <xdr:spPr>
        <a:xfrm>
          <a:off x="7772400" y="470154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4</xdr:col>
      <xdr:colOff>0</xdr:colOff>
      <xdr:row>16</xdr:row>
      <xdr:rowOff>0</xdr:rowOff>
    </xdr:from>
    <xdr:ext cx="65" cy="172227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7A1C19AD-0826-4015-9411-541C64E8A050}"/>
            </a:ext>
          </a:extLst>
        </xdr:cNvPr>
        <xdr:cNvSpPr txBox="1"/>
      </xdr:nvSpPr>
      <xdr:spPr>
        <a:xfrm>
          <a:off x="7772400" y="470154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16</xdr:row>
      <xdr:rowOff>0</xdr:rowOff>
    </xdr:from>
    <xdr:ext cx="65" cy="172227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34C88F37-00F7-4B5B-807C-1208A13B7AD7}"/>
            </a:ext>
          </a:extLst>
        </xdr:cNvPr>
        <xdr:cNvSpPr txBox="1"/>
      </xdr:nvSpPr>
      <xdr:spPr>
        <a:xfrm>
          <a:off x="403860" y="470154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16</xdr:row>
      <xdr:rowOff>0</xdr:rowOff>
    </xdr:from>
    <xdr:ext cx="65" cy="172227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FD63A943-4218-40C8-9595-9C9BDCB60AD7}"/>
            </a:ext>
          </a:extLst>
        </xdr:cNvPr>
        <xdr:cNvSpPr txBox="1"/>
      </xdr:nvSpPr>
      <xdr:spPr>
        <a:xfrm>
          <a:off x="403860" y="470154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16</xdr:row>
      <xdr:rowOff>0</xdr:rowOff>
    </xdr:from>
    <xdr:ext cx="65" cy="172227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B98F646C-33C3-4B59-90D7-01BEBBCA3EF5}"/>
            </a:ext>
          </a:extLst>
        </xdr:cNvPr>
        <xdr:cNvSpPr txBox="1"/>
      </xdr:nvSpPr>
      <xdr:spPr>
        <a:xfrm>
          <a:off x="403860" y="470154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16</xdr:row>
      <xdr:rowOff>0</xdr:rowOff>
    </xdr:from>
    <xdr:ext cx="65" cy="172227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5161802A-0BFC-423F-8DBD-0F8EFC590AEB}"/>
            </a:ext>
          </a:extLst>
        </xdr:cNvPr>
        <xdr:cNvSpPr txBox="1"/>
      </xdr:nvSpPr>
      <xdr:spPr>
        <a:xfrm>
          <a:off x="403860" y="470154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16</xdr:row>
      <xdr:rowOff>0</xdr:rowOff>
    </xdr:from>
    <xdr:ext cx="65" cy="172227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D8AA21DE-F43C-4467-A57A-F412CEF5837E}"/>
            </a:ext>
          </a:extLst>
        </xdr:cNvPr>
        <xdr:cNvSpPr txBox="1"/>
      </xdr:nvSpPr>
      <xdr:spPr>
        <a:xfrm>
          <a:off x="4206240" y="470154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16</xdr:row>
      <xdr:rowOff>0</xdr:rowOff>
    </xdr:from>
    <xdr:ext cx="65" cy="172227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FF7D826A-723B-4CE4-A83A-E5D8A53C0ECC}"/>
            </a:ext>
          </a:extLst>
        </xdr:cNvPr>
        <xdr:cNvSpPr txBox="1"/>
      </xdr:nvSpPr>
      <xdr:spPr>
        <a:xfrm>
          <a:off x="4206240" y="470154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16</xdr:row>
      <xdr:rowOff>0</xdr:rowOff>
    </xdr:from>
    <xdr:ext cx="65" cy="172227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820ABB7F-CA18-400B-9B90-E8EAC93D637D}"/>
            </a:ext>
          </a:extLst>
        </xdr:cNvPr>
        <xdr:cNvSpPr txBox="1"/>
      </xdr:nvSpPr>
      <xdr:spPr>
        <a:xfrm>
          <a:off x="4206240" y="470154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16</xdr:row>
      <xdr:rowOff>0</xdr:rowOff>
    </xdr:from>
    <xdr:ext cx="65" cy="172227"/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EDBF98AF-0C09-43D6-87B9-E52BD734EBAC}"/>
            </a:ext>
          </a:extLst>
        </xdr:cNvPr>
        <xdr:cNvSpPr txBox="1"/>
      </xdr:nvSpPr>
      <xdr:spPr>
        <a:xfrm>
          <a:off x="4206240" y="470154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16</xdr:row>
      <xdr:rowOff>0</xdr:rowOff>
    </xdr:from>
    <xdr:ext cx="65" cy="172227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C8FD446A-F37E-40CE-AD24-596D761DA026}"/>
            </a:ext>
          </a:extLst>
        </xdr:cNvPr>
        <xdr:cNvSpPr txBox="1"/>
      </xdr:nvSpPr>
      <xdr:spPr>
        <a:xfrm>
          <a:off x="403860" y="470154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16</xdr:row>
      <xdr:rowOff>0</xdr:rowOff>
    </xdr:from>
    <xdr:ext cx="65" cy="172227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B7EB5748-D5CB-4DD6-B9E4-45CA702B5A48}"/>
            </a:ext>
          </a:extLst>
        </xdr:cNvPr>
        <xdr:cNvSpPr txBox="1"/>
      </xdr:nvSpPr>
      <xdr:spPr>
        <a:xfrm>
          <a:off x="403860" y="470154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16</xdr:row>
      <xdr:rowOff>0</xdr:rowOff>
    </xdr:from>
    <xdr:ext cx="65" cy="172227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34D1648F-CF3F-4068-880A-81C5F56C2F9D}"/>
            </a:ext>
          </a:extLst>
        </xdr:cNvPr>
        <xdr:cNvSpPr txBox="1"/>
      </xdr:nvSpPr>
      <xdr:spPr>
        <a:xfrm>
          <a:off x="403860" y="470154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16</xdr:row>
      <xdr:rowOff>0</xdr:rowOff>
    </xdr:from>
    <xdr:ext cx="65" cy="172227"/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9CA947-89C5-4E03-A191-EB4E69E3350B}"/>
            </a:ext>
          </a:extLst>
        </xdr:cNvPr>
        <xdr:cNvSpPr txBox="1"/>
      </xdr:nvSpPr>
      <xdr:spPr>
        <a:xfrm>
          <a:off x="403860" y="470154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16</xdr:row>
      <xdr:rowOff>0</xdr:rowOff>
    </xdr:from>
    <xdr:ext cx="65" cy="172227"/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CCDECE3E-82B2-42DC-8495-340701442FD0}"/>
            </a:ext>
          </a:extLst>
        </xdr:cNvPr>
        <xdr:cNvSpPr txBox="1"/>
      </xdr:nvSpPr>
      <xdr:spPr>
        <a:xfrm>
          <a:off x="4206240" y="470154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16</xdr:row>
      <xdr:rowOff>0</xdr:rowOff>
    </xdr:from>
    <xdr:ext cx="65" cy="172227"/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06B50C56-0D12-4D0A-AF73-4031407F344E}"/>
            </a:ext>
          </a:extLst>
        </xdr:cNvPr>
        <xdr:cNvSpPr txBox="1"/>
      </xdr:nvSpPr>
      <xdr:spPr>
        <a:xfrm>
          <a:off x="4206240" y="470154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16</xdr:row>
      <xdr:rowOff>0</xdr:rowOff>
    </xdr:from>
    <xdr:ext cx="65" cy="172227"/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AAEC9A7C-4D4F-4723-A0B9-44F14FC5A29A}"/>
            </a:ext>
          </a:extLst>
        </xdr:cNvPr>
        <xdr:cNvSpPr txBox="1"/>
      </xdr:nvSpPr>
      <xdr:spPr>
        <a:xfrm>
          <a:off x="4206240" y="470154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16</xdr:row>
      <xdr:rowOff>0</xdr:rowOff>
    </xdr:from>
    <xdr:ext cx="65" cy="172227"/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8FE1688B-6D39-470C-BBCC-026065BD5F79}"/>
            </a:ext>
          </a:extLst>
        </xdr:cNvPr>
        <xdr:cNvSpPr txBox="1"/>
      </xdr:nvSpPr>
      <xdr:spPr>
        <a:xfrm>
          <a:off x="4206240" y="470154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drawings/drawing26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18</xdr:row>
      <xdr:rowOff>0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SpPr txBox="1"/>
      </xdr:nvSpPr>
      <xdr:spPr>
        <a:xfrm>
          <a:off x="7553325" y="4629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4</xdr:col>
      <xdr:colOff>0</xdr:colOff>
      <xdr:row>18</xdr:row>
      <xdr:rowOff>0</xdr:rowOff>
    </xdr:from>
    <xdr:ext cx="65" cy="172227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SpPr txBox="1"/>
      </xdr:nvSpPr>
      <xdr:spPr>
        <a:xfrm>
          <a:off x="7553325" y="4629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4</xdr:col>
      <xdr:colOff>0</xdr:colOff>
      <xdr:row>18</xdr:row>
      <xdr:rowOff>0</xdr:rowOff>
    </xdr:from>
    <xdr:ext cx="65" cy="172227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SpPr txBox="1"/>
      </xdr:nvSpPr>
      <xdr:spPr>
        <a:xfrm>
          <a:off x="7553325" y="4629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4</xdr:col>
      <xdr:colOff>0</xdr:colOff>
      <xdr:row>18</xdr:row>
      <xdr:rowOff>0</xdr:rowOff>
    </xdr:from>
    <xdr:ext cx="65" cy="172227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2500-000005000000}"/>
            </a:ext>
          </a:extLst>
        </xdr:cNvPr>
        <xdr:cNvSpPr txBox="1"/>
      </xdr:nvSpPr>
      <xdr:spPr>
        <a:xfrm>
          <a:off x="7553325" y="4629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18</xdr:row>
      <xdr:rowOff>0</xdr:rowOff>
    </xdr:from>
    <xdr:ext cx="65" cy="172227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2500-000006000000}"/>
            </a:ext>
          </a:extLst>
        </xdr:cNvPr>
        <xdr:cNvSpPr txBox="1"/>
      </xdr:nvSpPr>
      <xdr:spPr>
        <a:xfrm>
          <a:off x="390525" y="4629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18</xdr:row>
      <xdr:rowOff>0</xdr:rowOff>
    </xdr:from>
    <xdr:ext cx="65" cy="172227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2500-000007000000}"/>
            </a:ext>
          </a:extLst>
        </xdr:cNvPr>
        <xdr:cNvSpPr txBox="1"/>
      </xdr:nvSpPr>
      <xdr:spPr>
        <a:xfrm>
          <a:off x="390525" y="4629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18</xdr:row>
      <xdr:rowOff>0</xdr:rowOff>
    </xdr:from>
    <xdr:ext cx="65" cy="172227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2500-000008000000}"/>
            </a:ext>
          </a:extLst>
        </xdr:cNvPr>
        <xdr:cNvSpPr txBox="1"/>
      </xdr:nvSpPr>
      <xdr:spPr>
        <a:xfrm>
          <a:off x="390525" y="4629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18</xdr:row>
      <xdr:rowOff>0</xdr:rowOff>
    </xdr:from>
    <xdr:ext cx="65" cy="172227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2500-000009000000}"/>
            </a:ext>
          </a:extLst>
        </xdr:cNvPr>
        <xdr:cNvSpPr txBox="1"/>
      </xdr:nvSpPr>
      <xdr:spPr>
        <a:xfrm>
          <a:off x="390525" y="4629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18</xdr:row>
      <xdr:rowOff>0</xdr:rowOff>
    </xdr:from>
    <xdr:ext cx="65" cy="172227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2500-00000A000000}"/>
            </a:ext>
          </a:extLst>
        </xdr:cNvPr>
        <xdr:cNvSpPr txBox="1"/>
      </xdr:nvSpPr>
      <xdr:spPr>
        <a:xfrm>
          <a:off x="4086225" y="4629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18</xdr:row>
      <xdr:rowOff>0</xdr:rowOff>
    </xdr:from>
    <xdr:ext cx="65" cy="172227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2500-00000B000000}"/>
            </a:ext>
          </a:extLst>
        </xdr:cNvPr>
        <xdr:cNvSpPr txBox="1"/>
      </xdr:nvSpPr>
      <xdr:spPr>
        <a:xfrm>
          <a:off x="4086225" y="4629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18</xdr:row>
      <xdr:rowOff>0</xdr:rowOff>
    </xdr:from>
    <xdr:ext cx="65" cy="172227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2500-00000C000000}"/>
            </a:ext>
          </a:extLst>
        </xdr:cNvPr>
        <xdr:cNvSpPr txBox="1"/>
      </xdr:nvSpPr>
      <xdr:spPr>
        <a:xfrm>
          <a:off x="4086225" y="4629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18</xdr:row>
      <xdr:rowOff>0</xdr:rowOff>
    </xdr:from>
    <xdr:ext cx="65" cy="172227"/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2500-00000D000000}"/>
            </a:ext>
          </a:extLst>
        </xdr:cNvPr>
        <xdr:cNvSpPr txBox="1"/>
      </xdr:nvSpPr>
      <xdr:spPr>
        <a:xfrm>
          <a:off x="4086225" y="4629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18</xdr:row>
      <xdr:rowOff>0</xdr:rowOff>
    </xdr:from>
    <xdr:ext cx="65" cy="172227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2500-00000E000000}"/>
            </a:ext>
          </a:extLst>
        </xdr:cNvPr>
        <xdr:cNvSpPr txBox="1"/>
      </xdr:nvSpPr>
      <xdr:spPr>
        <a:xfrm>
          <a:off x="390525" y="4629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18</xdr:row>
      <xdr:rowOff>0</xdr:rowOff>
    </xdr:from>
    <xdr:ext cx="65" cy="172227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2500-00000F000000}"/>
            </a:ext>
          </a:extLst>
        </xdr:cNvPr>
        <xdr:cNvSpPr txBox="1"/>
      </xdr:nvSpPr>
      <xdr:spPr>
        <a:xfrm>
          <a:off x="390525" y="4629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18</xdr:row>
      <xdr:rowOff>0</xdr:rowOff>
    </xdr:from>
    <xdr:ext cx="65" cy="172227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2500-000010000000}"/>
            </a:ext>
          </a:extLst>
        </xdr:cNvPr>
        <xdr:cNvSpPr txBox="1"/>
      </xdr:nvSpPr>
      <xdr:spPr>
        <a:xfrm>
          <a:off x="390525" y="4629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18</xdr:row>
      <xdr:rowOff>0</xdr:rowOff>
    </xdr:from>
    <xdr:ext cx="65" cy="172227"/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2500-000011000000}"/>
            </a:ext>
          </a:extLst>
        </xdr:cNvPr>
        <xdr:cNvSpPr txBox="1"/>
      </xdr:nvSpPr>
      <xdr:spPr>
        <a:xfrm>
          <a:off x="390525" y="4629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18</xdr:row>
      <xdr:rowOff>0</xdr:rowOff>
    </xdr:from>
    <xdr:ext cx="65" cy="172227"/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2500-000012000000}"/>
            </a:ext>
          </a:extLst>
        </xdr:cNvPr>
        <xdr:cNvSpPr txBox="1"/>
      </xdr:nvSpPr>
      <xdr:spPr>
        <a:xfrm>
          <a:off x="4086225" y="4629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18</xdr:row>
      <xdr:rowOff>0</xdr:rowOff>
    </xdr:from>
    <xdr:ext cx="65" cy="172227"/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00000000-0008-0000-2500-000013000000}"/>
            </a:ext>
          </a:extLst>
        </xdr:cNvPr>
        <xdr:cNvSpPr txBox="1"/>
      </xdr:nvSpPr>
      <xdr:spPr>
        <a:xfrm>
          <a:off x="4086225" y="4629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18</xdr:row>
      <xdr:rowOff>0</xdr:rowOff>
    </xdr:from>
    <xdr:ext cx="65" cy="172227"/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00000000-0008-0000-2500-000014000000}"/>
            </a:ext>
          </a:extLst>
        </xdr:cNvPr>
        <xdr:cNvSpPr txBox="1"/>
      </xdr:nvSpPr>
      <xdr:spPr>
        <a:xfrm>
          <a:off x="4086225" y="4629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18</xdr:row>
      <xdr:rowOff>0</xdr:rowOff>
    </xdr:from>
    <xdr:ext cx="65" cy="172227"/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2500-000015000000}"/>
            </a:ext>
          </a:extLst>
        </xdr:cNvPr>
        <xdr:cNvSpPr txBox="1"/>
      </xdr:nvSpPr>
      <xdr:spPr>
        <a:xfrm>
          <a:off x="4086225" y="4629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drawings/drawing27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13</xdr:row>
      <xdr:rowOff>0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069E75A-1479-482E-BEA6-267A91EAEDA6}"/>
            </a:ext>
          </a:extLst>
        </xdr:cNvPr>
        <xdr:cNvSpPr txBox="1"/>
      </xdr:nvSpPr>
      <xdr:spPr>
        <a:xfrm>
          <a:off x="7772400" y="322326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4</xdr:col>
      <xdr:colOff>0</xdr:colOff>
      <xdr:row>13</xdr:row>
      <xdr:rowOff>0</xdr:rowOff>
    </xdr:from>
    <xdr:ext cx="65" cy="172227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38537029-1A66-4453-8284-11E9F44F3AA8}"/>
            </a:ext>
          </a:extLst>
        </xdr:cNvPr>
        <xdr:cNvSpPr txBox="1"/>
      </xdr:nvSpPr>
      <xdr:spPr>
        <a:xfrm>
          <a:off x="7772400" y="322326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4</xdr:col>
      <xdr:colOff>0</xdr:colOff>
      <xdr:row>13</xdr:row>
      <xdr:rowOff>0</xdr:rowOff>
    </xdr:from>
    <xdr:ext cx="65" cy="172227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4053ABD3-43F6-41D4-8A65-3603A34308B9}"/>
            </a:ext>
          </a:extLst>
        </xdr:cNvPr>
        <xdr:cNvSpPr txBox="1"/>
      </xdr:nvSpPr>
      <xdr:spPr>
        <a:xfrm>
          <a:off x="7772400" y="322326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4</xdr:col>
      <xdr:colOff>0</xdr:colOff>
      <xdr:row>13</xdr:row>
      <xdr:rowOff>0</xdr:rowOff>
    </xdr:from>
    <xdr:ext cx="65" cy="172227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E79922DA-8620-43F8-9160-139B21AAF92C}"/>
            </a:ext>
          </a:extLst>
        </xdr:cNvPr>
        <xdr:cNvSpPr txBox="1"/>
      </xdr:nvSpPr>
      <xdr:spPr>
        <a:xfrm>
          <a:off x="7772400" y="322326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13</xdr:row>
      <xdr:rowOff>0</xdr:rowOff>
    </xdr:from>
    <xdr:ext cx="65" cy="172227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C190CE48-89D8-4C76-8659-7F7ECD8D3B29}"/>
            </a:ext>
          </a:extLst>
        </xdr:cNvPr>
        <xdr:cNvSpPr txBox="1"/>
      </xdr:nvSpPr>
      <xdr:spPr>
        <a:xfrm>
          <a:off x="403860" y="322326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13</xdr:row>
      <xdr:rowOff>0</xdr:rowOff>
    </xdr:from>
    <xdr:ext cx="65" cy="172227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85DC44F7-22C3-4878-9B9B-11CB174BA050}"/>
            </a:ext>
          </a:extLst>
        </xdr:cNvPr>
        <xdr:cNvSpPr txBox="1"/>
      </xdr:nvSpPr>
      <xdr:spPr>
        <a:xfrm>
          <a:off x="403860" y="322326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13</xdr:row>
      <xdr:rowOff>0</xdr:rowOff>
    </xdr:from>
    <xdr:ext cx="65" cy="172227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1BBC0325-1FCF-4794-AE64-DD935E3BA893}"/>
            </a:ext>
          </a:extLst>
        </xdr:cNvPr>
        <xdr:cNvSpPr txBox="1"/>
      </xdr:nvSpPr>
      <xdr:spPr>
        <a:xfrm>
          <a:off x="403860" y="322326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13</xdr:row>
      <xdr:rowOff>0</xdr:rowOff>
    </xdr:from>
    <xdr:ext cx="65" cy="172227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40C968D6-03C9-420F-84DF-5430BFB5E579}"/>
            </a:ext>
          </a:extLst>
        </xdr:cNvPr>
        <xdr:cNvSpPr txBox="1"/>
      </xdr:nvSpPr>
      <xdr:spPr>
        <a:xfrm>
          <a:off x="403860" y="322326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13</xdr:row>
      <xdr:rowOff>0</xdr:rowOff>
    </xdr:from>
    <xdr:ext cx="65" cy="172227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515018B5-32C3-44C9-B354-C9546C3A3196}"/>
            </a:ext>
          </a:extLst>
        </xdr:cNvPr>
        <xdr:cNvSpPr txBox="1"/>
      </xdr:nvSpPr>
      <xdr:spPr>
        <a:xfrm>
          <a:off x="4206240" y="322326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13</xdr:row>
      <xdr:rowOff>0</xdr:rowOff>
    </xdr:from>
    <xdr:ext cx="65" cy="172227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B0B032C-30BC-4A9A-90ED-29EE4DFEEEA7}"/>
            </a:ext>
          </a:extLst>
        </xdr:cNvPr>
        <xdr:cNvSpPr txBox="1"/>
      </xdr:nvSpPr>
      <xdr:spPr>
        <a:xfrm>
          <a:off x="4206240" y="322326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13</xdr:row>
      <xdr:rowOff>0</xdr:rowOff>
    </xdr:from>
    <xdr:ext cx="65" cy="172227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C17E1D7E-82D1-4F65-9BD0-E2360A64A16B}"/>
            </a:ext>
          </a:extLst>
        </xdr:cNvPr>
        <xdr:cNvSpPr txBox="1"/>
      </xdr:nvSpPr>
      <xdr:spPr>
        <a:xfrm>
          <a:off x="4206240" y="322326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13</xdr:row>
      <xdr:rowOff>0</xdr:rowOff>
    </xdr:from>
    <xdr:ext cx="65" cy="172227"/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7719A6B7-74DF-45AE-9727-CF2807F9EEC1}"/>
            </a:ext>
          </a:extLst>
        </xdr:cNvPr>
        <xdr:cNvSpPr txBox="1"/>
      </xdr:nvSpPr>
      <xdr:spPr>
        <a:xfrm>
          <a:off x="4206240" y="322326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13</xdr:row>
      <xdr:rowOff>0</xdr:rowOff>
    </xdr:from>
    <xdr:ext cx="65" cy="172227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936BFD12-A54C-4361-A0B7-5CA1B27B5ED1}"/>
            </a:ext>
          </a:extLst>
        </xdr:cNvPr>
        <xdr:cNvSpPr txBox="1"/>
      </xdr:nvSpPr>
      <xdr:spPr>
        <a:xfrm>
          <a:off x="403860" y="322326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13</xdr:row>
      <xdr:rowOff>0</xdr:rowOff>
    </xdr:from>
    <xdr:ext cx="65" cy="172227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6E4E58D8-A890-4153-9ADC-8458373371D2}"/>
            </a:ext>
          </a:extLst>
        </xdr:cNvPr>
        <xdr:cNvSpPr txBox="1"/>
      </xdr:nvSpPr>
      <xdr:spPr>
        <a:xfrm>
          <a:off x="403860" y="322326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13</xdr:row>
      <xdr:rowOff>0</xdr:rowOff>
    </xdr:from>
    <xdr:ext cx="65" cy="172227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FAFCE60D-D80A-4BCA-9F3F-6DB641D9CF62}"/>
            </a:ext>
          </a:extLst>
        </xdr:cNvPr>
        <xdr:cNvSpPr txBox="1"/>
      </xdr:nvSpPr>
      <xdr:spPr>
        <a:xfrm>
          <a:off x="403860" y="322326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13</xdr:row>
      <xdr:rowOff>0</xdr:rowOff>
    </xdr:from>
    <xdr:ext cx="65" cy="172227"/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A7D37D0C-FAF7-477E-80AF-9DDAB1F10610}"/>
            </a:ext>
          </a:extLst>
        </xdr:cNvPr>
        <xdr:cNvSpPr txBox="1"/>
      </xdr:nvSpPr>
      <xdr:spPr>
        <a:xfrm>
          <a:off x="403860" y="322326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13</xdr:row>
      <xdr:rowOff>0</xdr:rowOff>
    </xdr:from>
    <xdr:ext cx="65" cy="172227"/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3D46296B-E6DF-48A7-A519-6DEA03AB2BF4}"/>
            </a:ext>
          </a:extLst>
        </xdr:cNvPr>
        <xdr:cNvSpPr txBox="1"/>
      </xdr:nvSpPr>
      <xdr:spPr>
        <a:xfrm>
          <a:off x="4206240" y="322326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13</xdr:row>
      <xdr:rowOff>0</xdr:rowOff>
    </xdr:from>
    <xdr:ext cx="65" cy="172227"/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E90232E7-7110-484E-8AFE-3AA59FE257FB}"/>
            </a:ext>
          </a:extLst>
        </xdr:cNvPr>
        <xdr:cNvSpPr txBox="1"/>
      </xdr:nvSpPr>
      <xdr:spPr>
        <a:xfrm>
          <a:off x="4206240" y="322326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13</xdr:row>
      <xdr:rowOff>0</xdr:rowOff>
    </xdr:from>
    <xdr:ext cx="65" cy="172227"/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BFD5C3BE-A1FB-424A-8878-69120B3D8574}"/>
            </a:ext>
          </a:extLst>
        </xdr:cNvPr>
        <xdr:cNvSpPr txBox="1"/>
      </xdr:nvSpPr>
      <xdr:spPr>
        <a:xfrm>
          <a:off x="4206240" y="322326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13</xdr:row>
      <xdr:rowOff>0</xdr:rowOff>
    </xdr:from>
    <xdr:ext cx="65" cy="172227"/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2080F178-4B2F-4135-B5A5-93D9C344827C}"/>
            </a:ext>
          </a:extLst>
        </xdr:cNvPr>
        <xdr:cNvSpPr txBox="1"/>
      </xdr:nvSpPr>
      <xdr:spPr>
        <a:xfrm>
          <a:off x="4206240" y="322326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drawings/drawing28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16</xdr:row>
      <xdr:rowOff>0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SpPr txBox="1"/>
      </xdr:nvSpPr>
      <xdr:spPr>
        <a:xfrm>
          <a:off x="7553325" y="4629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4</xdr:col>
      <xdr:colOff>0</xdr:colOff>
      <xdr:row>16</xdr:row>
      <xdr:rowOff>0</xdr:rowOff>
    </xdr:from>
    <xdr:ext cx="65" cy="172227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SpPr txBox="1"/>
      </xdr:nvSpPr>
      <xdr:spPr>
        <a:xfrm>
          <a:off x="7553325" y="4629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4</xdr:col>
      <xdr:colOff>0</xdr:colOff>
      <xdr:row>16</xdr:row>
      <xdr:rowOff>0</xdr:rowOff>
    </xdr:from>
    <xdr:ext cx="65" cy="172227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SpPr txBox="1"/>
      </xdr:nvSpPr>
      <xdr:spPr>
        <a:xfrm>
          <a:off x="7553325" y="4629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4</xdr:col>
      <xdr:colOff>0</xdr:colOff>
      <xdr:row>16</xdr:row>
      <xdr:rowOff>0</xdr:rowOff>
    </xdr:from>
    <xdr:ext cx="65" cy="172227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2600-000005000000}"/>
            </a:ext>
          </a:extLst>
        </xdr:cNvPr>
        <xdr:cNvSpPr txBox="1"/>
      </xdr:nvSpPr>
      <xdr:spPr>
        <a:xfrm>
          <a:off x="7553325" y="4629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16</xdr:row>
      <xdr:rowOff>0</xdr:rowOff>
    </xdr:from>
    <xdr:ext cx="65" cy="172227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2600-000006000000}"/>
            </a:ext>
          </a:extLst>
        </xdr:cNvPr>
        <xdr:cNvSpPr txBox="1"/>
      </xdr:nvSpPr>
      <xdr:spPr>
        <a:xfrm>
          <a:off x="390525" y="4629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16</xdr:row>
      <xdr:rowOff>0</xdr:rowOff>
    </xdr:from>
    <xdr:ext cx="65" cy="172227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2600-000007000000}"/>
            </a:ext>
          </a:extLst>
        </xdr:cNvPr>
        <xdr:cNvSpPr txBox="1"/>
      </xdr:nvSpPr>
      <xdr:spPr>
        <a:xfrm>
          <a:off x="390525" y="4629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16</xdr:row>
      <xdr:rowOff>0</xdr:rowOff>
    </xdr:from>
    <xdr:ext cx="65" cy="172227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2600-000008000000}"/>
            </a:ext>
          </a:extLst>
        </xdr:cNvPr>
        <xdr:cNvSpPr txBox="1"/>
      </xdr:nvSpPr>
      <xdr:spPr>
        <a:xfrm>
          <a:off x="390525" y="4629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16</xdr:row>
      <xdr:rowOff>0</xdr:rowOff>
    </xdr:from>
    <xdr:ext cx="65" cy="172227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2600-000009000000}"/>
            </a:ext>
          </a:extLst>
        </xdr:cNvPr>
        <xdr:cNvSpPr txBox="1"/>
      </xdr:nvSpPr>
      <xdr:spPr>
        <a:xfrm>
          <a:off x="390525" y="4629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16</xdr:row>
      <xdr:rowOff>0</xdr:rowOff>
    </xdr:from>
    <xdr:ext cx="65" cy="172227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2600-00000A000000}"/>
            </a:ext>
          </a:extLst>
        </xdr:cNvPr>
        <xdr:cNvSpPr txBox="1"/>
      </xdr:nvSpPr>
      <xdr:spPr>
        <a:xfrm>
          <a:off x="4086225" y="4629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16</xdr:row>
      <xdr:rowOff>0</xdr:rowOff>
    </xdr:from>
    <xdr:ext cx="65" cy="172227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2600-00000B000000}"/>
            </a:ext>
          </a:extLst>
        </xdr:cNvPr>
        <xdr:cNvSpPr txBox="1"/>
      </xdr:nvSpPr>
      <xdr:spPr>
        <a:xfrm>
          <a:off x="4086225" y="4629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16</xdr:row>
      <xdr:rowOff>0</xdr:rowOff>
    </xdr:from>
    <xdr:ext cx="65" cy="172227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2600-00000C000000}"/>
            </a:ext>
          </a:extLst>
        </xdr:cNvPr>
        <xdr:cNvSpPr txBox="1"/>
      </xdr:nvSpPr>
      <xdr:spPr>
        <a:xfrm>
          <a:off x="4086225" y="4629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16</xdr:row>
      <xdr:rowOff>0</xdr:rowOff>
    </xdr:from>
    <xdr:ext cx="65" cy="172227"/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2600-00000D000000}"/>
            </a:ext>
          </a:extLst>
        </xdr:cNvPr>
        <xdr:cNvSpPr txBox="1"/>
      </xdr:nvSpPr>
      <xdr:spPr>
        <a:xfrm>
          <a:off x="4086225" y="4629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16</xdr:row>
      <xdr:rowOff>0</xdr:rowOff>
    </xdr:from>
    <xdr:ext cx="65" cy="172227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2600-00000E000000}"/>
            </a:ext>
          </a:extLst>
        </xdr:cNvPr>
        <xdr:cNvSpPr txBox="1"/>
      </xdr:nvSpPr>
      <xdr:spPr>
        <a:xfrm>
          <a:off x="390525" y="4629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16</xdr:row>
      <xdr:rowOff>0</xdr:rowOff>
    </xdr:from>
    <xdr:ext cx="65" cy="172227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2600-00000F000000}"/>
            </a:ext>
          </a:extLst>
        </xdr:cNvPr>
        <xdr:cNvSpPr txBox="1"/>
      </xdr:nvSpPr>
      <xdr:spPr>
        <a:xfrm>
          <a:off x="390525" y="4629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16</xdr:row>
      <xdr:rowOff>0</xdr:rowOff>
    </xdr:from>
    <xdr:ext cx="65" cy="172227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2600-000010000000}"/>
            </a:ext>
          </a:extLst>
        </xdr:cNvPr>
        <xdr:cNvSpPr txBox="1"/>
      </xdr:nvSpPr>
      <xdr:spPr>
        <a:xfrm>
          <a:off x="390525" y="4629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16</xdr:row>
      <xdr:rowOff>0</xdr:rowOff>
    </xdr:from>
    <xdr:ext cx="65" cy="172227"/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2600-000011000000}"/>
            </a:ext>
          </a:extLst>
        </xdr:cNvPr>
        <xdr:cNvSpPr txBox="1"/>
      </xdr:nvSpPr>
      <xdr:spPr>
        <a:xfrm>
          <a:off x="390525" y="4629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16</xdr:row>
      <xdr:rowOff>0</xdr:rowOff>
    </xdr:from>
    <xdr:ext cx="65" cy="172227"/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2600-000012000000}"/>
            </a:ext>
          </a:extLst>
        </xdr:cNvPr>
        <xdr:cNvSpPr txBox="1"/>
      </xdr:nvSpPr>
      <xdr:spPr>
        <a:xfrm>
          <a:off x="4086225" y="4629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16</xdr:row>
      <xdr:rowOff>0</xdr:rowOff>
    </xdr:from>
    <xdr:ext cx="65" cy="172227"/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00000000-0008-0000-2600-000013000000}"/>
            </a:ext>
          </a:extLst>
        </xdr:cNvPr>
        <xdr:cNvSpPr txBox="1"/>
      </xdr:nvSpPr>
      <xdr:spPr>
        <a:xfrm>
          <a:off x="4086225" y="4629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16</xdr:row>
      <xdr:rowOff>0</xdr:rowOff>
    </xdr:from>
    <xdr:ext cx="65" cy="172227"/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00000000-0008-0000-2600-000014000000}"/>
            </a:ext>
          </a:extLst>
        </xdr:cNvPr>
        <xdr:cNvSpPr txBox="1"/>
      </xdr:nvSpPr>
      <xdr:spPr>
        <a:xfrm>
          <a:off x="4086225" y="4629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16</xdr:row>
      <xdr:rowOff>0</xdr:rowOff>
    </xdr:from>
    <xdr:ext cx="65" cy="172227"/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2600-000015000000}"/>
            </a:ext>
          </a:extLst>
        </xdr:cNvPr>
        <xdr:cNvSpPr txBox="1"/>
      </xdr:nvSpPr>
      <xdr:spPr>
        <a:xfrm>
          <a:off x="4086225" y="4629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drawings/drawing29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13</xdr:row>
      <xdr:rowOff>0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A5BCE9C-6350-413C-84F8-E768B6E54F1D}"/>
            </a:ext>
          </a:extLst>
        </xdr:cNvPr>
        <xdr:cNvSpPr txBox="1"/>
      </xdr:nvSpPr>
      <xdr:spPr>
        <a:xfrm>
          <a:off x="7772400" y="97078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4</xdr:col>
      <xdr:colOff>0</xdr:colOff>
      <xdr:row>13</xdr:row>
      <xdr:rowOff>0</xdr:rowOff>
    </xdr:from>
    <xdr:ext cx="65" cy="172227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95B3BC1F-BEA7-4C38-BC41-44118F5F4045}"/>
            </a:ext>
          </a:extLst>
        </xdr:cNvPr>
        <xdr:cNvSpPr txBox="1"/>
      </xdr:nvSpPr>
      <xdr:spPr>
        <a:xfrm>
          <a:off x="7772400" y="97078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4</xdr:col>
      <xdr:colOff>0</xdr:colOff>
      <xdr:row>13</xdr:row>
      <xdr:rowOff>0</xdr:rowOff>
    </xdr:from>
    <xdr:ext cx="65" cy="172227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3426B799-08FC-49D3-9C6A-C148EA930040}"/>
            </a:ext>
          </a:extLst>
        </xdr:cNvPr>
        <xdr:cNvSpPr txBox="1"/>
      </xdr:nvSpPr>
      <xdr:spPr>
        <a:xfrm>
          <a:off x="7772400" y="97078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4</xdr:col>
      <xdr:colOff>0</xdr:colOff>
      <xdr:row>13</xdr:row>
      <xdr:rowOff>0</xdr:rowOff>
    </xdr:from>
    <xdr:ext cx="65" cy="172227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CF974DBC-C32B-4406-B34A-163F1908C27F}"/>
            </a:ext>
          </a:extLst>
        </xdr:cNvPr>
        <xdr:cNvSpPr txBox="1"/>
      </xdr:nvSpPr>
      <xdr:spPr>
        <a:xfrm>
          <a:off x="7772400" y="97078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13</xdr:row>
      <xdr:rowOff>0</xdr:rowOff>
    </xdr:from>
    <xdr:ext cx="65" cy="172227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39A1DE27-25E8-43C6-AD24-F050244B6E15}"/>
            </a:ext>
          </a:extLst>
        </xdr:cNvPr>
        <xdr:cNvSpPr txBox="1"/>
      </xdr:nvSpPr>
      <xdr:spPr>
        <a:xfrm>
          <a:off x="403860" y="97078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13</xdr:row>
      <xdr:rowOff>0</xdr:rowOff>
    </xdr:from>
    <xdr:ext cx="65" cy="172227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E214D22E-8D3B-4ABF-ABDA-C0C5A466F985}"/>
            </a:ext>
          </a:extLst>
        </xdr:cNvPr>
        <xdr:cNvSpPr txBox="1"/>
      </xdr:nvSpPr>
      <xdr:spPr>
        <a:xfrm>
          <a:off x="403860" y="97078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13</xdr:row>
      <xdr:rowOff>0</xdr:rowOff>
    </xdr:from>
    <xdr:ext cx="65" cy="172227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C9C82D3-9488-4B57-8309-19DA5D947324}"/>
            </a:ext>
          </a:extLst>
        </xdr:cNvPr>
        <xdr:cNvSpPr txBox="1"/>
      </xdr:nvSpPr>
      <xdr:spPr>
        <a:xfrm>
          <a:off x="403860" y="97078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13</xdr:row>
      <xdr:rowOff>0</xdr:rowOff>
    </xdr:from>
    <xdr:ext cx="65" cy="172227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B72E7167-90A1-4490-BAC7-DD575FA9BB75}"/>
            </a:ext>
          </a:extLst>
        </xdr:cNvPr>
        <xdr:cNvSpPr txBox="1"/>
      </xdr:nvSpPr>
      <xdr:spPr>
        <a:xfrm>
          <a:off x="403860" y="97078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13</xdr:row>
      <xdr:rowOff>0</xdr:rowOff>
    </xdr:from>
    <xdr:ext cx="65" cy="172227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A8D92377-2DCC-41CB-B846-D5E3305CB2CC}"/>
            </a:ext>
          </a:extLst>
        </xdr:cNvPr>
        <xdr:cNvSpPr txBox="1"/>
      </xdr:nvSpPr>
      <xdr:spPr>
        <a:xfrm>
          <a:off x="4206240" y="97078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13</xdr:row>
      <xdr:rowOff>0</xdr:rowOff>
    </xdr:from>
    <xdr:ext cx="65" cy="172227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20713EE0-65DF-4A75-B0B6-F486A007993A}"/>
            </a:ext>
          </a:extLst>
        </xdr:cNvPr>
        <xdr:cNvSpPr txBox="1"/>
      </xdr:nvSpPr>
      <xdr:spPr>
        <a:xfrm>
          <a:off x="4206240" y="97078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13</xdr:row>
      <xdr:rowOff>0</xdr:rowOff>
    </xdr:from>
    <xdr:ext cx="65" cy="172227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90B4DB4-4EB4-410F-9E45-5BE48A7D19A0}"/>
            </a:ext>
          </a:extLst>
        </xdr:cNvPr>
        <xdr:cNvSpPr txBox="1"/>
      </xdr:nvSpPr>
      <xdr:spPr>
        <a:xfrm>
          <a:off x="4206240" y="97078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13</xdr:row>
      <xdr:rowOff>0</xdr:rowOff>
    </xdr:from>
    <xdr:ext cx="65" cy="172227"/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FA854EA2-A6DF-4C5F-B35F-FB204AF8764E}"/>
            </a:ext>
          </a:extLst>
        </xdr:cNvPr>
        <xdr:cNvSpPr txBox="1"/>
      </xdr:nvSpPr>
      <xdr:spPr>
        <a:xfrm>
          <a:off x="4206240" y="97078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13</xdr:row>
      <xdr:rowOff>0</xdr:rowOff>
    </xdr:from>
    <xdr:ext cx="65" cy="172227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D39DE137-D52E-4197-BBB9-90970A0DF492}"/>
            </a:ext>
          </a:extLst>
        </xdr:cNvPr>
        <xdr:cNvSpPr txBox="1"/>
      </xdr:nvSpPr>
      <xdr:spPr>
        <a:xfrm>
          <a:off x="403860" y="97078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13</xdr:row>
      <xdr:rowOff>0</xdr:rowOff>
    </xdr:from>
    <xdr:ext cx="65" cy="172227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FAA4517D-B6E1-4483-A795-50A237CEB5F6}"/>
            </a:ext>
          </a:extLst>
        </xdr:cNvPr>
        <xdr:cNvSpPr txBox="1"/>
      </xdr:nvSpPr>
      <xdr:spPr>
        <a:xfrm>
          <a:off x="403860" y="97078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13</xdr:row>
      <xdr:rowOff>0</xdr:rowOff>
    </xdr:from>
    <xdr:ext cx="65" cy="172227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875C31E9-C6DE-4D39-84CB-4AE6A6FF5F9E}"/>
            </a:ext>
          </a:extLst>
        </xdr:cNvPr>
        <xdr:cNvSpPr txBox="1"/>
      </xdr:nvSpPr>
      <xdr:spPr>
        <a:xfrm>
          <a:off x="403860" y="97078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13</xdr:row>
      <xdr:rowOff>0</xdr:rowOff>
    </xdr:from>
    <xdr:ext cx="65" cy="172227"/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5C30ECC8-4531-4E35-AD14-4ED5CF66E7EA}"/>
            </a:ext>
          </a:extLst>
        </xdr:cNvPr>
        <xdr:cNvSpPr txBox="1"/>
      </xdr:nvSpPr>
      <xdr:spPr>
        <a:xfrm>
          <a:off x="403860" y="97078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13</xdr:row>
      <xdr:rowOff>0</xdr:rowOff>
    </xdr:from>
    <xdr:ext cx="65" cy="172227"/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1BF7B973-F63D-4F9B-83DF-1A94979481A3}"/>
            </a:ext>
          </a:extLst>
        </xdr:cNvPr>
        <xdr:cNvSpPr txBox="1"/>
      </xdr:nvSpPr>
      <xdr:spPr>
        <a:xfrm>
          <a:off x="4206240" y="97078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13</xdr:row>
      <xdr:rowOff>0</xdr:rowOff>
    </xdr:from>
    <xdr:ext cx="65" cy="172227"/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534DAC45-79FC-494A-A4C3-D9E9C94BD43F}"/>
            </a:ext>
          </a:extLst>
        </xdr:cNvPr>
        <xdr:cNvSpPr txBox="1"/>
      </xdr:nvSpPr>
      <xdr:spPr>
        <a:xfrm>
          <a:off x="4206240" y="97078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13</xdr:row>
      <xdr:rowOff>0</xdr:rowOff>
    </xdr:from>
    <xdr:ext cx="65" cy="172227"/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2450D789-01BF-40A3-95BF-F07A80E0D614}"/>
            </a:ext>
          </a:extLst>
        </xdr:cNvPr>
        <xdr:cNvSpPr txBox="1"/>
      </xdr:nvSpPr>
      <xdr:spPr>
        <a:xfrm>
          <a:off x="4206240" y="97078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13</xdr:row>
      <xdr:rowOff>0</xdr:rowOff>
    </xdr:from>
    <xdr:ext cx="65" cy="172227"/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E4640FE0-53A3-430A-A22E-536BE64F5861}"/>
            </a:ext>
          </a:extLst>
        </xdr:cNvPr>
        <xdr:cNvSpPr txBox="1"/>
      </xdr:nvSpPr>
      <xdr:spPr>
        <a:xfrm>
          <a:off x="4206240" y="97078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drawings/drawing30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14</xdr:row>
      <xdr:rowOff>0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SpPr txBox="1"/>
      </xdr:nvSpPr>
      <xdr:spPr>
        <a:xfrm>
          <a:off x="7553325" y="3867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4</xdr:col>
      <xdr:colOff>0</xdr:colOff>
      <xdr:row>14</xdr:row>
      <xdr:rowOff>0</xdr:rowOff>
    </xdr:from>
    <xdr:ext cx="65" cy="172227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SpPr txBox="1"/>
      </xdr:nvSpPr>
      <xdr:spPr>
        <a:xfrm>
          <a:off x="7553325" y="3867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4</xdr:col>
      <xdr:colOff>0</xdr:colOff>
      <xdr:row>14</xdr:row>
      <xdr:rowOff>0</xdr:rowOff>
    </xdr:from>
    <xdr:ext cx="65" cy="172227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SpPr txBox="1"/>
      </xdr:nvSpPr>
      <xdr:spPr>
        <a:xfrm>
          <a:off x="7553325" y="3867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4</xdr:col>
      <xdr:colOff>0</xdr:colOff>
      <xdr:row>14</xdr:row>
      <xdr:rowOff>0</xdr:rowOff>
    </xdr:from>
    <xdr:ext cx="65" cy="172227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2800-000005000000}"/>
            </a:ext>
          </a:extLst>
        </xdr:cNvPr>
        <xdr:cNvSpPr txBox="1"/>
      </xdr:nvSpPr>
      <xdr:spPr>
        <a:xfrm>
          <a:off x="7553325" y="3867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14</xdr:row>
      <xdr:rowOff>0</xdr:rowOff>
    </xdr:from>
    <xdr:ext cx="65" cy="172227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2800-000006000000}"/>
            </a:ext>
          </a:extLst>
        </xdr:cNvPr>
        <xdr:cNvSpPr txBox="1"/>
      </xdr:nvSpPr>
      <xdr:spPr>
        <a:xfrm>
          <a:off x="390525" y="3867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14</xdr:row>
      <xdr:rowOff>0</xdr:rowOff>
    </xdr:from>
    <xdr:ext cx="65" cy="172227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2800-000007000000}"/>
            </a:ext>
          </a:extLst>
        </xdr:cNvPr>
        <xdr:cNvSpPr txBox="1"/>
      </xdr:nvSpPr>
      <xdr:spPr>
        <a:xfrm>
          <a:off x="390525" y="3867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14</xdr:row>
      <xdr:rowOff>0</xdr:rowOff>
    </xdr:from>
    <xdr:ext cx="65" cy="172227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2800-000008000000}"/>
            </a:ext>
          </a:extLst>
        </xdr:cNvPr>
        <xdr:cNvSpPr txBox="1"/>
      </xdr:nvSpPr>
      <xdr:spPr>
        <a:xfrm>
          <a:off x="390525" y="3867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14</xdr:row>
      <xdr:rowOff>0</xdr:rowOff>
    </xdr:from>
    <xdr:ext cx="65" cy="172227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2800-000009000000}"/>
            </a:ext>
          </a:extLst>
        </xdr:cNvPr>
        <xdr:cNvSpPr txBox="1"/>
      </xdr:nvSpPr>
      <xdr:spPr>
        <a:xfrm>
          <a:off x="390525" y="3867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14</xdr:row>
      <xdr:rowOff>0</xdr:rowOff>
    </xdr:from>
    <xdr:ext cx="65" cy="172227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2800-00000A000000}"/>
            </a:ext>
          </a:extLst>
        </xdr:cNvPr>
        <xdr:cNvSpPr txBox="1"/>
      </xdr:nvSpPr>
      <xdr:spPr>
        <a:xfrm>
          <a:off x="4086225" y="3867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14</xdr:row>
      <xdr:rowOff>0</xdr:rowOff>
    </xdr:from>
    <xdr:ext cx="65" cy="172227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2800-00000B000000}"/>
            </a:ext>
          </a:extLst>
        </xdr:cNvPr>
        <xdr:cNvSpPr txBox="1"/>
      </xdr:nvSpPr>
      <xdr:spPr>
        <a:xfrm>
          <a:off x="4086225" y="3867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14</xdr:row>
      <xdr:rowOff>0</xdr:rowOff>
    </xdr:from>
    <xdr:ext cx="65" cy="172227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2800-00000C000000}"/>
            </a:ext>
          </a:extLst>
        </xdr:cNvPr>
        <xdr:cNvSpPr txBox="1"/>
      </xdr:nvSpPr>
      <xdr:spPr>
        <a:xfrm>
          <a:off x="4086225" y="3867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14</xdr:row>
      <xdr:rowOff>0</xdr:rowOff>
    </xdr:from>
    <xdr:ext cx="65" cy="172227"/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2800-00000D000000}"/>
            </a:ext>
          </a:extLst>
        </xdr:cNvPr>
        <xdr:cNvSpPr txBox="1"/>
      </xdr:nvSpPr>
      <xdr:spPr>
        <a:xfrm>
          <a:off x="4086225" y="3867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14</xdr:row>
      <xdr:rowOff>0</xdr:rowOff>
    </xdr:from>
    <xdr:ext cx="65" cy="172227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2800-00000E000000}"/>
            </a:ext>
          </a:extLst>
        </xdr:cNvPr>
        <xdr:cNvSpPr txBox="1"/>
      </xdr:nvSpPr>
      <xdr:spPr>
        <a:xfrm>
          <a:off x="390525" y="3867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14</xdr:row>
      <xdr:rowOff>0</xdr:rowOff>
    </xdr:from>
    <xdr:ext cx="65" cy="172227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2800-00000F000000}"/>
            </a:ext>
          </a:extLst>
        </xdr:cNvPr>
        <xdr:cNvSpPr txBox="1"/>
      </xdr:nvSpPr>
      <xdr:spPr>
        <a:xfrm>
          <a:off x="390525" y="3867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14</xdr:row>
      <xdr:rowOff>0</xdr:rowOff>
    </xdr:from>
    <xdr:ext cx="65" cy="172227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2800-000010000000}"/>
            </a:ext>
          </a:extLst>
        </xdr:cNvPr>
        <xdr:cNvSpPr txBox="1"/>
      </xdr:nvSpPr>
      <xdr:spPr>
        <a:xfrm>
          <a:off x="390525" y="3867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14</xdr:row>
      <xdr:rowOff>0</xdr:rowOff>
    </xdr:from>
    <xdr:ext cx="65" cy="172227"/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2800-000011000000}"/>
            </a:ext>
          </a:extLst>
        </xdr:cNvPr>
        <xdr:cNvSpPr txBox="1"/>
      </xdr:nvSpPr>
      <xdr:spPr>
        <a:xfrm>
          <a:off x="390525" y="3867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14</xdr:row>
      <xdr:rowOff>0</xdr:rowOff>
    </xdr:from>
    <xdr:ext cx="65" cy="172227"/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2800-000012000000}"/>
            </a:ext>
          </a:extLst>
        </xdr:cNvPr>
        <xdr:cNvSpPr txBox="1"/>
      </xdr:nvSpPr>
      <xdr:spPr>
        <a:xfrm>
          <a:off x="4086225" y="3867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14</xdr:row>
      <xdr:rowOff>0</xdr:rowOff>
    </xdr:from>
    <xdr:ext cx="65" cy="172227"/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00000000-0008-0000-2800-000013000000}"/>
            </a:ext>
          </a:extLst>
        </xdr:cNvPr>
        <xdr:cNvSpPr txBox="1"/>
      </xdr:nvSpPr>
      <xdr:spPr>
        <a:xfrm>
          <a:off x="4086225" y="3867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14</xdr:row>
      <xdr:rowOff>0</xdr:rowOff>
    </xdr:from>
    <xdr:ext cx="65" cy="172227"/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00000000-0008-0000-2800-000014000000}"/>
            </a:ext>
          </a:extLst>
        </xdr:cNvPr>
        <xdr:cNvSpPr txBox="1"/>
      </xdr:nvSpPr>
      <xdr:spPr>
        <a:xfrm>
          <a:off x="4086225" y="3867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14</xdr:row>
      <xdr:rowOff>0</xdr:rowOff>
    </xdr:from>
    <xdr:ext cx="65" cy="172227"/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2800-000015000000}"/>
            </a:ext>
          </a:extLst>
        </xdr:cNvPr>
        <xdr:cNvSpPr txBox="1"/>
      </xdr:nvSpPr>
      <xdr:spPr>
        <a:xfrm>
          <a:off x="4086225" y="3867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drawings/drawing3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0</xdr:colOff>
      <xdr:row>20</xdr:row>
      <xdr:rowOff>0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SpPr txBox="1"/>
      </xdr:nvSpPr>
      <xdr:spPr>
        <a:xfrm>
          <a:off x="8162925" y="82486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5</xdr:col>
      <xdr:colOff>0</xdr:colOff>
      <xdr:row>20</xdr:row>
      <xdr:rowOff>0</xdr:rowOff>
    </xdr:from>
    <xdr:ext cx="65" cy="172227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SpPr txBox="1"/>
      </xdr:nvSpPr>
      <xdr:spPr>
        <a:xfrm>
          <a:off x="8162925" y="82486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5</xdr:col>
      <xdr:colOff>0</xdr:colOff>
      <xdr:row>20</xdr:row>
      <xdr:rowOff>0</xdr:rowOff>
    </xdr:from>
    <xdr:ext cx="65" cy="172227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SpPr txBox="1"/>
      </xdr:nvSpPr>
      <xdr:spPr>
        <a:xfrm>
          <a:off x="8162925" y="82486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5</xdr:col>
      <xdr:colOff>0</xdr:colOff>
      <xdr:row>20</xdr:row>
      <xdr:rowOff>0</xdr:rowOff>
    </xdr:from>
    <xdr:ext cx="65" cy="172227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2700-000005000000}"/>
            </a:ext>
          </a:extLst>
        </xdr:cNvPr>
        <xdr:cNvSpPr txBox="1"/>
      </xdr:nvSpPr>
      <xdr:spPr>
        <a:xfrm>
          <a:off x="8162925" y="82486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20</xdr:row>
      <xdr:rowOff>0</xdr:rowOff>
    </xdr:from>
    <xdr:ext cx="65" cy="172227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2700-000006000000}"/>
            </a:ext>
          </a:extLst>
        </xdr:cNvPr>
        <xdr:cNvSpPr txBox="1"/>
      </xdr:nvSpPr>
      <xdr:spPr>
        <a:xfrm>
          <a:off x="390525" y="82486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20</xdr:row>
      <xdr:rowOff>0</xdr:rowOff>
    </xdr:from>
    <xdr:ext cx="65" cy="172227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2700-000007000000}"/>
            </a:ext>
          </a:extLst>
        </xdr:cNvPr>
        <xdr:cNvSpPr txBox="1"/>
      </xdr:nvSpPr>
      <xdr:spPr>
        <a:xfrm>
          <a:off x="390525" y="82486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20</xdr:row>
      <xdr:rowOff>0</xdr:rowOff>
    </xdr:from>
    <xdr:ext cx="65" cy="172227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2700-000008000000}"/>
            </a:ext>
          </a:extLst>
        </xdr:cNvPr>
        <xdr:cNvSpPr txBox="1"/>
      </xdr:nvSpPr>
      <xdr:spPr>
        <a:xfrm>
          <a:off x="390525" y="82486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20</xdr:row>
      <xdr:rowOff>0</xdr:rowOff>
    </xdr:from>
    <xdr:ext cx="65" cy="172227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2700-000009000000}"/>
            </a:ext>
          </a:extLst>
        </xdr:cNvPr>
        <xdr:cNvSpPr txBox="1"/>
      </xdr:nvSpPr>
      <xdr:spPr>
        <a:xfrm>
          <a:off x="390525" y="82486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20</xdr:row>
      <xdr:rowOff>0</xdr:rowOff>
    </xdr:from>
    <xdr:ext cx="65" cy="172227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2700-00000A000000}"/>
            </a:ext>
          </a:extLst>
        </xdr:cNvPr>
        <xdr:cNvSpPr txBox="1"/>
      </xdr:nvSpPr>
      <xdr:spPr>
        <a:xfrm>
          <a:off x="4086225" y="82486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20</xdr:row>
      <xdr:rowOff>0</xdr:rowOff>
    </xdr:from>
    <xdr:ext cx="65" cy="172227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2700-00000B000000}"/>
            </a:ext>
          </a:extLst>
        </xdr:cNvPr>
        <xdr:cNvSpPr txBox="1"/>
      </xdr:nvSpPr>
      <xdr:spPr>
        <a:xfrm>
          <a:off x="4086225" y="82486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20</xdr:row>
      <xdr:rowOff>0</xdr:rowOff>
    </xdr:from>
    <xdr:ext cx="65" cy="172227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2700-00000C000000}"/>
            </a:ext>
          </a:extLst>
        </xdr:cNvPr>
        <xdr:cNvSpPr txBox="1"/>
      </xdr:nvSpPr>
      <xdr:spPr>
        <a:xfrm>
          <a:off x="4086225" y="82486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20</xdr:row>
      <xdr:rowOff>0</xdr:rowOff>
    </xdr:from>
    <xdr:ext cx="65" cy="172227"/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2700-00000D000000}"/>
            </a:ext>
          </a:extLst>
        </xdr:cNvPr>
        <xdr:cNvSpPr txBox="1"/>
      </xdr:nvSpPr>
      <xdr:spPr>
        <a:xfrm>
          <a:off x="4086225" y="82486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20</xdr:row>
      <xdr:rowOff>0</xdr:rowOff>
    </xdr:from>
    <xdr:ext cx="65" cy="172227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2700-00000E000000}"/>
            </a:ext>
          </a:extLst>
        </xdr:cNvPr>
        <xdr:cNvSpPr txBox="1"/>
      </xdr:nvSpPr>
      <xdr:spPr>
        <a:xfrm>
          <a:off x="390525" y="82486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20</xdr:row>
      <xdr:rowOff>0</xdr:rowOff>
    </xdr:from>
    <xdr:ext cx="65" cy="172227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2700-00000F000000}"/>
            </a:ext>
          </a:extLst>
        </xdr:cNvPr>
        <xdr:cNvSpPr txBox="1"/>
      </xdr:nvSpPr>
      <xdr:spPr>
        <a:xfrm>
          <a:off x="390525" y="82486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20</xdr:row>
      <xdr:rowOff>0</xdr:rowOff>
    </xdr:from>
    <xdr:ext cx="65" cy="172227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2700-000010000000}"/>
            </a:ext>
          </a:extLst>
        </xdr:cNvPr>
        <xdr:cNvSpPr txBox="1"/>
      </xdr:nvSpPr>
      <xdr:spPr>
        <a:xfrm>
          <a:off x="390525" y="82486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20</xdr:row>
      <xdr:rowOff>0</xdr:rowOff>
    </xdr:from>
    <xdr:ext cx="65" cy="172227"/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2700-000011000000}"/>
            </a:ext>
          </a:extLst>
        </xdr:cNvPr>
        <xdr:cNvSpPr txBox="1"/>
      </xdr:nvSpPr>
      <xdr:spPr>
        <a:xfrm>
          <a:off x="390525" y="82486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20</xdr:row>
      <xdr:rowOff>0</xdr:rowOff>
    </xdr:from>
    <xdr:ext cx="65" cy="172227"/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2700-000012000000}"/>
            </a:ext>
          </a:extLst>
        </xdr:cNvPr>
        <xdr:cNvSpPr txBox="1"/>
      </xdr:nvSpPr>
      <xdr:spPr>
        <a:xfrm>
          <a:off x="4086225" y="82486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20</xdr:row>
      <xdr:rowOff>0</xdr:rowOff>
    </xdr:from>
    <xdr:ext cx="65" cy="172227"/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00000000-0008-0000-2700-000013000000}"/>
            </a:ext>
          </a:extLst>
        </xdr:cNvPr>
        <xdr:cNvSpPr txBox="1"/>
      </xdr:nvSpPr>
      <xdr:spPr>
        <a:xfrm>
          <a:off x="4086225" y="82486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20</xdr:row>
      <xdr:rowOff>0</xdr:rowOff>
    </xdr:from>
    <xdr:ext cx="65" cy="172227"/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00000000-0008-0000-2700-000014000000}"/>
            </a:ext>
          </a:extLst>
        </xdr:cNvPr>
        <xdr:cNvSpPr txBox="1"/>
      </xdr:nvSpPr>
      <xdr:spPr>
        <a:xfrm>
          <a:off x="4086225" y="82486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20</xdr:row>
      <xdr:rowOff>0</xdr:rowOff>
    </xdr:from>
    <xdr:ext cx="65" cy="172227"/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2700-000015000000}"/>
            </a:ext>
          </a:extLst>
        </xdr:cNvPr>
        <xdr:cNvSpPr txBox="1"/>
      </xdr:nvSpPr>
      <xdr:spPr>
        <a:xfrm>
          <a:off x="4086225" y="82486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drawings/drawing3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0</xdr:colOff>
      <xdr:row>17</xdr:row>
      <xdr:rowOff>0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SpPr txBox="1"/>
      </xdr:nvSpPr>
      <xdr:spPr>
        <a:xfrm>
          <a:off x="8162925" y="52006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5</xdr:col>
      <xdr:colOff>0</xdr:colOff>
      <xdr:row>17</xdr:row>
      <xdr:rowOff>0</xdr:rowOff>
    </xdr:from>
    <xdr:ext cx="65" cy="172227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SpPr txBox="1"/>
      </xdr:nvSpPr>
      <xdr:spPr>
        <a:xfrm>
          <a:off x="8162925" y="52006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5</xdr:col>
      <xdr:colOff>0</xdr:colOff>
      <xdr:row>17</xdr:row>
      <xdr:rowOff>0</xdr:rowOff>
    </xdr:from>
    <xdr:ext cx="65" cy="172227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SpPr txBox="1"/>
      </xdr:nvSpPr>
      <xdr:spPr>
        <a:xfrm>
          <a:off x="8162925" y="52006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5</xdr:col>
      <xdr:colOff>0</xdr:colOff>
      <xdr:row>17</xdr:row>
      <xdr:rowOff>0</xdr:rowOff>
    </xdr:from>
    <xdr:ext cx="65" cy="172227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2900-000005000000}"/>
            </a:ext>
          </a:extLst>
        </xdr:cNvPr>
        <xdr:cNvSpPr txBox="1"/>
      </xdr:nvSpPr>
      <xdr:spPr>
        <a:xfrm>
          <a:off x="8162925" y="52006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17</xdr:row>
      <xdr:rowOff>0</xdr:rowOff>
    </xdr:from>
    <xdr:ext cx="65" cy="172227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2900-000006000000}"/>
            </a:ext>
          </a:extLst>
        </xdr:cNvPr>
        <xdr:cNvSpPr txBox="1"/>
      </xdr:nvSpPr>
      <xdr:spPr>
        <a:xfrm>
          <a:off x="390525" y="52006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17</xdr:row>
      <xdr:rowOff>0</xdr:rowOff>
    </xdr:from>
    <xdr:ext cx="65" cy="172227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2900-000007000000}"/>
            </a:ext>
          </a:extLst>
        </xdr:cNvPr>
        <xdr:cNvSpPr txBox="1"/>
      </xdr:nvSpPr>
      <xdr:spPr>
        <a:xfrm>
          <a:off x="390525" y="52006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17</xdr:row>
      <xdr:rowOff>0</xdr:rowOff>
    </xdr:from>
    <xdr:ext cx="65" cy="172227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2900-000008000000}"/>
            </a:ext>
          </a:extLst>
        </xdr:cNvPr>
        <xdr:cNvSpPr txBox="1"/>
      </xdr:nvSpPr>
      <xdr:spPr>
        <a:xfrm>
          <a:off x="390525" y="52006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17</xdr:row>
      <xdr:rowOff>0</xdr:rowOff>
    </xdr:from>
    <xdr:ext cx="65" cy="172227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2900-000009000000}"/>
            </a:ext>
          </a:extLst>
        </xdr:cNvPr>
        <xdr:cNvSpPr txBox="1"/>
      </xdr:nvSpPr>
      <xdr:spPr>
        <a:xfrm>
          <a:off x="390525" y="52006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17</xdr:row>
      <xdr:rowOff>0</xdr:rowOff>
    </xdr:from>
    <xdr:ext cx="65" cy="172227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2900-00000A000000}"/>
            </a:ext>
          </a:extLst>
        </xdr:cNvPr>
        <xdr:cNvSpPr txBox="1"/>
      </xdr:nvSpPr>
      <xdr:spPr>
        <a:xfrm>
          <a:off x="4086225" y="52006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17</xdr:row>
      <xdr:rowOff>0</xdr:rowOff>
    </xdr:from>
    <xdr:ext cx="65" cy="172227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2900-00000B000000}"/>
            </a:ext>
          </a:extLst>
        </xdr:cNvPr>
        <xdr:cNvSpPr txBox="1"/>
      </xdr:nvSpPr>
      <xdr:spPr>
        <a:xfrm>
          <a:off x="4086225" y="52006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17</xdr:row>
      <xdr:rowOff>0</xdr:rowOff>
    </xdr:from>
    <xdr:ext cx="65" cy="172227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2900-00000C000000}"/>
            </a:ext>
          </a:extLst>
        </xdr:cNvPr>
        <xdr:cNvSpPr txBox="1"/>
      </xdr:nvSpPr>
      <xdr:spPr>
        <a:xfrm>
          <a:off x="4086225" y="52006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17</xdr:row>
      <xdr:rowOff>0</xdr:rowOff>
    </xdr:from>
    <xdr:ext cx="65" cy="172227"/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2900-00000D000000}"/>
            </a:ext>
          </a:extLst>
        </xdr:cNvPr>
        <xdr:cNvSpPr txBox="1"/>
      </xdr:nvSpPr>
      <xdr:spPr>
        <a:xfrm>
          <a:off x="4086225" y="52006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17</xdr:row>
      <xdr:rowOff>0</xdr:rowOff>
    </xdr:from>
    <xdr:ext cx="65" cy="172227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2900-00000E000000}"/>
            </a:ext>
          </a:extLst>
        </xdr:cNvPr>
        <xdr:cNvSpPr txBox="1"/>
      </xdr:nvSpPr>
      <xdr:spPr>
        <a:xfrm>
          <a:off x="390525" y="52006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17</xdr:row>
      <xdr:rowOff>0</xdr:rowOff>
    </xdr:from>
    <xdr:ext cx="65" cy="172227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2900-00000F000000}"/>
            </a:ext>
          </a:extLst>
        </xdr:cNvPr>
        <xdr:cNvSpPr txBox="1"/>
      </xdr:nvSpPr>
      <xdr:spPr>
        <a:xfrm>
          <a:off x="390525" y="52006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17</xdr:row>
      <xdr:rowOff>0</xdr:rowOff>
    </xdr:from>
    <xdr:ext cx="65" cy="172227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2900-000010000000}"/>
            </a:ext>
          </a:extLst>
        </xdr:cNvPr>
        <xdr:cNvSpPr txBox="1"/>
      </xdr:nvSpPr>
      <xdr:spPr>
        <a:xfrm>
          <a:off x="390525" y="52006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17</xdr:row>
      <xdr:rowOff>0</xdr:rowOff>
    </xdr:from>
    <xdr:ext cx="65" cy="172227"/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2900-000011000000}"/>
            </a:ext>
          </a:extLst>
        </xdr:cNvPr>
        <xdr:cNvSpPr txBox="1"/>
      </xdr:nvSpPr>
      <xdr:spPr>
        <a:xfrm>
          <a:off x="390525" y="52006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17</xdr:row>
      <xdr:rowOff>0</xdr:rowOff>
    </xdr:from>
    <xdr:ext cx="65" cy="172227"/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2900-000012000000}"/>
            </a:ext>
          </a:extLst>
        </xdr:cNvPr>
        <xdr:cNvSpPr txBox="1"/>
      </xdr:nvSpPr>
      <xdr:spPr>
        <a:xfrm>
          <a:off x="4086225" y="52006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17</xdr:row>
      <xdr:rowOff>0</xdr:rowOff>
    </xdr:from>
    <xdr:ext cx="65" cy="172227"/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00000000-0008-0000-2900-000013000000}"/>
            </a:ext>
          </a:extLst>
        </xdr:cNvPr>
        <xdr:cNvSpPr txBox="1"/>
      </xdr:nvSpPr>
      <xdr:spPr>
        <a:xfrm>
          <a:off x="4086225" y="52006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17</xdr:row>
      <xdr:rowOff>0</xdr:rowOff>
    </xdr:from>
    <xdr:ext cx="65" cy="172227"/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00000000-0008-0000-2900-000014000000}"/>
            </a:ext>
          </a:extLst>
        </xdr:cNvPr>
        <xdr:cNvSpPr txBox="1"/>
      </xdr:nvSpPr>
      <xdr:spPr>
        <a:xfrm>
          <a:off x="4086225" y="52006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17</xdr:row>
      <xdr:rowOff>0</xdr:rowOff>
    </xdr:from>
    <xdr:ext cx="65" cy="172227"/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2900-000015000000}"/>
            </a:ext>
          </a:extLst>
        </xdr:cNvPr>
        <xdr:cNvSpPr txBox="1"/>
      </xdr:nvSpPr>
      <xdr:spPr>
        <a:xfrm>
          <a:off x="4086225" y="52006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drawings/drawing33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12</xdr:row>
      <xdr:rowOff>0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SpPr txBox="1"/>
      </xdr:nvSpPr>
      <xdr:spPr>
        <a:xfrm>
          <a:off x="7553325" y="5391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4</xdr:col>
      <xdr:colOff>0</xdr:colOff>
      <xdr:row>12</xdr:row>
      <xdr:rowOff>0</xdr:rowOff>
    </xdr:from>
    <xdr:ext cx="65" cy="172227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3100-000003000000}"/>
            </a:ext>
          </a:extLst>
        </xdr:cNvPr>
        <xdr:cNvSpPr txBox="1"/>
      </xdr:nvSpPr>
      <xdr:spPr>
        <a:xfrm>
          <a:off x="7553325" y="5391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4</xdr:col>
      <xdr:colOff>0</xdr:colOff>
      <xdr:row>12</xdr:row>
      <xdr:rowOff>0</xdr:rowOff>
    </xdr:from>
    <xdr:ext cx="65" cy="172227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SpPr txBox="1"/>
      </xdr:nvSpPr>
      <xdr:spPr>
        <a:xfrm>
          <a:off x="7553325" y="5391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4</xdr:col>
      <xdr:colOff>0</xdr:colOff>
      <xdr:row>12</xdr:row>
      <xdr:rowOff>0</xdr:rowOff>
    </xdr:from>
    <xdr:ext cx="65" cy="172227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3100-000005000000}"/>
            </a:ext>
          </a:extLst>
        </xdr:cNvPr>
        <xdr:cNvSpPr txBox="1"/>
      </xdr:nvSpPr>
      <xdr:spPr>
        <a:xfrm>
          <a:off x="7553325" y="5391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2227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3100-000006000000}"/>
            </a:ext>
          </a:extLst>
        </xdr:cNvPr>
        <xdr:cNvSpPr txBox="1"/>
      </xdr:nvSpPr>
      <xdr:spPr>
        <a:xfrm>
          <a:off x="390525" y="5391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2227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3100-000007000000}"/>
            </a:ext>
          </a:extLst>
        </xdr:cNvPr>
        <xdr:cNvSpPr txBox="1"/>
      </xdr:nvSpPr>
      <xdr:spPr>
        <a:xfrm>
          <a:off x="390525" y="5391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2227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3100-000008000000}"/>
            </a:ext>
          </a:extLst>
        </xdr:cNvPr>
        <xdr:cNvSpPr txBox="1"/>
      </xdr:nvSpPr>
      <xdr:spPr>
        <a:xfrm>
          <a:off x="390525" y="5391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2227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3100-000009000000}"/>
            </a:ext>
          </a:extLst>
        </xdr:cNvPr>
        <xdr:cNvSpPr txBox="1"/>
      </xdr:nvSpPr>
      <xdr:spPr>
        <a:xfrm>
          <a:off x="390525" y="5391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12</xdr:row>
      <xdr:rowOff>0</xdr:rowOff>
    </xdr:from>
    <xdr:ext cx="65" cy="172227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3100-00000A000000}"/>
            </a:ext>
          </a:extLst>
        </xdr:cNvPr>
        <xdr:cNvSpPr txBox="1"/>
      </xdr:nvSpPr>
      <xdr:spPr>
        <a:xfrm>
          <a:off x="4086225" y="5391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12</xdr:row>
      <xdr:rowOff>0</xdr:rowOff>
    </xdr:from>
    <xdr:ext cx="65" cy="172227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3100-00000B000000}"/>
            </a:ext>
          </a:extLst>
        </xdr:cNvPr>
        <xdr:cNvSpPr txBox="1"/>
      </xdr:nvSpPr>
      <xdr:spPr>
        <a:xfrm>
          <a:off x="4086225" y="5391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12</xdr:row>
      <xdr:rowOff>0</xdr:rowOff>
    </xdr:from>
    <xdr:ext cx="65" cy="172227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3100-00000C000000}"/>
            </a:ext>
          </a:extLst>
        </xdr:cNvPr>
        <xdr:cNvSpPr txBox="1"/>
      </xdr:nvSpPr>
      <xdr:spPr>
        <a:xfrm>
          <a:off x="4086225" y="5391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12</xdr:row>
      <xdr:rowOff>0</xdr:rowOff>
    </xdr:from>
    <xdr:ext cx="65" cy="172227"/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3100-00000D000000}"/>
            </a:ext>
          </a:extLst>
        </xdr:cNvPr>
        <xdr:cNvSpPr txBox="1"/>
      </xdr:nvSpPr>
      <xdr:spPr>
        <a:xfrm>
          <a:off x="4086225" y="5391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2227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3100-00000E000000}"/>
            </a:ext>
          </a:extLst>
        </xdr:cNvPr>
        <xdr:cNvSpPr txBox="1"/>
      </xdr:nvSpPr>
      <xdr:spPr>
        <a:xfrm>
          <a:off x="390525" y="5391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2227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3100-00000F000000}"/>
            </a:ext>
          </a:extLst>
        </xdr:cNvPr>
        <xdr:cNvSpPr txBox="1"/>
      </xdr:nvSpPr>
      <xdr:spPr>
        <a:xfrm>
          <a:off x="390525" y="5391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2227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3100-000010000000}"/>
            </a:ext>
          </a:extLst>
        </xdr:cNvPr>
        <xdr:cNvSpPr txBox="1"/>
      </xdr:nvSpPr>
      <xdr:spPr>
        <a:xfrm>
          <a:off x="390525" y="5391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2227"/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3100-000011000000}"/>
            </a:ext>
          </a:extLst>
        </xdr:cNvPr>
        <xdr:cNvSpPr txBox="1"/>
      </xdr:nvSpPr>
      <xdr:spPr>
        <a:xfrm>
          <a:off x="390525" y="5391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12</xdr:row>
      <xdr:rowOff>0</xdr:rowOff>
    </xdr:from>
    <xdr:ext cx="65" cy="172227"/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3100-000012000000}"/>
            </a:ext>
          </a:extLst>
        </xdr:cNvPr>
        <xdr:cNvSpPr txBox="1"/>
      </xdr:nvSpPr>
      <xdr:spPr>
        <a:xfrm>
          <a:off x="4086225" y="5391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12</xdr:row>
      <xdr:rowOff>0</xdr:rowOff>
    </xdr:from>
    <xdr:ext cx="65" cy="172227"/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00000000-0008-0000-3100-000013000000}"/>
            </a:ext>
          </a:extLst>
        </xdr:cNvPr>
        <xdr:cNvSpPr txBox="1"/>
      </xdr:nvSpPr>
      <xdr:spPr>
        <a:xfrm>
          <a:off x="4086225" y="5391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12</xdr:row>
      <xdr:rowOff>0</xdr:rowOff>
    </xdr:from>
    <xdr:ext cx="65" cy="172227"/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00000000-0008-0000-3100-000014000000}"/>
            </a:ext>
          </a:extLst>
        </xdr:cNvPr>
        <xdr:cNvSpPr txBox="1"/>
      </xdr:nvSpPr>
      <xdr:spPr>
        <a:xfrm>
          <a:off x="4086225" y="5391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12</xdr:row>
      <xdr:rowOff>0</xdr:rowOff>
    </xdr:from>
    <xdr:ext cx="65" cy="172227"/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3100-000015000000}"/>
            </a:ext>
          </a:extLst>
        </xdr:cNvPr>
        <xdr:cNvSpPr txBox="1"/>
      </xdr:nvSpPr>
      <xdr:spPr>
        <a:xfrm>
          <a:off x="4086225" y="5391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4</xdr:col>
      <xdr:colOff>0</xdr:colOff>
      <xdr:row>12</xdr:row>
      <xdr:rowOff>0</xdr:rowOff>
    </xdr:from>
    <xdr:ext cx="65" cy="172227"/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ED2ADFB7-3A1A-4252-AC9C-AC6FC76B6902}"/>
            </a:ext>
          </a:extLst>
        </xdr:cNvPr>
        <xdr:cNvSpPr txBox="1"/>
      </xdr:nvSpPr>
      <xdr:spPr>
        <a:xfrm>
          <a:off x="777240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4</xdr:col>
      <xdr:colOff>0</xdr:colOff>
      <xdr:row>12</xdr:row>
      <xdr:rowOff>0</xdr:rowOff>
    </xdr:from>
    <xdr:ext cx="65" cy="172227"/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9B1602AC-33DA-43A9-89F7-8660B743B0D3}"/>
            </a:ext>
          </a:extLst>
        </xdr:cNvPr>
        <xdr:cNvSpPr txBox="1"/>
      </xdr:nvSpPr>
      <xdr:spPr>
        <a:xfrm>
          <a:off x="777240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4</xdr:col>
      <xdr:colOff>0</xdr:colOff>
      <xdr:row>12</xdr:row>
      <xdr:rowOff>0</xdr:rowOff>
    </xdr:from>
    <xdr:ext cx="65" cy="172227"/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8B5DF6E6-DD05-4859-BC02-C7161AE2FF67}"/>
            </a:ext>
          </a:extLst>
        </xdr:cNvPr>
        <xdr:cNvSpPr txBox="1"/>
      </xdr:nvSpPr>
      <xdr:spPr>
        <a:xfrm>
          <a:off x="777240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4</xdr:col>
      <xdr:colOff>0</xdr:colOff>
      <xdr:row>12</xdr:row>
      <xdr:rowOff>0</xdr:rowOff>
    </xdr:from>
    <xdr:ext cx="65" cy="172227"/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74F31FBC-BD55-406E-AB36-294C614801DD}"/>
            </a:ext>
          </a:extLst>
        </xdr:cNvPr>
        <xdr:cNvSpPr txBox="1"/>
      </xdr:nvSpPr>
      <xdr:spPr>
        <a:xfrm>
          <a:off x="777240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2227"/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BEB5C8F7-8769-4079-816E-EF54BF16F4D3}"/>
            </a:ext>
          </a:extLst>
        </xdr:cNvPr>
        <xdr:cNvSpPr txBox="1"/>
      </xdr:nvSpPr>
      <xdr:spPr>
        <a:xfrm>
          <a:off x="40386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2227"/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119E7549-5151-4F0E-87D0-F09D168CC622}"/>
            </a:ext>
          </a:extLst>
        </xdr:cNvPr>
        <xdr:cNvSpPr txBox="1"/>
      </xdr:nvSpPr>
      <xdr:spPr>
        <a:xfrm>
          <a:off x="40386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2227"/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6A3B3A69-ABDC-4D25-860B-618CAA38CBF6}"/>
            </a:ext>
          </a:extLst>
        </xdr:cNvPr>
        <xdr:cNvSpPr txBox="1"/>
      </xdr:nvSpPr>
      <xdr:spPr>
        <a:xfrm>
          <a:off x="40386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2227"/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05E96B9E-A3C9-4AB9-88ED-A77CD09CCA84}"/>
            </a:ext>
          </a:extLst>
        </xdr:cNvPr>
        <xdr:cNvSpPr txBox="1"/>
      </xdr:nvSpPr>
      <xdr:spPr>
        <a:xfrm>
          <a:off x="40386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12</xdr:row>
      <xdr:rowOff>0</xdr:rowOff>
    </xdr:from>
    <xdr:ext cx="65" cy="172227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21CAAA59-ED6E-439C-B652-A34EE76AA704}"/>
            </a:ext>
          </a:extLst>
        </xdr:cNvPr>
        <xdr:cNvSpPr txBox="1"/>
      </xdr:nvSpPr>
      <xdr:spPr>
        <a:xfrm>
          <a:off x="420624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12</xdr:row>
      <xdr:rowOff>0</xdr:rowOff>
    </xdr:from>
    <xdr:ext cx="65" cy="172227"/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C9E3DF7A-6A16-4847-BF94-229C40F55FD3}"/>
            </a:ext>
          </a:extLst>
        </xdr:cNvPr>
        <xdr:cNvSpPr txBox="1"/>
      </xdr:nvSpPr>
      <xdr:spPr>
        <a:xfrm>
          <a:off x="420624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12</xdr:row>
      <xdr:rowOff>0</xdr:rowOff>
    </xdr:from>
    <xdr:ext cx="65" cy="172227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650441FF-2E41-407F-890A-D95A89D1BEEF}"/>
            </a:ext>
          </a:extLst>
        </xdr:cNvPr>
        <xdr:cNvSpPr txBox="1"/>
      </xdr:nvSpPr>
      <xdr:spPr>
        <a:xfrm>
          <a:off x="420624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12</xdr:row>
      <xdr:rowOff>0</xdr:rowOff>
    </xdr:from>
    <xdr:ext cx="65" cy="172227"/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D41A576E-0C2B-4D60-8AB0-E898DCF26DF4}"/>
            </a:ext>
          </a:extLst>
        </xdr:cNvPr>
        <xdr:cNvSpPr txBox="1"/>
      </xdr:nvSpPr>
      <xdr:spPr>
        <a:xfrm>
          <a:off x="420624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2227"/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8E038092-990B-4B4B-9F9D-B99C913D62D8}"/>
            </a:ext>
          </a:extLst>
        </xdr:cNvPr>
        <xdr:cNvSpPr txBox="1"/>
      </xdr:nvSpPr>
      <xdr:spPr>
        <a:xfrm>
          <a:off x="40386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2227"/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55D9AB39-7348-462F-9D88-AA04B0F173EE}"/>
            </a:ext>
          </a:extLst>
        </xdr:cNvPr>
        <xdr:cNvSpPr txBox="1"/>
      </xdr:nvSpPr>
      <xdr:spPr>
        <a:xfrm>
          <a:off x="40386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2227"/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F689EC7E-64E8-42E9-A1F4-7400BD12F7E6}"/>
            </a:ext>
          </a:extLst>
        </xdr:cNvPr>
        <xdr:cNvSpPr txBox="1"/>
      </xdr:nvSpPr>
      <xdr:spPr>
        <a:xfrm>
          <a:off x="40386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2227"/>
    <xdr:sp macro="" textlink="">
      <xdr:nvSpPr>
        <xdr:cNvPr id="37" name="TextBox 36">
          <a:extLst>
            <a:ext uri="{FF2B5EF4-FFF2-40B4-BE49-F238E27FC236}">
              <a16:creationId xmlns:a16="http://schemas.microsoft.com/office/drawing/2014/main" id="{5CDE23E8-0358-4AC9-B6DD-E427C82DE13C}"/>
            </a:ext>
          </a:extLst>
        </xdr:cNvPr>
        <xdr:cNvSpPr txBox="1"/>
      </xdr:nvSpPr>
      <xdr:spPr>
        <a:xfrm>
          <a:off x="40386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12</xdr:row>
      <xdr:rowOff>0</xdr:rowOff>
    </xdr:from>
    <xdr:ext cx="65" cy="172227"/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A8F2CFF5-B8D0-47B8-B7AB-506155364C4D}"/>
            </a:ext>
          </a:extLst>
        </xdr:cNvPr>
        <xdr:cNvSpPr txBox="1"/>
      </xdr:nvSpPr>
      <xdr:spPr>
        <a:xfrm>
          <a:off x="420624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12</xdr:row>
      <xdr:rowOff>0</xdr:rowOff>
    </xdr:from>
    <xdr:ext cx="65" cy="172227"/>
    <xdr:sp macro="" textlink="">
      <xdr:nvSpPr>
        <xdr:cNvPr id="39" name="TextBox 38">
          <a:extLst>
            <a:ext uri="{FF2B5EF4-FFF2-40B4-BE49-F238E27FC236}">
              <a16:creationId xmlns:a16="http://schemas.microsoft.com/office/drawing/2014/main" id="{972A5022-DEBB-4CEC-9364-5BECC824F6CE}"/>
            </a:ext>
          </a:extLst>
        </xdr:cNvPr>
        <xdr:cNvSpPr txBox="1"/>
      </xdr:nvSpPr>
      <xdr:spPr>
        <a:xfrm>
          <a:off x="420624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12</xdr:row>
      <xdr:rowOff>0</xdr:rowOff>
    </xdr:from>
    <xdr:ext cx="65" cy="172227"/>
    <xdr:sp macro="" textlink="">
      <xdr:nvSpPr>
        <xdr:cNvPr id="40" name="TextBox 39">
          <a:extLst>
            <a:ext uri="{FF2B5EF4-FFF2-40B4-BE49-F238E27FC236}">
              <a16:creationId xmlns:a16="http://schemas.microsoft.com/office/drawing/2014/main" id="{8AB90466-3D31-4E07-83E6-C8F36C8CC305}"/>
            </a:ext>
          </a:extLst>
        </xdr:cNvPr>
        <xdr:cNvSpPr txBox="1"/>
      </xdr:nvSpPr>
      <xdr:spPr>
        <a:xfrm>
          <a:off x="420624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12</xdr:row>
      <xdr:rowOff>0</xdr:rowOff>
    </xdr:from>
    <xdr:ext cx="65" cy="172227"/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E61F85EF-E557-4653-950C-DE6B9A7AB110}"/>
            </a:ext>
          </a:extLst>
        </xdr:cNvPr>
        <xdr:cNvSpPr txBox="1"/>
      </xdr:nvSpPr>
      <xdr:spPr>
        <a:xfrm>
          <a:off x="420624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drawings/drawing3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0</xdr:colOff>
      <xdr:row>12</xdr:row>
      <xdr:rowOff>0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SpPr txBox="1"/>
      </xdr:nvSpPr>
      <xdr:spPr>
        <a:xfrm>
          <a:off x="8162925" y="40576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5</xdr:col>
      <xdr:colOff>0</xdr:colOff>
      <xdr:row>12</xdr:row>
      <xdr:rowOff>0</xdr:rowOff>
    </xdr:from>
    <xdr:ext cx="65" cy="172227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3200-000003000000}"/>
            </a:ext>
          </a:extLst>
        </xdr:cNvPr>
        <xdr:cNvSpPr txBox="1"/>
      </xdr:nvSpPr>
      <xdr:spPr>
        <a:xfrm>
          <a:off x="8162925" y="40576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5</xdr:col>
      <xdr:colOff>0</xdr:colOff>
      <xdr:row>12</xdr:row>
      <xdr:rowOff>0</xdr:rowOff>
    </xdr:from>
    <xdr:ext cx="65" cy="172227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3200-000004000000}"/>
            </a:ext>
          </a:extLst>
        </xdr:cNvPr>
        <xdr:cNvSpPr txBox="1"/>
      </xdr:nvSpPr>
      <xdr:spPr>
        <a:xfrm>
          <a:off x="8162925" y="40576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5</xdr:col>
      <xdr:colOff>0</xdr:colOff>
      <xdr:row>12</xdr:row>
      <xdr:rowOff>0</xdr:rowOff>
    </xdr:from>
    <xdr:ext cx="65" cy="172227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3200-000005000000}"/>
            </a:ext>
          </a:extLst>
        </xdr:cNvPr>
        <xdr:cNvSpPr txBox="1"/>
      </xdr:nvSpPr>
      <xdr:spPr>
        <a:xfrm>
          <a:off x="8162925" y="40576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2227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3200-000006000000}"/>
            </a:ext>
          </a:extLst>
        </xdr:cNvPr>
        <xdr:cNvSpPr txBox="1"/>
      </xdr:nvSpPr>
      <xdr:spPr>
        <a:xfrm>
          <a:off x="390525" y="40576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2227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3200-000007000000}"/>
            </a:ext>
          </a:extLst>
        </xdr:cNvPr>
        <xdr:cNvSpPr txBox="1"/>
      </xdr:nvSpPr>
      <xdr:spPr>
        <a:xfrm>
          <a:off x="390525" y="40576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2227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3200-000008000000}"/>
            </a:ext>
          </a:extLst>
        </xdr:cNvPr>
        <xdr:cNvSpPr txBox="1"/>
      </xdr:nvSpPr>
      <xdr:spPr>
        <a:xfrm>
          <a:off x="390525" y="40576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2227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3200-000009000000}"/>
            </a:ext>
          </a:extLst>
        </xdr:cNvPr>
        <xdr:cNvSpPr txBox="1"/>
      </xdr:nvSpPr>
      <xdr:spPr>
        <a:xfrm>
          <a:off x="390525" y="40576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12</xdr:row>
      <xdr:rowOff>0</xdr:rowOff>
    </xdr:from>
    <xdr:ext cx="65" cy="172227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3200-00000A000000}"/>
            </a:ext>
          </a:extLst>
        </xdr:cNvPr>
        <xdr:cNvSpPr txBox="1"/>
      </xdr:nvSpPr>
      <xdr:spPr>
        <a:xfrm>
          <a:off x="4086225" y="40576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12</xdr:row>
      <xdr:rowOff>0</xdr:rowOff>
    </xdr:from>
    <xdr:ext cx="65" cy="172227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3200-00000B000000}"/>
            </a:ext>
          </a:extLst>
        </xdr:cNvPr>
        <xdr:cNvSpPr txBox="1"/>
      </xdr:nvSpPr>
      <xdr:spPr>
        <a:xfrm>
          <a:off x="4086225" y="40576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12</xdr:row>
      <xdr:rowOff>0</xdr:rowOff>
    </xdr:from>
    <xdr:ext cx="65" cy="172227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3200-00000C000000}"/>
            </a:ext>
          </a:extLst>
        </xdr:cNvPr>
        <xdr:cNvSpPr txBox="1"/>
      </xdr:nvSpPr>
      <xdr:spPr>
        <a:xfrm>
          <a:off x="4086225" y="40576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12</xdr:row>
      <xdr:rowOff>0</xdr:rowOff>
    </xdr:from>
    <xdr:ext cx="65" cy="172227"/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3200-00000D000000}"/>
            </a:ext>
          </a:extLst>
        </xdr:cNvPr>
        <xdr:cNvSpPr txBox="1"/>
      </xdr:nvSpPr>
      <xdr:spPr>
        <a:xfrm>
          <a:off x="4086225" y="40576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2227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3200-00000E000000}"/>
            </a:ext>
          </a:extLst>
        </xdr:cNvPr>
        <xdr:cNvSpPr txBox="1"/>
      </xdr:nvSpPr>
      <xdr:spPr>
        <a:xfrm>
          <a:off x="390525" y="40576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2227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3200-00000F000000}"/>
            </a:ext>
          </a:extLst>
        </xdr:cNvPr>
        <xdr:cNvSpPr txBox="1"/>
      </xdr:nvSpPr>
      <xdr:spPr>
        <a:xfrm>
          <a:off x="390525" y="40576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2227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3200-000010000000}"/>
            </a:ext>
          </a:extLst>
        </xdr:cNvPr>
        <xdr:cNvSpPr txBox="1"/>
      </xdr:nvSpPr>
      <xdr:spPr>
        <a:xfrm>
          <a:off x="390525" y="40576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2227"/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3200-000011000000}"/>
            </a:ext>
          </a:extLst>
        </xdr:cNvPr>
        <xdr:cNvSpPr txBox="1"/>
      </xdr:nvSpPr>
      <xdr:spPr>
        <a:xfrm>
          <a:off x="390525" y="40576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12</xdr:row>
      <xdr:rowOff>0</xdr:rowOff>
    </xdr:from>
    <xdr:ext cx="65" cy="172227"/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3200-000012000000}"/>
            </a:ext>
          </a:extLst>
        </xdr:cNvPr>
        <xdr:cNvSpPr txBox="1"/>
      </xdr:nvSpPr>
      <xdr:spPr>
        <a:xfrm>
          <a:off x="4086225" y="40576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12</xdr:row>
      <xdr:rowOff>0</xdr:rowOff>
    </xdr:from>
    <xdr:ext cx="65" cy="172227"/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00000000-0008-0000-3200-000013000000}"/>
            </a:ext>
          </a:extLst>
        </xdr:cNvPr>
        <xdr:cNvSpPr txBox="1"/>
      </xdr:nvSpPr>
      <xdr:spPr>
        <a:xfrm>
          <a:off x="4086225" y="40576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12</xdr:row>
      <xdr:rowOff>0</xdr:rowOff>
    </xdr:from>
    <xdr:ext cx="65" cy="172227"/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00000000-0008-0000-3200-000014000000}"/>
            </a:ext>
          </a:extLst>
        </xdr:cNvPr>
        <xdr:cNvSpPr txBox="1"/>
      </xdr:nvSpPr>
      <xdr:spPr>
        <a:xfrm>
          <a:off x="4086225" y="40576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12</xdr:row>
      <xdr:rowOff>0</xdr:rowOff>
    </xdr:from>
    <xdr:ext cx="65" cy="172227"/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3200-000015000000}"/>
            </a:ext>
          </a:extLst>
        </xdr:cNvPr>
        <xdr:cNvSpPr txBox="1"/>
      </xdr:nvSpPr>
      <xdr:spPr>
        <a:xfrm>
          <a:off x="4086225" y="40576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2227"/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3FF5AA0E-404F-4B24-95A5-6CBF2D0D892E}"/>
            </a:ext>
          </a:extLst>
        </xdr:cNvPr>
        <xdr:cNvSpPr txBox="1"/>
      </xdr:nvSpPr>
      <xdr:spPr>
        <a:xfrm>
          <a:off x="40386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2227"/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FA77F219-573A-4821-B4D9-14A08FBA00A6}"/>
            </a:ext>
          </a:extLst>
        </xdr:cNvPr>
        <xdr:cNvSpPr txBox="1"/>
      </xdr:nvSpPr>
      <xdr:spPr>
        <a:xfrm>
          <a:off x="40386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2227"/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4893DE63-0523-4285-A6F5-94CFDB035506}"/>
            </a:ext>
          </a:extLst>
        </xdr:cNvPr>
        <xdr:cNvSpPr txBox="1"/>
      </xdr:nvSpPr>
      <xdr:spPr>
        <a:xfrm>
          <a:off x="40386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2227"/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34F383BE-BFC9-4239-8AC2-0164EA0F7968}"/>
            </a:ext>
          </a:extLst>
        </xdr:cNvPr>
        <xdr:cNvSpPr txBox="1"/>
      </xdr:nvSpPr>
      <xdr:spPr>
        <a:xfrm>
          <a:off x="40386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12</xdr:row>
      <xdr:rowOff>0</xdr:rowOff>
    </xdr:from>
    <xdr:ext cx="65" cy="172227"/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AE0A6B16-2CEC-49EF-B732-B73B4B933B34}"/>
            </a:ext>
          </a:extLst>
        </xdr:cNvPr>
        <xdr:cNvSpPr txBox="1"/>
      </xdr:nvSpPr>
      <xdr:spPr>
        <a:xfrm>
          <a:off x="420624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12</xdr:row>
      <xdr:rowOff>0</xdr:rowOff>
    </xdr:from>
    <xdr:ext cx="65" cy="172227"/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12303FBF-1356-49BB-8ED4-616CBCCDE6A9}"/>
            </a:ext>
          </a:extLst>
        </xdr:cNvPr>
        <xdr:cNvSpPr txBox="1"/>
      </xdr:nvSpPr>
      <xdr:spPr>
        <a:xfrm>
          <a:off x="420624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12</xdr:row>
      <xdr:rowOff>0</xdr:rowOff>
    </xdr:from>
    <xdr:ext cx="65" cy="172227"/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AEFFF9F2-5486-4EF5-9777-BAAC929AFA1F}"/>
            </a:ext>
          </a:extLst>
        </xdr:cNvPr>
        <xdr:cNvSpPr txBox="1"/>
      </xdr:nvSpPr>
      <xdr:spPr>
        <a:xfrm>
          <a:off x="420624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12</xdr:row>
      <xdr:rowOff>0</xdr:rowOff>
    </xdr:from>
    <xdr:ext cx="65" cy="172227"/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689E5973-7A1E-4229-9346-714D580C098A}"/>
            </a:ext>
          </a:extLst>
        </xdr:cNvPr>
        <xdr:cNvSpPr txBox="1"/>
      </xdr:nvSpPr>
      <xdr:spPr>
        <a:xfrm>
          <a:off x="420624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2227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9D64DED3-7508-4749-B5CE-7584C439B1C4}"/>
            </a:ext>
          </a:extLst>
        </xdr:cNvPr>
        <xdr:cNvSpPr txBox="1"/>
      </xdr:nvSpPr>
      <xdr:spPr>
        <a:xfrm>
          <a:off x="40386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2227"/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079E2686-18DD-4942-96D2-4BBE345C5E76}"/>
            </a:ext>
          </a:extLst>
        </xdr:cNvPr>
        <xdr:cNvSpPr txBox="1"/>
      </xdr:nvSpPr>
      <xdr:spPr>
        <a:xfrm>
          <a:off x="40386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2227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35AB03B9-0D9C-4460-8195-45B3C87D804A}"/>
            </a:ext>
          </a:extLst>
        </xdr:cNvPr>
        <xdr:cNvSpPr txBox="1"/>
      </xdr:nvSpPr>
      <xdr:spPr>
        <a:xfrm>
          <a:off x="40386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2227"/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32757468-B328-4312-8752-48C11A4EB183}"/>
            </a:ext>
          </a:extLst>
        </xdr:cNvPr>
        <xdr:cNvSpPr txBox="1"/>
      </xdr:nvSpPr>
      <xdr:spPr>
        <a:xfrm>
          <a:off x="40386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12</xdr:row>
      <xdr:rowOff>0</xdr:rowOff>
    </xdr:from>
    <xdr:ext cx="65" cy="172227"/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8AACBDD3-0459-46AD-A17E-16479672151F}"/>
            </a:ext>
          </a:extLst>
        </xdr:cNvPr>
        <xdr:cNvSpPr txBox="1"/>
      </xdr:nvSpPr>
      <xdr:spPr>
        <a:xfrm>
          <a:off x="420624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12</xdr:row>
      <xdr:rowOff>0</xdr:rowOff>
    </xdr:from>
    <xdr:ext cx="65" cy="172227"/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081CFF88-0482-4E39-B27C-E2F6F7954AF1}"/>
            </a:ext>
          </a:extLst>
        </xdr:cNvPr>
        <xdr:cNvSpPr txBox="1"/>
      </xdr:nvSpPr>
      <xdr:spPr>
        <a:xfrm>
          <a:off x="420624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12</xdr:row>
      <xdr:rowOff>0</xdr:rowOff>
    </xdr:from>
    <xdr:ext cx="65" cy="172227"/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550E64F8-E70A-420F-B56A-E15A1A905477}"/>
            </a:ext>
          </a:extLst>
        </xdr:cNvPr>
        <xdr:cNvSpPr txBox="1"/>
      </xdr:nvSpPr>
      <xdr:spPr>
        <a:xfrm>
          <a:off x="420624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12</xdr:row>
      <xdr:rowOff>0</xdr:rowOff>
    </xdr:from>
    <xdr:ext cx="65" cy="172227"/>
    <xdr:sp macro="" textlink="">
      <xdr:nvSpPr>
        <xdr:cNvPr id="37" name="TextBox 36">
          <a:extLst>
            <a:ext uri="{FF2B5EF4-FFF2-40B4-BE49-F238E27FC236}">
              <a16:creationId xmlns:a16="http://schemas.microsoft.com/office/drawing/2014/main" id="{BD669FF9-A0AB-476B-AE43-843744374921}"/>
            </a:ext>
          </a:extLst>
        </xdr:cNvPr>
        <xdr:cNvSpPr txBox="1"/>
      </xdr:nvSpPr>
      <xdr:spPr>
        <a:xfrm>
          <a:off x="4206240" y="27736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drawings/drawing35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0</xdr:colOff>
      <xdr:row>12</xdr:row>
      <xdr:rowOff>0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B5EABBD-941D-4A63-ADE9-1624098D91BB}"/>
            </a:ext>
          </a:extLst>
        </xdr:cNvPr>
        <xdr:cNvSpPr txBox="1"/>
      </xdr:nvSpPr>
      <xdr:spPr>
        <a:xfrm>
          <a:off x="8397240" y="278892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5</xdr:col>
      <xdr:colOff>0</xdr:colOff>
      <xdr:row>12</xdr:row>
      <xdr:rowOff>0</xdr:rowOff>
    </xdr:from>
    <xdr:ext cx="65" cy="172227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B75C84B9-8E02-4D69-A9E8-EB85067367D7}"/>
            </a:ext>
          </a:extLst>
        </xdr:cNvPr>
        <xdr:cNvSpPr txBox="1"/>
      </xdr:nvSpPr>
      <xdr:spPr>
        <a:xfrm>
          <a:off x="8397240" y="278892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5</xdr:col>
      <xdr:colOff>0</xdr:colOff>
      <xdr:row>12</xdr:row>
      <xdr:rowOff>0</xdr:rowOff>
    </xdr:from>
    <xdr:ext cx="65" cy="172227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76F306CD-B505-4E6A-9632-2E0301DCF48F}"/>
            </a:ext>
          </a:extLst>
        </xdr:cNvPr>
        <xdr:cNvSpPr txBox="1"/>
      </xdr:nvSpPr>
      <xdr:spPr>
        <a:xfrm>
          <a:off x="8397240" y="278892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5</xdr:col>
      <xdr:colOff>0</xdr:colOff>
      <xdr:row>12</xdr:row>
      <xdr:rowOff>0</xdr:rowOff>
    </xdr:from>
    <xdr:ext cx="65" cy="172227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B2DBB860-F5E2-4891-98F6-9FB66E2FF9D0}"/>
            </a:ext>
          </a:extLst>
        </xdr:cNvPr>
        <xdr:cNvSpPr txBox="1"/>
      </xdr:nvSpPr>
      <xdr:spPr>
        <a:xfrm>
          <a:off x="8397240" y="278892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2227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F79BC07-5F02-4618-B51F-0985ECD124CC}"/>
            </a:ext>
          </a:extLst>
        </xdr:cNvPr>
        <xdr:cNvSpPr txBox="1"/>
      </xdr:nvSpPr>
      <xdr:spPr>
        <a:xfrm>
          <a:off x="403860" y="278892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2227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98778282-54F2-46A6-BE93-9FACD6322C1E}"/>
            </a:ext>
          </a:extLst>
        </xdr:cNvPr>
        <xdr:cNvSpPr txBox="1"/>
      </xdr:nvSpPr>
      <xdr:spPr>
        <a:xfrm>
          <a:off x="403860" y="278892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2227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73B67B0D-097E-412B-86EC-99693FDF1CC8}"/>
            </a:ext>
          </a:extLst>
        </xdr:cNvPr>
        <xdr:cNvSpPr txBox="1"/>
      </xdr:nvSpPr>
      <xdr:spPr>
        <a:xfrm>
          <a:off x="403860" y="278892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2227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E410E47C-B76D-450B-B4B6-B3C84D231550}"/>
            </a:ext>
          </a:extLst>
        </xdr:cNvPr>
        <xdr:cNvSpPr txBox="1"/>
      </xdr:nvSpPr>
      <xdr:spPr>
        <a:xfrm>
          <a:off x="403860" y="278892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12</xdr:row>
      <xdr:rowOff>0</xdr:rowOff>
    </xdr:from>
    <xdr:ext cx="65" cy="172227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3EA548E0-6BD7-4538-A132-B863973263E7}"/>
            </a:ext>
          </a:extLst>
        </xdr:cNvPr>
        <xdr:cNvSpPr txBox="1"/>
      </xdr:nvSpPr>
      <xdr:spPr>
        <a:xfrm>
          <a:off x="4206240" y="278892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12</xdr:row>
      <xdr:rowOff>0</xdr:rowOff>
    </xdr:from>
    <xdr:ext cx="65" cy="172227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3C662C65-420A-4210-A6DD-7E7714F22115}"/>
            </a:ext>
          </a:extLst>
        </xdr:cNvPr>
        <xdr:cNvSpPr txBox="1"/>
      </xdr:nvSpPr>
      <xdr:spPr>
        <a:xfrm>
          <a:off x="4206240" y="278892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12</xdr:row>
      <xdr:rowOff>0</xdr:rowOff>
    </xdr:from>
    <xdr:ext cx="65" cy="172227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F0CD1FD-9E63-4518-BDB7-E96D0109DB08}"/>
            </a:ext>
          </a:extLst>
        </xdr:cNvPr>
        <xdr:cNvSpPr txBox="1"/>
      </xdr:nvSpPr>
      <xdr:spPr>
        <a:xfrm>
          <a:off x="4206240" y="278892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12</xdr:row>
      <xdr:rowOff>0</xdr:rowOff>
    </xdr:from>
    <xdr:ext cx="65" cy="172227"/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A320E1BF-116C-42C8-8573-9EE71ED46F5F}"/>
            </a:ext>
          </a:extLst>
        </xdr:cNvPr>
        <xdr:cNvSpPr txBox="1"/>
      </xdr:nvSpPr>
      <xdr:spPr>
        <a:xfrm>
          <a:off x="4206240" y="278892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2227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1C957FD-F118-461E-A9C2-06AAD1FDDE09}"/>
            </a:ext>
          </a:extLst>
        </xdr:cNvPr>
        <xdr:cNvSpPr txBox="1"/>
      </xdr:nvSpPr>
      <xdr:spPr>
        <a:xfrm>
          <a:off x="403860" y="278892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2227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4C29D752-DAC9-401E-A80E-D22E26C3E4BD}"/>
            </a:ext>
          </a:extLst>
        </xdr:cNvPr>
        <xdr:cNvSpPr txBox="1"/>
      </xdr:nvSpPr>
      <xdr:spPr>
        <a:xfrm>
          <a:off x="403860" y="278892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2227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FC5325C5-5463-4FC3-B66C-E3940FEBAE05}"/>
            </a:ext>
          </a:extLst>
        </xdr:cNvPr>
        <xdr:cNvSpPr txBox="1"/>
      </xdr:nvSpPr>
      <xdr:spPr>
        <a:xfrm>
          <a:off x="403860" y="278892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2227"/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C6BF7E39-DC8F-4D07-B97C-0605C669A31C}"/>
            </a:ext>
          </a:extLst>
        </xdr:cNvPr>
        <xdr:cNvSpPr txBox="1"/>
      </xdr:nvSpPr>
      <xdr:spPr>
        <a:xfrm>
          <a:off x="403860" y="278892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12</xdr:row>
      <xdr:rowOff>0</xdr:rowOff>
    </xdr:from>
    <xdr:ext cx="65" cy="172227"/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96265674-2838-47CD-91F5-120C7B1C91CF}"/>
            </a:ext>
          </a:extLst>
        </xdr:cNvPr>
        <xdr:cNvSpPr txBox="1"/>
      </xdr:nvSpPr>
      <xdr:spPr>
        <a:xfrm>
          <a:off x="4206240" y="278892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12</xdr:row>
      <xdr:rowOff>0</xdr:rowOff>
    </xdr:from>
    <xdr:ext cx="65" cy="172227"/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72B58CD2-3EF1-47D1-BF83-C2DBAB2DD4C7}"/>
            </a:ext>
          </a:extLst>
        </xdr:cNvPr>
        <xdr:cNvSpPr txBox="1"/>
      </xdr:nvSpPr>
      <xdr:spPr>
        <a:xfrm>
          <a:off x="4206240" y="278892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12</xdr:row>
      <xdr:rowOff>0</xdr:rowOff>
    </xdr:from>
    <xdr:ext cx="65" cy="172227"/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AD4D4ABF-8AF7-42F6-9FE1-F311D9F664A3}"/>
            </a:ext>
          </a:extLst>
        </xdr:cNvPr>
        <xdr:cNvSpPr txBox="1"/>
      </xdr:nvSpPr>
      <xdr:spPr>
        <a:xfrm>
          <a:off x="4206240" y="278892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12</xdr:row>
      <xdr:rowOff>0</xdr:rowOff>
    </xdr:from>
    <xdr:ext cx="65" cy="172227"/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182A13EF-58A7-44F4-8A45-D8C7CD850C51}"/>
            </a:ext>
          </a:extLst>
        </xdr:cNvPr>
        <xdr:cNvSpPr txBox="1"/>
      </xdr:nvSpPr>
      <xdr:spPr>
        <a:xfrm>
          <a:off x="4206240" y="278892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2227"/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C9EE96BB-C42E-42A6-B587-D45FC6EF3E7E}"/>
            </a:ext>
          </a:extLst>
        </xdr:cNvPr>
        <xdr:cNvSpPr txBox="1"/>
      </xdr:nvSpPr>
      <xdr:spPr>
        <a:xfrm>
          <a:off x="403860" y="278892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2227"/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2651BC42-D139-4B2A-B17C-5426FB3BA5E4}"/>
            </a:ext>
          </a:extLst>
        </xdr:cNvPr>
        <xdr:cNvSpPr txBox="1"/>
      </xdr:nvSpPr>
      <xdr:spPr>
        <a:xfrm>
          <a:off x="403860" y="278892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2227"/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2675C9CA-36AA-4A91-96E9-CECFC378E19F}"/>
            </a:ext>
          </a:extLst>
        </xdr:cNvPr>
        <xdr:cNvSpPr txBox="1"/>
      </xdr:nvSpPr>
      <xdr:spPr>
        <a:xfrm>
          <a:off x="403860" y="278892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2227"/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3995BB27-EF4C-4620-AC85-849941431241}"/>
            </a:ext>
          </a:extLst>
        </xdr:cNvPr>
        <xdr:cNvSpPr txBox="1"/>
      </xdr:nvSpPr>
      <xdr:spPr>
        <a:xfrm>
          <a:off x="403860" y="278892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12</xdr:row>
      <xdr:rowOff>0</xdr:rowOff>
    </xdr:from>
    <xdr:ext cx="65" cy="172227"/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77F9CA3C-09E5-4296-B215-3CB0370898DA}"/>
            </a:ext>
          </a:extLst>
        </xdr:cNvPr>
        <xdr:cNvSpPr txBox="1"/>
      </xdr:nvSpPr>
      <xdr:spPr>
        <a:xfrm>
          <a:off x="4206240" y="278892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12</xdr:row>
      <xdr:rowOff>0</xdr:rowOff>
    </xdr:from>
    <xdr:ext cx="65" cy="172227"/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8BE3D5FC-48F5-43D9-8050-AA8564EACDBE}"/>
            </a:ext>
          </a:extLst>
        </xdr:cNvPr>
        <xdr:cNvSpPr txBox="1"/>
      </xdr:nvSpPr>
      <xdr:spPr>
        <a:xfrm>
          <a:off x="4206240" y="278892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12</xdr:row>
      <xdr:rowOff>0</xdr:rowOff>
    </xdr:from>
    <xdr:ext cx="65" cy="172227"/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4C3D6948-CC23-41C5-9912-C24C7CEA57B9}"/>
            </a:ext>
          </a:extLst>
        </xdr:cNvPr>
        <xdr:cNvSpPr txBox="1"/>
      </xdr:nvSpPr>
      <xdr:spPr>
        <a:xfrm>
          <a:off x="4206240" y="278892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12</xdr:row>
      <xdr:rowOff>0</xdr:rowOff>
    </xdr:from>
    <xdr:ext cx="65" cy="172227"/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427286CD-3398-42ED-BF98-04BA6A96E884}"/>
            </a:ext>
          </a:extLst>
        </xdr:cNvPr>
        <xdr:cNvSpPr txBox="1"/>
      </xdr:nvSpPr>
      <xdr:spPr>
        <a:xfrm>
          <a:off x="4206240" y="278892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2227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77408D74-4618-4024-9848-E1D473DA8EA5}"/>
            </a:ext>
          </a:extLst>
        </xdr:cNvPr>
        <xdr:cNvSpPr txBox="1"/>
      </xdr:nvSpPr>
      <xdr:spPr>
        <a:xfrm>
          <a:off x="403860" y="278892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2227"/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9E47B239-0415-4D62-A884-9DF0493884BA}"/>
            </a:ext>
          </a:extLst>
        </xdr:cNvPr>
        <xdr:cNvSpPr txBox="1"/>
      </xdr:nvSpPr>
      <xdr:spPr>
        <a:xfrm>
          <a:off x="403860" y="278892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2227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57036CC5-2A60-4B74-940C-B4E2E69EDDB4}"/>
            </a:ext>
          </a:extLst>
        </xdr:cNvPr>
        <xdr:cNvSpPr txBox="1"/>
      </xdr:nvSpPr>
      <xdr:spPr>
        <a:xfrm>
          <a:off x="403860" y="278892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2227"/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A67BDD38-FD92-4F28-AB51-AA6045E00523}"/>
            </a:ext>
          </a:extLst>
        </xdr:cNvPr>
        <xdr:cNvSpPr txBox="1"/>
      </xdr:nvSpPr>
      <xdr:spPr>
        <a:xfrm>
          <a:off x="403860" y="278892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12</xdr:row>
      <xdr:rowOff>0</xdr:rowOff>
    </xdr:from>
    <xdr:ext cx="65" cy="172227"/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20BCC3D7-04FA-4BF6-A089-550C601203DA}"/>
            </a:ext>
          </a:extLst>
        </xdr:cNvPr>
        <xdr:cNvSpPr txBox="1"/>
      </xdr:nvSpPr>
      <xdr:spPr>
        <a:xfrm>
          <a:off x="4206240" y="278892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12</xdr:row>
      <xdr:rowOff>0</xdr:rowOff>
    </xdr:from>
    <xdr:ext cx="65" cy="172227"/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7447A542-EF55-4FD6-AE13-6DBFDF0BA02D}"/>
            </a:ext>
          </a:extLst>
        </xdr:cNvPr>
        <xdr:cNvSpPr txBox="1"/>
      </xdr:nvSpPr>
      <xdr:spPr>
        <a:xfrm>
          <a:off x="4206240" y="278892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12</xdr:row>
      <xdr:rowOff>0</xdr:rowOff>
    </xdr:from>
    <xdr:ext cx="65" cy="172227"/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8CEB30E0-FBFA-4F27-86FA-1CAB80679D43}"/>
            </a:ext>
          </a:extLst>
        </xdr:cNvPr>
        <xdr:cNvSpPr txBox="1"/>
      </xdr:nvSpPr>
      <xdr:spPr>
        <a:xfrm>
          <a:off x="4206240" y="278892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12</xdr:row>
      <xdr:rowOff>0</xdr:rowOff>
    </xdr:from>
    <xdr:ext cx="65" cy="172227"/>
    <xdr:sp macro="" textlink="">
      <xdr:nvSpPr>
        <xdr:cNvPr id="37" name="TextBox 36">
          <a:extLst>
            <a:ext uri="{FF2B5EF4-FFF2-40B4-BE49-F238E27FC236}">
              <a16:creationId xmlns:a16="http://schemas.microsoft.com/office/drawing/2014/main" id="{F73AC422-74D5-421F-99E4-107B83741C76}"/>
            </a:ext>
          </a:extLst>
        </xdr:cNvPr>
        <xdr:cNvSpPr txBox="1"/>
      </xdr:nvSpPr>
      <xdr:spPr>
        <a:xfrm>
          <a:off x="4206240" y="278892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15</xdr:row>
      <xdr:rowOff>0</xdr:rowOff>
    </xdr:from>
    <xdr:ext cx="65" cy="172227"/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38ABBA5D-4D65-4831-B4BB-9800856E0E1F}"/>
            </a:ext>
          </a:extLst>
        </xdr:cNvPr>
        <xdr:cNvSpPr txBox="1"/>
      </xdr:nvSpPr>
      <xdr:spPr>
        <a:xfrm>
          <a:off x="403860" y="436626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15</xdr:row>
      <xdr:rowOff>0</xdr:rowOff>
    </xdr:from>
    <xdr:ext cx="65" cy="172227"/>
    <xdr:sp macro="" textlink="">
      <xdr:nvSpPr>
        <xdr:cNvPr id="39" name="TextBox 38">
          <a:extLst>
            <a:ext uri="{FF2B5EF4-FFF2-40B4-BE49-F238E27FC236}">
              <a16:creationId xmlns:a16="http://schemas.microsoft.com/office/drawing/2014/main" id="{4D9D1965-8A1B-45B1-AA8C-54B3277877CE}"/>
            </a:ext>
          </a:extLst>
        </xdr:cNvPr>
        <xdr:cNvSpPr txBox="1"/>
      </xdr:nvSpPr>
      <xdr:spPr>
        <a:xfrm>
          <a:off x="403860" y="436626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15</xdr:row>
      <xdr:rowOff>0</xdr:rowOff>
    </xdr:from>
    <xdr:ext cx="65" cy="172227"/>
    <xdr:sp macro="" textlink="">
      <xdr:nvSpPr>
        <xdr:cNvPr id="40" name="TextBox 39">
          <a:extLst>
            <a:ext uri="{FF2B5EF4-FFF2-40B4-BE49-F238E27FC236}">
              <a16:creationId xmlns:a16="http://schemas.microsoft.com/office/drawing/2014/main" id="{8CEE842E-22E5-4E0F-82DD-70027A3DAE62}"/>
            </a:ext>
          </a:extLst>
        </xdr:cNvPr>
        <xdr:cNvSpPr txBox="1"/>
      </xdr:nvSpPr>
      <xdr:spPr>
        <a:xfrm>
          <a:off x="403860" y="436626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15</xdr:row>
      <xdr:rowOff>0</xdr:rowOff>
    </xdr:from>
    <xdr:ext cx="65" cy="172227"/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3D5250B8-2891-4E7B-BED6-99FB8E4C5220}"/>
            </a:ext>
          </a:extLst>
        </xdr:cNvPr>
        <xdr:cNvSpPr txBox="1"/>
      </xdr:nvSpPr>
      <xdr:spPr>
        <a:xfrm>
          <a:off x="403860" y="436626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15</xdr:row>
      <xdr:rowOff>0</xdr:rowOff>
    </xdr:from>
    <xdr:ext cx="65" cy="172227"/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94B4E996-D4ED-44CD-9A2D-553A91277315}"/>
            </a:ext>
          </a:extLst>
        </xdr:cNvPr>
        <xdr:cNvSpPr txBox="1"/>
      </xdr:nvSpPr>
      <xdr:spPr>
        <a:xfrm>
          <a:off x="4206240" y="436626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15</xdr:row>
      <xdr:rowOff>0</xdr:rowOff>
    </xdr:from>
    <xdr:ext cx="65" cy="172227"/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9095BA66-582C-4F3C-B64C-2486911BE291}"/>
            </a:ext>
          </a:extLst>
        </xdr:cNvPr>
        <xdr:cNvSpPr txBox="1"/>
      </xdr:nvSpPr>
      <xdr:spPr>
        <a:xfrm>
          <a:off x="4206240" y="436626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15</xdr:row>
      <xdr:rowOff>0</xdr:rowOff>
    </xdr:from>
    <xdr:ext cx="65" cy="172227"/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335FC80B-732D-4350-AE35-0E03BE331DF7}"/>
            </a:ext>
          </a:extLst>
        </xdr:cNvPr>
        <xdr:cNvSpPr txBox="1"/>
      </xdr:nvSpPr>
      <xdr:spPr>
        <a:xfrm>
          <a:off x="4206240" y="436626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15</xdr:row>
      <xdr:rowOff>0</xdr:rowOff>
    </xdr:from>
    <xdr:ext cx="65" cy="172227"/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BB435104-C222-4F34-8438-DD25913D225F}"/>
            </a:ext>
          </a:extLst>
        </xdr:cNvPr>
        <xdr:cNvSpPr txBox="1"/>
      </xdr:nvSpPr>
      <xdr:spPr>
        <a:xfrm>
          <a:off x="4206240" y="436626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15</xdr:row>
      <xdr:rowOff>0</xdr:rowOff>
    </xdr:from>
    <xdr:ext cx="65" cy="172227"/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A2E31AE8-3D75-49D0-8BCF-AB72D8461458}"/>
            </a:ext>
          </a:extLst>
        </xdr:cNvPr>
        <xdr:cNvSpPr txBox="1"/>
      </xdr:nvSpPr>
      <xdr:spPr>
        <a:xfrm>
          <a:off x="403860" y="436626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15</xdr:row>
      <xdr:rowOff>0</xdr:rowOff>
    </xdr:from>
    <xdr:ext cx="65" cy="172227"/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AE9753D9-6281-4C6B-85EE-7186717F9D0A}"/>
            </a:ext>
          </a:extLst>
        </xdr:cNvPr>
        <xdr:cNvSpPr txBox="1"/>
      </xdr:nvSpPr>
      <xdr:spPr>
        <a:xfrm>
          <a:off x="403860" y="436626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15</xdr:row>
      <xdr:rowOff>0</xdr:rowOff>
    </xdr:from>
    <xdr:ext cx="65" cy="172227"/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EDF51FB6-DC55-4836-BA08-5F498D4BC80C}"/>
            </a:ext>
          </a:extLst>
        </xdr:cNvPr>
        <xdr:cNvSpPr txBox="1"/>
      </xdr:nvSpPr>
      <xdr:spPr>
        <a:xfrm>
          <a:off x="403860" y="436626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15</xdr:row>
      <xdr:rowOff>0</xdr:rowOff>
    </xdr:from>
    <xdr:ext cx="65" cy="172227"/>
    <xdr:sp macro="" textlink="">
      <xdr:nvSpPr>
        <xdr:cNvPr id="49" name="TextBox 48">
          <a:extLst>
            <a:ext uri="{FF2B5EF4-FFF2-40B4-BE49-F238E27FC236}">
              <a16:creationId xmlns:a16="http://schemas.microsoft.com/office/drawing/2014/main" id="{6A427439-DD3A-4172-8BFC-C50AF6BBB518}"/>
            </a:ext>
          </a:extLst>
        </xdr:cNvPr>
        <xdr:cNvSpPr txBox="1"/>
      </xdr:nvSpPr>
      <xdr:spPr>
        <a:xfrm>
          <a:off x="403860" y="436626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15</xdr:row>
      <xdr:rowOff>0</xdr:rowOff>
    </xdr:from>
    <xdr:ext cx="65" cy="172227"/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48E07715-EA6F-4DDD-B031-3722564074B9}"/>
            </a:ext>
          </a:extLst>
        </xdr:cNvPr>
        <xdr:cNvSpPr txBox="1"/>
      </xdr:nvSpPr>
      <xdr:spPr>
        <a:xfrm>
          <a:off x="4206240" y="436626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15</xdr:row>
      <xdr:rowOff>0</xdr:rowOff>
    </xdr:from>
    <xdr:ext cx="65" cy="172227"/>
    <xdr:sp macro="" textlink="">
      <xdr:nvSpPr>
        <xdr:cNvPr id="51" name="TextBox 50">
          <a:extLst>
            <a:ext uri="{FF2B5EF4-FFF2-40B4-BE49-F238E27FC236}">
              <a16:creationId xmlns:a16="http://schemas.microsoft.com/office/drawing/2014/main" id="{16612AFD-7C25-4544-BE91-9D957E33ADF2}"/>
            </a:ext>
          </a:extLst>
        </xdr:cNvPr>
        <xdr:cNvSpPr txBox="1"/>
      </xdr:nvSpPr>
      <xdr:spPr>
        <a:xfrm>
          <a:off x="4206240" y="436626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15</xdr:row>
      <xdr:rowOff>0</xdr:rowOff>
    </xdr:from>
    <xdr:ext cx="65" cy="172227"/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A78F49A0-280C-4286-B8FD-7DAEB722F3C6}"/>
            </a:ext>
          </a:extLst>
        </xdr:cNvPr>
        <xdr:cNvSpPr txBox="1"/>
      </xdr:nvSpPr>
      <xdr:spPr>
        <a:xfrm>
          <a:off x="4206240" y="436626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15</xdr:row>
      <xdr:rowOff>0</xdr:rowOff>
    </xdr:from>
    <xdr:ext cx="65" cy="172227"/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CCEE8D69-5EAA-4653-A2AC-7F56412E878A}"/>
            </a:ext>
          </a:extLst>
        </xdr:cNvPr>
        <xdr:cNvSpPr txBox="1"/>
      </xdr:nvSpPr>
      <xdr:spPr>
        <a:xfrm>
          <a:off x="4206240" y="436626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drawings/drawing36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13</xdr:row>
      <xdr:rowOff>0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7553325" y="3867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4</xdr:col>
      <xdr:colOff>0</xdr:colOff>
      <xdr:row>13</xdr:row>
      <xdr:rowOff>0</xdr:rowOff>
    </xdr:from>
    <xdr:ext cx="65" cy="172227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7553325" y="3867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4</xdr:col>
      <xdr:colOff>0</xdr:colOff>
      <xdr:row>13</xdr:row>
      <xdr:rowOff>0</xdr:rowOff>
    </xdr:from>
    <xdr:ext cx="65" cy="172227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7553325" y="3867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4</xdr:col>
      <xdr:colOff>0</xdr:colOff>
      <xdr:row>13</xdr:row>
      <xdr:rowOff>0</xdr:rowOff>
    </xdr:from>
    <xdr:ext cx="65" cy="172227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7553325" y="3867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13</xdr:row>
      <xdr:rowOff>0</xdr:rowOff>
    </xdr:from>
    <xdr:ext cx="65" cy="172227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390525" y="3867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13</xdr:row>
      <xdr:rowOff>0</xdr:rowOff>
    </xdr:from>
    <xdr:ext cx="65" cy="172227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390525" y="3867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13</xdr:row>
      <xdr:rowOff>0</xdr:rowOff>
    </xdr:from>
    <xdr:ext cx="65" cy="172227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390525" y="3867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13</xdr:row>
      <xdr:rowOff>0</xdr:rowOff>
    </xdr:from>
    <xdr:ext cx="65" cy="172227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 txBox="1"/>
      </xdr:nvSpPr>
      <xdr:spPr>
        <a:xfrm>
          <a:off x="390525" y="3867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13</xdr:row>
      <xdr:rowOff>0</xdr:rowOff>
    </xdr:from>
    <xdr:ext cx="65" cy="172227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 txBox="1"/>
      </xdr:nvSpPr>
      <xdr:spPr>
        <a:xfrm>
          <a:off x="4086225" y="3867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13</xdr:row>
      <xdr:rowOff>0</xdr:rowOff>
    </xdr:from>
    <xdr:ext cx="65" cy="172227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 txBox="1"/>
      </xdr:nvSpPr>
      <xdr:spPr>
        <a:xfrm>
          <a:off x="4086225" y="3867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13</xdr:row>
      <xdr:rowOff>0</xdr:rowOff>
    </xdr:from>
    <xdr:ext cx="65" cy="172227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 txBox="1"/>
      </xdr:nvSpPr>
      <xdr:spPr>
        <a:xfrm>
          <a:off x="4086225" y="3867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13</xdr:row>
      <xdr:rowOff>0</xdr:rowOff>
    </xdr:from>
    <xdr:ext cx="65" cy="172227"/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 txBox="1"/>
      </xdr:nvSpPr>
      <xdr:spPr>
        <a:xfrm>
          <a:off x="4086225" y="3867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13</xdr:row>
      <xdr:rowOff>0</xdr:rowOff>
    </xdr:from>
    <xdr:ext cx="65" cy="172227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390525" y="3867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13</xdr:row>
      <xdr:rowOff>0</xdr:rowOff>
    </xdr:from>
    <xdr:ext cx="65" cy="172227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 txBox="1"/>
      </xdr:nvSpPr>
      <xdr:spPr>
        <a:xfrm>
          <a:off x="390525" y="3867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13</xdr:row>
      <xdr:rowOff>0</xdr:rowOff>
    </xdr:from>
    <xdr:ext cx="65" cy="172227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 txBox="1"/>
      </xdr:nvSpPr>
      <xdr:spPr>
        <a:xfrm>
          <a:off x="390525" y="3867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13</xdr:row>
      <xdr:rowOff>0</xdr:rowOff>
    </xdr:from>
    <xdr:ext cx="65" cy="172227"/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 txBox="1"/>
      </xdr:nvSpPr>
      <xdr:spPr>
        <a:xfrm>
          <a:off x="390525" y="3867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13</xdr:row>
      <xdr:rowOff>0</xdr:rowOff>
    </xdr:from>
    <xdr:ext cx="65" cy="172227"/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 txBox="1"/>
      </xdr:nvSpPr>
      <xdr:spPr>
        <a:xfrm>
          <a:off x="4086225" y="3867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13</xdr:row>
      <xdr:rowOff>0</xdr:rowOff>
    </xdr:from>
    <xdr:ext cx="65" cy="172227"/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SpPr txBox="1"/>
      </xdr:nvSpPr>
      <xdr:spPr>
        <a:xfrm>
          <a:off x="4086225" y="3867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13</xdr:row>
      <xdr:rowOff>0</xdr:rowOff>
    </xdr:from>
    <xdr:ext cx="65" cy="172227"/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 txBox="1"/>
      </xdr:nvSpPr>
      <xdr:spPr>
        <a:xfrm>
          <a:off x="4086225" y="3867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13</xdr:row>
      <xdr:rowOff>0</xdr:rowOff>
    </xdr:from>
    <xdr:ext cx="65" cy="172227"/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SpPr txBox="1"/>
      </xdr:nvSpPr>
      <xdr:spPr>
        <a:xfrm>
          <a:off x="4086225" y="3867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drawings/drawing37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15</xdr:row>
      <xdr:rowOff>0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SpPr txBox="1"/>
      </xdr:nvSpPr>
      <xdr:spPr>
        <a:xfrm>
          <a:off x="7553325" y="40576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4</xdr:col>
      <xdr:colOff>0</xdr:colOff>
      <xdr:row>15</xdr:row>
      <xdr:rowOff>0</xdr:rowOff>
    </xdr:from>
    <xdr:ext cx="65" cy="172227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SpPr txBox="1"/>
      </xdr:nvSpPr>
      <xdr:spPr>
        <a:xfrm>
          <a:off x="7553325" y="40576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4</xdr:col>
      <xdr:colOff>0</xdr:colOff>
      <xdr:row>15</xdr:row>
      <xdr:rowOff>0</xdr:rowOff>
    </xdr:from>
    <xdr:ext cx="65" cy="172227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SpPr txBox="1"/>
      </xdr:nvSpPr>
      <xdr:spPr>
        <a:xfrm>
          <a:off x="7553325" y="40576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4</xdr:col>
      <xdr:colOff>0</xdr:colOff>
      <xdr:row>15</xdr:row>
      <xdr:rowOff>0</xdr:rowOff>
    </xdr:from>
    <xdr:ext cx="65" cy="172227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2F00-000005000000}"/>
            </a:ext>
          </a:extLst>
        </xdr:cNvPr>
        <xdr:cNvSpPr txBox="1"/>
      </xdr:nvSpPr>
      <xdr:spPr>
        <a:xfrm>
          <a:off x="7553325" y="40576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15</xdr:row>
      <xdr:rowOff>0</xdr:rowOff>
    </xdr:from>
    <xdr:ext cx="65" cy="172227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2F00-000006000000}"/>
            </a:ext>
          </a:extLst>
        </xdr:cNvPr>
        <xdr:cNvSpPr txBox="1"/>
      </xdr:nvSpPr>
      <xdr:spPr>
        <a:xfrm>
          <a:off x="390525" y="40576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15</xdr:row>
      <xdr:rowOff>0</xdr:rowOff>
    </xdr:from>
    <xdr:ext cx="65" cy="172227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2F00-000007000000}"/>
            </a:ext>
          </a:extLst>
        </xdr:cNvPr>
        <xdr:cNvSpPr txBox="1"/>
      </xdr:nvSpPr>
      <xdr:spPr>
        <a:xfrm>
          <a:off x="390525" y="40576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15</xdr:row>
      <xdr:rowOff>0</xdr:rowOff>
    </xdr:from>
    <xdr:ext cx="65" cy="172227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2F00-000008000000}"/>
            </a:ext>
          </a:extLst>
        </xdr:cNvPr>
        <xdr:cNvSpPr txBox="1"/>
      </xdr:nvSpPr>
      <xdr:spPr>
        <a:xfrm>
          <a:off x="390525" y="40576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15</xdr:row>
      <xdr:rowOff>0</xdr:rowOff>
    </xdr:from>
    <xdr:ext cx="65" cy="172227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2F00-000009000000}"/>
            </a:ext>
          </a:extLst>
        </xdr:cNvPr>
        <xdr:cNvSpPr txBox="1"/>
      </xdr:nvSpPr>
      <xdr:spPr>
        <a:xfrm>
          <a:off x="390525" y="40576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15</xdr:row>
      <xdr:rowOff>0</xdr:rowOff>
    </xdr:from>
    <xdr:ext cx="65" cy="172227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2F00-00000A000000}"/>
            </a:ext>
          </a:extLst>
        </xdr:cNvPr>
        <xdr:cNvSpPr txBox="1"/>
      </xdr:nvSpPr>
      <xdr:spPr>
        <a:xfrm>
          <a:off x="4086225" y="40576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15</xdr:row>
      <xdr:rowOff>0</xdr:rowOff>
    </xdr:from>
    <xdr:ext cx="65" cy="172227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2F00-00000B000000}"/>
            </a:ext>
          </a:extLst>
        </xdr:cNvPr>
        <xdr:cNvSpPr txBox="1"/>
      </xdr:nvSpPr>
      <xdr:spPr>
        <a:xfrm>
          <a:off x="4086225" y="40576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15</xdr:row>
      <xdr:rowOff>0</xdr:rowOff>
    </xdr:from>
    <xdr:ext cx="65" cy="172227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2F00-00000C000000}"/>
            </a:ext>
          </a:extLst>
        </xdr:cNvPr>
        <xdr:cNvSpPr txBox="1"/>
      </xdr:nvSpPr>
      <xdr:spPr>
        <a:xfrm>
          <a:off x="4086225" y="40576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15</xdr:row>
      <xdr:rowOff>0</xdr:rowOff>
    </xdr:from>
    <xdr:ext cx="65" cy="172227"/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2F00-00000D000000}"/>
            </a:ext>
          </a:extLst>
        </xdr:cNvPr>
        <xdr:cNvSpPr txBox="1"/>
      </xdr:nvSpPr>
      <xdr:spPr>
        <a:xfrm>
          <a:off x="4086225" y="40576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15</xdr:row>
      <xdr:rowOff>0</xdr:rowOff>
    </xdr:from>
    <xdr:ext cx="65" cy="172227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2F00-00000E000000}"/>
            </a:ext>
          </a:extLst>
        </xdr:cNvPr>
        <xdr:cNvSpPr txBox="1"/>
      </xdr:nvSpPr>
      <xdr:spPr>
        <a:xfrm>
          <a:off x="390525" y="40576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15</xdr:row>
      <xdr:rowOff>0</xdr:rowOff>
    </xdr:from>
    <xdr:ext cx="65" cy="172227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2F00-00000F000000}"/>
            </a:ext>
          </a:extLst>
        </xdr:cNvPr>
        <xdr:cNvSpPr txBox="1"/>
      </xdr:nvSpPr>
      <xdr:spPr>
        <a:xfrm>
          <a:off x="390525" y="40576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15</xdr:row>
      <xdr:rowOff>0</xdr:rowOff>
    </xdr:from>
    <xdr:ext cx="65" cy="172227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2F00-000010000000}"/>
            </a:ext>
          </a:extLst>
        </xdr:cNvPr>
        <xdr:cNvSpPr txBox="1"/>
      </xdr:nvSpPr>
      <xdr:spPr>
        <a:xfrm>
          <a:off x="390525" y="40576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15</xdr:row>
      <xdr:rowOff>0</xdr:rowOff>
    </xdr:from>
    <xdr:ext cx="65" cy="172227"/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2F00-000011000000}"/>
            </a:ext>
          </a:extLst>
        </xdr:cNvPr>
        <xdr:cNvSpPr txBox="1"/>
      </xdr:nvSpPr>
      <xdr:spPr>
        <a:xfrm>
          <a:off x="390525" y="40576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15</xdr:row>
      <xdr:rowOff>0</xdr:rowOff>
    </xdr:from>
    <xdr:ext cx="65" cy="172227"/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2F00-000012000000}"/>
            </a:ext>
          </a:extLst>
        </xdr:cNvPr>
        <xdr:cNvSpPr txBox="1"/>
      </xdr:nvSpPr>
      <xdr:spPr>
        <a:xfrm>
          <a:off x="4086225" y="40576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15</xdr:row>
      <xdr:rowOff>0</xdr:rowOff>
    </xdr:from>
    <xdr:ext cx="65" cy="172227"/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00000000-0008-0000-2F00-000013000000}"/>
            </a:ext>
          </a:extLst>
        </xdr:cNvPr>
        <xdr:cNvSpPr txBox="1"/>
      </xdr:nvSpPr>
      <xdr:spPr>
        <a:xfrm>
          <a:off x="4086225" y="40576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15</xdr:row>
      <xdr:rowOff>0</xdr:rowOff>
    </xdr:from>
    <xdr:ext cx="65" cy="172227"/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00000000-0008-0000-2F00-000014000000}"/>
            </a:ext>
          </a:extLst>
        </xdr:cNvPr>
        <xdr:cNvSpPr txBox="1"/>
      </xdr:nvSpPr>
      <xdr:spPr>
        <a:xfrm>
          <a:off x="4086225" y="40576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15</xdr:row>
      <xdr:rowOff>0</xdr:rowOff>
    </xdr:from>
    <xdr:ext cx="65" cy="172227"/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2F00-000015000000}"/>
            </a:ext>
          </a:extLst>
        </xdr:cNvPr>
        <xdr:cNvSpPr txBox="1"/>
      </xdr:nvSpPr>
      <xdr:spPr>
        <a:xfrm>
          <a:off x="4086225" y="40576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drawings/drawing38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0</xdr:colOff>
      <xdr:row>18</xdr:row>
      <xdr:rowOff>0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3800-000002000000}"/>
            </a:ext>
          </a:extLst>
        </xdr:cNvPr>
        <xdr:cNvSpPr txBox="1"/>
      </xdr:nvSpPr>
      <xdr:spPr>
        <a:xfrm>
          <a:off x="8162925" y="3486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5</xdr:col>
      <xdr:colOff>0</xdr:colOff>
      <xdr:row>18</xdr:row>
      <xdr:rowOff>0</xdr:rowOff>
    </xdr:from>
    <xdr:ext cx="65" cy="172227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3800-000003000000}"/>
            </a:ext>
          </a:extLst>
        </xdr:cNvPr>
        <xdr:cNvSpPr txBox="1"/>
      </xdr:nvSpPr>
      <xdr:spPr>
        <a:xfrm>
          <a:off x="8162925" y="3486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5</xdr:col>
      <xdr:colOff>0</xdr:colOff>
      <xdr:row>18</xdr:row>
      <xdr:rowOff>0</xdr:rowOff>
    </xdr:from>
    <xdr:ext cx="65" cy="172227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3800-000004000000}"/>
            </a:ext>
          </a:extLst>
        </xdr:cNvPr>
        <xdr:cNvSpPr txBox="1"/>
      </xdr:nvSpPr>
      <xdr:spPr>
        <a:xfrm>
          <a:off x="8162925" y="3486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5</xdr:col>
      <xdr:colOff>0</xdr:colOff>
      <xdr:row>18</xdr:row>
      <xdr:rowOff>0</xdr:rowOff>
    </xdr:from>
    <xdr:ext cx="65" cy="172227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3800-000005000000}"/>
            </a:ext>
          </a:extLst>
        </xdr:cNvPr>
        <xdr:cNvSpPr txBox="1"/>
      </xdr:nvSpPr>
      <xdr:spPr>
        <a:xfrm>
          <a:off x="8162925" y="3486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18</xdr:row>
      <xdr:rowOff>0</xdr:rowOff>
    </xdr:from>
    <xdr:ext cx="65" cy="172227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3800-000006000000}"/>
            </a:ext>
          </a:extLst>
        </xdr:cNvPr>
        <xdr:cNvSpPr txBox="1"/>
      </xdr:nvSpPr>
      <xdr:spPr>
        <a:xfrm>
          <a:off x="390525" y="3486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18</xdr:row>
      <xdr:rowOff>0</xdr:rowOff>
    </xdr:from>
    <xdr:ext cx="65" cy="172227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3800-000007000000}"/>
            </a:ext>
          </a:extLst>
        </xdr:cNvPr>
        <xdr:cNvSpPr txBox="1"/>
      </xdr:nvSpPr>
      <xdr:spPr>
        <a:xfrm>
          <a:off x="390525" y="3486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18</xdr:row>
      <xdr:rowOff>0</xdr:rowOff>
    </xdr:from>
    <xdr:ext cx="65" cy="172227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3800-000008000000}"/>
            </a:ext>
          </a:extLst>
        </xdr:cNvPr>
        <xdr:cNvSpPr txBox="1"/>
      </xdr:nvSpPr>
      <xdr:spPr>
        <a:xfrm>
          <a:off x="390525" y="3486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18</xdr:row>
      <xdr:rowOff>0</xdr:rowOff>
    </xdr:from>
    <xdr:ext cx="65" cy="172227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3800-000009000000}"/>
            </a:ext>
          </a:extLst>
        </xdr:cNvPr>
        <xdr:cNvSpPr txBox="1"/>
      </xdr:nvSpPr>
      <xdr:spPr>
        <a:xfrm>
          <a:off x="390525" y="3486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18</xdr:row>
      <xdr:rowOff>0</xdr:rowOff>
    </xdr:from>
    <xdr:ext cx="65" cy="172227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3800-00000A000000}"/>
            </a:ext>
          </a:extLst>
        </xdr:cNvPr>
        <xdr:cNvSpPr txBox="1"/>
      </xdr:nvSpPr>
      <xdr:spPr>
        <a:xfrm>
          <a:off x="4086225" y="3486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18</xdr:row>
      <xdr:rowOff>0</xdr:rowOff>
    </xdr:from>
    <xdr:ext cx="65" cy="172227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3800-00000B000000}"/>
            </a:ext>
          </a:extLst>
        </xdr:cNvPr>
        <xdr:cNvSpPr txBox="1"/>
      </xdr:nvSpPr>
      <xdr:spPr>
        <a:xfrm>
          <a:off x="4086225" y="3486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18</xdr:row>
      <xdr:rowOff>0</xdr:rowOff>
    </xdr:from>
    <xdr:ext cx="65" cy="172227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3800-00000C000000}"/>
            </a:ext>
          </a:extLst>
        </xdr:cNvPr>
        <xdr:cNvSpPr txBox="1"/>
      </xdr:nvSpPr>
      <xdr:spPr>
        <a:xfrm>
          <a:off x="4086225" y="3486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18</xdr:row>
      <xdr:rowOff>0</xdr:rowOff>
    </xdr:from>
    <xdr:ext cx="65" cy="172227"/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3800-00000D000000}"/>
            </a:ext>
          </a:extLst>
        </xdr:cNvPr>
        <xdr:cNvSpPr txBox="1"/>
      </xdr:nvSpPr>
      <xdr:spPr>
        <a:xfrm>
          <a:off x="4086225" y="3486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18</xdr:row>
      <xdr:rowOff>0</xdr:rowOff>
    </xdr:from>
    <xdr:ext cx="65" cy="172227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3800-00000E000000}"/>
            </a:ext>
          </a:extLst>
        </xdr:cNvPr>
        <xdr:cNvSpPr txBox="1"/>
      </xdr:nvSpPr>
      <xdr:spPr>
        <a:xfrm>
          <a:off x="390525" y="3486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18</xdr:row>
      <xdr:rowOff>0</xdr:rowOff>
    </xdr:from>
    <xdr:ext cx="65" cy="172227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3800-00000F000000}"/>
            </a:ext>
          </a:extLst>
        </xdr:cNvPr>
        <xdr:cNvSpPr txBox="1"/>
      </xdr:nvSpPr>
      <xdr:spPr>
        <a:xfrm>
          <a:off x="390525" y="3486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18</xdr:row>
      <xdr:rowOff>0</xdr:rowOff>
    </xdr:from>
    <xdr:ext cx="65" cy="172227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3800-000010000000}"/>
            </a:ext>
          </a:extLst>
        </xdr:cNvPr>
        <xdr:cNvSpPr txBox="1"/>
      </xdr:nvSpPr>
      <xdr:spPr>
        <a:xfrm>
          <a:off x="390525" y="3486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0</xdr:colOff>
      <xdr:row>18</xdr:row>
      <xdr:rowOff>0</xdr:rowOff>
    </xdr:from>
    <xdr:ext cx="65" cy="172227"/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3800-000011000000}"/>
            </a:ext>
          </a:extLst>
        </xdr:cNvPr>
        <xdr:cNvSpPr txBox="1"/>
      </xdr:nvSpPr>
      <xdr:spPr>
        <a:xfrm>
          <a:off x="390525" y="3486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18</xdr:row>
      <xdr:rowOff>0</xdr:rowOff>
    </xdr:from>
    <xdr:ext cx="65" cy="172227"/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3800-000012000000}"/>
            </a:ext>
          </a:extLst>
        </xdr:cNvPr>
        <xdr:cNvSpPr txBox="1"/>
      </xdr:nvSpPr>
      <xdr:spPr>
        <a:xfrm>
          <a:off x="4086225" y="3486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18</xdr:row>
      <xdr:rowOff>0</xdr:rowOff>
    </xdr:from>
    <xdr:ext cx="65" cy="172227"/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00000000-0008-0000-3800-000013000000}"/>
            </a:ext>
          </a:extLst>
        </xdr:cNvPr>
        <xdr:cNvSpPr txBox="1"/>
      </xdr:nvSpPr>
      <xdr:spPr>
        <a:xfrm>
          <a:off x="4086225" y="3486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18</xdr:row>
      <xdr:rowOff>0</xdr:rowOff>
    </xdr:from>
    <xdr:ext cx="65" cy="172227"/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00000000-0008-0000-3800-000014000000}"/>
            </a:ext>
          </a:extLst>
        </xdr:cNvPr>
        <xdr:cNvSpPr txBox="1"/>
      </xdr:nvSpPr>
      <xdr:spPr>
        <a:xfrm>
          <a:off x="4086225" y="3486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</xdr:col>
      <xdr:colOff>0</xdr:colOff>
      <xdr:row>18</xdr:row>
      <xdr:rowOff>0</xdr:rowOff>
    </xdr:from>
    <xdr:ext cx="65" cy="172227"/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3800-000015000000}"/>
            </a:ext>
          </a:extLst>
        </xdr:cNvPr>
        <xdr:cNvSpPr txBox="1"/>
      </xdr:nvSpPr>
      <xdr:spPr>
        <a:xfrm>
          <a:off x="4086225" y="3486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esktop/&#1051;&#1045;&#1042;&#1040;&#1064;&#1054;&#1042;&#1054;/57%20&#1050;&#1055;&#1055;/&#1048;&#1044;/&#1050;&#1046;1/1.%20%20&#1040;&#1054;&#1057;&#1056;%20&#1050;&#1046;1%20&#1047;&#1076;&#1072;&#1085;&#1080;&#1077;%2057%20&#1089;%20&#1057;&#1045;&#1053;&#1058;&#1071;&#1041;&#1056;&#1071;%202023%20&#1082;&#1086;&#1088;%20&#1086;&#1090;%2013.05.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User\Downloads\&#1040;&#1054;&#1057;&#1056;%20&#1040;&#1056;%2056%2016.10.2025%2082-99%20+%20&#1088;&#1077;&#1077;&#1089;&#1090;&#1088;&#1099;.xlsm" TargetMode="External"/><Relationship Id="rId1" Type="http://schemas.openxmlformats.org/officeDocument/2006/relationships/externalLinkPath" Target="&#1040;&#1054;&#1057;&#1056;%20&#1040;&#1056;%2056%2016.10.2025%2082-99%20+%20&#1088;&#1077;&#1077;&#1089;&#1090;&#1088;&#1099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Акты"/>
      <sheetName val="реестр"/>
      <sheetName val="Реестр исполнительной док-ции"/>
      <sheetName val="Лист1"/>
    </sheetNames>
    <sheetDataSet>
      <sheetData sheetId="0"/>
      <sheetData sheetId="1">
        <row r="6">
          <cell r="H6" t="str">
            <v>18 сентября 2023г.</v>
          </cell>
          <cell r="I6" t="str">
            <v>18 сентября 2023г.</v>
          </cell>
        </row>
      </sheetData>
      <sheetData sheetId="2"/>
      <sheetData sheetId="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Акты до 1.09.23 НЕ ИСПОЛЬЗОВАТЬ"/>
      <sheetName val="Акты с 1.09.23"/>
      <sheetName val="реестр"/>
      <sheetName val="1"/>
      <sheetName val="10"/>
      <sheetName val="19"/>
      <sheetName val="22"/>
      <sheetName val="23"/>
      <sheetName val="24"/>
      <sheetName val="25"/>
      <sheetName val="26"/>
      <sheetName val="27"/>
      <sheetName val="29"/>
      <sheetName val="30"/>
      <sheetName val="31"/>
      <sheetName val="32"/>
      <sheetName val="33"/>
      <sheetName val="34"/>
      <sheetName val="35"/>
      <sheetName val="36"/>
      <sheetName val="37"/>
      <sheetName val="38"/>
      <sheetName val="40"/>
      <sheetName val="42"/>
      <sheetName val="45"/>
      <sheetName val="47"/>
      <sheetName val="49"/>
      <sheetName val="58.1"/>
      <sheetName val="60.1"/>
      <sheetName val="65"/>
      <sheetName val="67"/>
      <sheetName val="69"/>
      <sheetName val="70"/>
      <sheetName val="73"/>
      <sheetName val="74"/>
      <sheetName val="75"/>
      <sheetName val="76"/>
      <sheetName val="78"/>
      <sheetName val="79"/>
      <sheetName val="80"/>
      <sheetName val="81"/>
      <sheetName val="84"/>
      <sheetName val="89"/>
      <sheetName val="90"/>
      <sheetName val="94 арт"/>
      <sheetName val="96иу"/>
      <sheetName val="99иу"/>
      <sheetName val="57"/>
      <sheetName val="58"/>
      <sheetName val="59"/>
      <sheetName val="60"/>
      <sheetName val="62"/>
      <sheetName val="63"/>
      <sheetName val="64"/>
      <sheetName val="66"/>
      <sheetName val="96"/>
      <sheetName val="98"/>
      <sheetName val="99"/>
      <sheetName val="118"/>
      <sheetName val="119"/>
      <sheetName val="120"/>
      <sheetName val="123"/>
      <sheetName val="130"/>
      <sheetName val="131"/>
      <sheetName val="143"/>
      <sheetName val="144"/>
      <sheetName val="148"/>
      <sheetName val="149"/>
      <sheetName val="152"/>
      <sheetName val="156"/>
      <sheetName val="157"/>
      <sheetName val="161"/>
      <sheetName val="162"/>
      <sheetName val="166"/>
      <sheetName val="174"/>
      <sheetName val="175"/>
      <sheetName val="182"/>
      <sheetName val="192"/>
      <sheetName val="216"/>
      <sheetName val="220"/>
      <sheetName val="224"/>
      <sheetName val="233"/>
      <sheetName val="236"/>
    </sheetNames>
    <sheetDataSet>
      <sheetData sheetId="0"/>
      <sheetData sheetId="1"/>
      <sheetData sheetId="2">
        <row r="3">
          <cell r="C3" t="str">
            <v>Реестр исполнительной документации</v>
          </cell>
        </row>
        <row r="4">
          <cell r="B4">
            <v>2</v>
          </cell>
          <cell r="C4">
            <v>3</v>
          </cell>
          <cell r="N4">
            <v>14</v>
          </cell>
        </row>
        <row r="5">
          <cell r="B5" t="str">
            <v>№ акта</v>
          </cell>
          <cell r="C5" t="str">
            <v>Дата акта</v>
          </cell>
          <cell r="N5" t="str">
            <v>Представитель застройщика (низ)</v>
          </cell>
        </row>
        <row r="6">
          <cell r="B6" t="str">
            <v>АИР-М-1.2-56-АР-82</v>
          </cell>
          <cell r="C6">
            <v>45421</v>
          </cell>
          <cell r="N6" t="str">
            <v>Серов А.В.</v>
          </cell>
        </row>
        <row r="7">
          <cell r="B7" t="str">
            <v>АИР-М-1.2-56-АР-1</v>
          </cell>
          <cell r="C7">
            <v>45251</v>
          </cell>
          <cell r="N7" t="str">
            <v>Сураев С.П.</v>
          </cell>
        </row>
        <row r="9">
          <cell r="B9" t="str">
            <v>АИР-М-1.2-56-АР-1</v>
          </cell>
          <cell r="C9">
            <v>45251</v>
          </cell>
          <cell r="N9" t="str">
            <v>Сураев С.П.</v>
          </cell>
        </row>
        <row r="10">
          <cell r="B10" t="str">
            <v>АИР-М-1.2-56-АР-2</v>
          </cell>
          <cell r="C10">
            <v>45251</v>
          </cell>
          <cell r="N10" t="str">
            <v>Сураев С.П.</v>
          </cell>
        </row>
        <row r="11">
          <cell r="B11" t="str">
            <v>АИР-М-1.2-56-АР-3</v>
          </cell>
          <cell r="C11">
            <v>45255</v>
          </cell>
          <cell r="N11" t="str">
            <v>Серов А.В.</v>
          </cell>
        </row>
        <row r="12">
          <cell r="B12" t="str">
            <v>АИР-М-1.2-56-АР-4</v>
          </cell>
          <cell r="C12">
            <v>45260</v>
          </cell>
          <cell r="N12" t="str">
            <v>Серов А.В.</v>
          </cell>
        </row>
        <row r="13">
          <cell r="B13" t="str">
            <v>АИР-М-1.2-56-АР-5</v>
          </cell>
          <cell r="C13">
            <v>45257</v>
          </cell>
          <cell r="N13" t="str">
            <v>Серов А.В.</v>
          </cell>
        </row>
        <row r="14">
          <cell r="B14" t="str">
            <v>АИР-М-1.2-56-АР-6</v>
          </cell>
          <cell r="C14">
            <v>45256</v>
          </cell>
          <cell r="N14" t="str">
            <v>Серов А.В.</v>
          </cell>
        </row>
        <row r="15">
          <cell r="B15" t="str">
            <v>АИР-М-1.2-56-АР-7</v>
          </cell>
          <cell r="C15">
            <v>45257</v>
          </cell>
          <cell r="N15" t="str">
            <v>Серов А.В.</v>
          </cell>
        </row>
        <row r="16">
          <cell r="B16" t="str">
            <v>АИР-М-1.2-56-АР-8</v>
          </cell>
          <cell r="C16">
            <v>45258</v>
          </cell>
          <cell r="N16" t="str">
            <v>Серов А.В.</v>
          </cell>
        </row>
        <row r="17">
          <cell r="B17" t="str">
            <v>АИР-М-1.2-56-АР-9</v>
          </cell>
          <cell r="C17">
            <v>45260</v>
          </cell>
          <cell r="N17" t="str">
            <v>Серов А.В.</v>
          </cell>
        </row>
        <row r="18">
          <cell r="B18" t="str">
            <v>АИР-М-1.2-56-АР-10</v>
          </cell>
          <cell r="C18">
            <v>45267</v>
          </cell>
          <cell r="N18" t="str">
            <v>Серов А.В.</v>
          </cell>
        </row>
        <row r="19">
          <cell r="B19" t="str">
            <v>АИР-М-1.2-56-АР-11</v>
          </cell>
          <cell r="C19">
            <v>45271</v>
          </cell>
          <cell r="N19" t="str">
            <v>Серов А.В.</v>
          </cell>
        </row>
        <row r="20">
          <cell r="B20" t="str">
            <v>АИР-М-1.2-56-АР-12</v>
          </cell>
          <cell r="C20">
            <v>45276</v>
          </cell>
          <cell r="N20" t="str">
            <v>Серов А.В.</v>
          </cell>
        </row>
        <row r="21">
          <cell r="B21" t="str">
            <v>АИР-М-1.2-56-АР-13</v>
          </cell>
          <cell r="C21">
            <v>45277</v>
          </cell>
          <cell r="N21" t="str">
            <v>Серов А.В.</v>
          </cell>
        </row>
        <row r="22">
          <cell r="B22" t="str">
            <v>АИР-М-1.2-56-АР-14</v>
          </cell>
          <cell r="C22">
            <v>45279</v>
          </cell>
          <cell r="N22" t="str">
            <v>Серов А.В.</v>
          </cell>
        </row>
        <row r="23">
          <cell r="B23" t="str">
            <v>АИР-М-1.2-56-АР-15</v>
          </cell>
          <cell r="C23">
            <v>45280</v>
          </cell>
          <cell r="N23" t="str">
            <v>Серов А.В.</v>
          </cell>
        </row>
        <row r="24">
          <cell r="B24" t="str">
            <v>АИР-М-1.2-56-АР-16</v>
          </cell>
          <cell r="C24">
            <v>45272</v>
          </cell>
          <cell r="N24" t="str">
            <v>Серов А.В.</v>
          </cell>
        </row>
        <row r="25">
          <cell r="B25" t="str">
            <v>АИР-М-1.2-56-АР-17</v>
          </cell>
          <cell r="C25">
            <v>45273</v>
          </cell>
          <cell r="N25" t="str">
            <v>Серов А.В.</v>
          </cell>
        </row>
        <row r="26">
          <cell r="B26" t="str">
            <v>АИР-М-1.2-56-АР-18</v>
          </cell>
          <cell r="C26">
            <v>45275</v>
          </cell>
          <cell r="N26" t="str">
            <v>Серов А.В.</v>
          </cell>
        </row>
        <row r="27">
          <cell r="B27" t="str">
            <v>АИР-М-1.2-56-АР-19</v>
          </cell>
          <cell r="C27">
            <v>45277</v>
          </cell>
          <cell r="N27" t="str">
            <v>Серов А.В.</v>
          </cell>
        </row>
        <row r="28">
          <cell r="B28" t="str">
            <v>АИР-М-1.2-56-АР-20</v>
          </cell>
          <cell r="C28">
            <v>45278</v>
          </cell>
          <cell r="N28" t="str">
            <v>Серов А.В.</v>
          </cell>
        </row>
        <row r="29">
          <cell r="B29" t="str">
            <v>АИР-М-1.2-56-АР-21</v>
          </cell>
          <cell r="C29">
            <v>45279</v>
          </cell>
          <cell r="N29" t="str">
            <v>Серов А.В.</v>
          </cell>
        </row>
        <row r="30">
          <cell r="B30" t="str">
            <v>АИР-М-1.2-56-АР-22</v>
          </cell>
          <cell r="C30">
            <v>45276</v>
          </cell>
          <cell r="N30" t="str">
            <v>Серов А.В.</v>
          </cell>
        </row>
        <row r="31">
          <cell r="B31" t="str">
            <v>АИР-М-1.2-56-АР-23</v>
          </cell>
          <cell r="C31">
            <v>45273</v>
          </cell>
          <cell r="N31" t="str">
            <v>Серов А.В.</v>
          </cell>
        </row>
        <row r="32">
          <cell r="B32" t="str">
            <v>АИР-М-1.2-56-АР-24</v>
          </cell>
          <cell r="C32">
            <v>45274</v>
          </cell>
          <cell r="N32" t="str">
            <v>Серов А.В.</v>
          </cell>
        </row>
        <row r="33">
          <cell r="B33" t="str">
            <v>АИР-М-1.2-56-АР-25</v>
          </cell>
          <cell r="C33">
            <v>45275</v>
          </cell>
          <cell r="N33" t="str">
            <v>Серов А.В.</v>
          </cell>
        </row>
        <row r="34">
          <cell r="B34" t="str">
            <v>АИР-М-1.2-56-АР-26</v>
          </cell>
          <cell r="C34">
            <v>45279</v>
          </cell>
          <cell r="N34" t="str">
            <v>Серов А.В.</v>
          </cell>
        </row>
        <row r="35">
          <cell r="B35" t="str">
            <v>АИР-М-1.2-56-АР-27</v>
          </cell>
          <cell r="C35">
            <v>45327</v>
          </cell>
          <cell r="N35" t="str">
            <v>Алгушаев Р.Р.</v>
          </cell>
        </row>
        <row r="36">
          <cell r="B36" t="str">
            <v>АИР-М-1.2-56-АР-28</v>
          </cell>
          <cell r="C36">
            <v>45328</v>
          </cell>
          <cell r="N36" t="str">
            <v>Алгушаев Р.Р.</v>
          </cell>
        </row>
        <row r="37">
          <cell r="B37" t="str">
            <v>АИР-М-1.2-56-АР-29</v>
          </cell>
          <cell r="C37">
            <v>45370</v>
          </cell>
          <cell r="N37" t="str">
            <v>Алгушаев Р.Р.</v>
          </cell>
        </row>
        <row r="38">
          <cell r="B38" t="str">
            <v>АИР-М-1.2-56-АР-30</v>
          </cell>
          <cell r="C38">
            <v>45376</v>
          </cell>
          <cell r="N38" t="str">
            <v>Алгушаев Р.Р.</v>
          </cell>
        </row>
        <row r="39">
          <cell r="B39" t="str">
            <v>АИР-М-1.2-56-АР-31</v>
          </cell>
          <cell r="C39">
            <v>45373</v>
          </cell>
          <cell r="N39" t="str">
            <v>Алгушаев Р.Р.</v>
          </cell>
        </row>
        <row r="40">
          <cell r="B40" t="str">
            <v>АИР-М-1.2-56-АР-32</v>
          </cell>
          <cell r="C40">
            <v>45379</v>
          </cell>
          <cell r="N40" t="str">
            <v>Алгушаев Р.Р.</v>
          </cell>
        </row>
        <row r="41">
          <cell r="B41" t="str">
            <v>АИР-М-1.2-56-АР-33</v>
          </cell>
          <cell r="C41">
            <v>45376</v>
          </cell>
          <cell r="N41" t="str">
            <v>Алгушаев Р.Р.</v>
          </cell>
        </row>
        <row r="42">
          <cell r="B42" t="str">
            <v>АИР-М-1.2-56-АР-34</v>
          </cell>
          <cell r="C42">
            <v>45382</v>
          </cell>
          <cell r="N42" t="str">
            <v>Алгушаев Р.Р.</v>
          </cell>
        </row>
        <row r="43">
          <cell r="B43" t="str">
            <v>АИР-М-1.2-56-АР-35</v>
          </cell>
          <cell r="C43">
            <v>45379</v>
          </cell>
          <cell r="N43" t="str">
            <v>Алгушаев Р.Р.</v>
          </cell>
        </row>
        <row r="44">
          <cell r="B44" t="str">
            <v>АИР-М-1.2-56-АР-36</v>
          </cell>
          <cell r="C44">
            <v>45384</v>
          </cell>
          <cell r="N44" t="str">
            <v>Алгушаев Р.Р.</v>
          </cell>
        </row>
        <row r="45">
          <cell r="B45" t="str">
            <v>АИР-М-1.2-56-АР-37</v>
          </cell>
          <cell r="C45">
            <v>45380</v>
          </cell>
          <cell r="N45" t="str">
            <v>Алгушаев Р.Р.</v>
          </cell>
        </row>
        <row r="46">
          <cell r="B46" t="str">
            <v>АИР-М-1.2-56-АР-38</v>
          </cell>
          <cell r="C46">
            <v>45384</v>
          </cell>
          <cell r="N46" t="str">
            <v>Алгушаев Р.Р.</v>
          </cell>
        </row>
        <row r="47">
          <cell r="B47" t="str">
            <v>АИР-М-1.2-56-АР-39</v>
          </cell>
          <cell r="C47">
            <v>45351</v>
          </cell>
          <cell r="N47" t="str">
            <v>Серов А.В.</v>
          </cell>
        </row>
        <row r="48">
          <cell r="B48" t="str">
            <v>АИР-М-1.2-56-АР-40</v>
          </cell>
          <cell r="C48">
            <v>45352</v>
          </cell>
          <cell r="N48" t="str">
            <v>Серов А.В.</v>
          </cell>
        </row>
        <row r="49">
          <cell r="B49" t="str">
            <v>АИР-М-1.2-56-АР-41</v>
          </cell>
          <cell r="C49">
            <v>45354</v>
          </cell>
          <cell r="N49" t="str">
            <v>Серов А.В.</v>
          </cell>
        </row>
        <row r="50">
          <cell r="B50" t="str">
            <v>АИР-М-1.2-56-АР-42</v>
          </cell>
          <cell r="C50">
            <v>45386</v>
          </cell>
          <cell r="N50" t="str">
            <v>Алгушаев Р.Р.</v>
          </cell>
        </row>
        <row r="51">
          <cell r="B51" t="str">
            <v>АИР-М-1.2-56-АР-43</v>
          </cell>
          <cell r="C51">
            <v>45388</v>
          </cell>
          <cell r="N51" t="str">
            <v>Алгушаев Р.Р.</v>
          </cell>
        </row>
        <row r="52">
          <cell r="B52" t="str">
            <v>АИР-М-1.2-56-АР-44</v>
          </cell>
          <cell r="C52">
            <v>45389</v>
          </cell>
          <cell r="N52" t="str">
            <v>Алгушаев Р.Р.</v>
          </cell>
        </row>
        <row r="53">
          <cell r="B53" t="str">
            <v>АИР-М-1.2-56-АР-45</v>
          </cell>
          <cell r="C53">
            <v>45389</v>
          </cell>
          <cell r="N53" t="str">
            <v>Алгушаев Р.Р.</v>
          </cell>
        </row>
        <row r="54">
          <cell r="B54" t="str">
            <v>АИР-М-1.2-56-АР-46</v>
          </cell>
          <cell r="C54">
            <v>45397</v>
          </cell>
          <cell r="N54" t="str">
            <v>Сураев С.П.</v>
          </cell>
        </row>
        <row r="55">
          <cell r="B55" t="str">
            <v>АИР-М-1.2-56-АР-47</v>
          </cell>
          <cell r="C55">
            <v>45398</v>
          </cell>
          <cell r="N55" t="str">
            <v>Сураев С.П.</v>
          </cell>
        </row>
        <row r="56">
          <cell r="B56" t="str">
            <v>АИР-М-1.2-56-АР-48</v>
          </cell>
          <cell r="C56">
            <v>45401</v>
          </cell>
          <cell r="N56" t="str">
            <v>Сураев С.П.</v>
          </cell>
        </row>
        <row r="57">
          <cell r="B57" t="str">
            <v>АИР-М-1.2-56-АР-49</v>
          </cell>
          <cell r="C57">
            <v>45407</v>
          </cell>
          <cell r="N57" t="str">
            <v>Алгушаев Р.Р.</v>
          </cell>
        </row>
        <row r="58">
          <cell r="B58" t="str">
            <v>АИР-М-1.2-56-АР-50</v>
          </cell>
          <cell r="C58">
            <v>45421</v>
          </cell>
          <cell r="N58" t="str">
            <v>Серов А.В.</v>
          </cell>
        </row>
        <row r="59">
          <cell r="B59" t="str">
            <v>АИР-М-1.2-56-АР-51</v>
          </cell>
          <cell r="C59">
            <v>45394</v>
          </cell>
          <cell r="N59" t="str">
            <v>Алгушаев Р.Р.</v>
          </cell>
        </row>
        <row r="60">
          <cell r="B60" t="str">
            <v>АИР-М-1.2-56-АР-52</v>
          </cell>
          <cell r="C60">
            <v>45426</v>
          </cell>
          <cell r="N60" t="str">
            <v>Серов А.В.</v>
          </cell>
        </row>
        <row r="61">
          <cell r="B61" t="str">
            <v>АИР-М-1.2-56-АР-53</v>
          </cell>
          <cell r="C61">
            <v>45441</v>
          </cell>
          <cell r="N61" t="str">
            <v>Алгушаев Р.Р.</v>
          </cell>
        </row>
        <row r="62">
          <cell r="B62" t="str">
            <v>АИР-М-1.2-56-АР-54</v>
          </cell>
          <cell r="C62">
            <v>45444</v>
          </cell>
          <cell r="N62" t="str">
            <v>Серов А.В.</v>
          </cell>
        </row>
        <row r="63">
          <cell r="B63" t="str">
            <v>АИР-М-1.2-56-АР-55</v>
          </cell>
          <cell r="C63">
            <v>45400</v>
          </cell>
          <cell r="N63" t="str">
            <v>Сураев С.П.</v>
          </cell>
        </row>
        <row r="64">
          <cell r="B64" t="str">
            <v>АИР-М-1.2-56-АР-56</v>
          </cell>
          <cell r="C64">
            <v>45401</v>
          </cell>
          <cell r="N64" t="str">
            <v>Сураев С.П.</v>
          </cell>
        </row>
        <row r="65">
          <cell r="B65" t="str">
            <v>АИР-М-1.2-56-АР-57</v>
          </cell>
          <cell r="C65">
            <v>45402</v>
          </cell>
          <cell r="N65" t="str">
            <v>Сураев С.П.</v>
          </cell>
        </row>
        <row r="66">
          <cell r="B66" t="str">
            <v>АИР-М-1.2-56-АР-58</v>
          </cell>
          <cell r="C66">
            <v>45405</v>
          </cell>
          <cell r="N66" t="str">
            <v>Сураев С.П.</v>
          </cell>
        </row>
        <row r="67">
          <cell r="B67" t="str">
            <v>АИР-М-1.2-56-АР-59</v>
          </cell>
          <cell r="C67">
            <v>45406</v>
          </cell>
          <cell r="N67" t="str">
            <v>Сураев С.П.</v>
          </cell>
        </row>
        <row r="68">
          <cell r="B68" t="str">
            <v>АИР-М-1.2-56-АР-60</v>
          </cell>
          <cell r="C68">
            <v>45409</v>
          </cell>
          <cell r="N68" t="str">
            <v>Сураев С.П.</v>
          </cell>
        </row>
        <row r="69">
          <cell r="B69" t="str">
            <v>АИР-М-1.2-56-АР-61</v>
          </cell>
          <cell r="C69">
            <v>45410</v>
          </cell>
          <cell r="N69" t="str">
            <v>Сураев С.П.</v>
          </cell>
        </row>
        <row r="70">
          <cell r="B70" t="str">
            <v>АИР-М-1.2-56-АР-62</v>
          </cell>
          <cell r="C70">
            <v>45411</v>
          </cell>
          <cell r="N70" t="str">
            <v>Сураев С.П.</v>
          </cell>
        </row>
        <row r="71">
          <cell r="B71" t="str">
            <v>АИР-М-1.2-56-АР-63</v>
          </cell>
          <cell r="C71">
            <v>45412</v>
          </cell>
          <cell r="N71" t="str">
            <v>Сураев С.П.</v>
          </cell>
        </row>
        <row r="72">
          <cell r="B72" t="str">
            <v>АИР-М-1.2-56-АР-64</v>
          </cell>
          <cell r="C72">
            <v>45414</v>
          </cell>
          <cell r="N72" t="str">
            <v>Сураев С.П.</v>
          </cell>
        </row>
        <row r="73">
          <cell r="B73" t="str">
            <v>АИР-М-1.2-56-АР-65</v>
          </cell>
          <cell r="C73">
            <v>45416</v>
          </cell>
          <cell r="N73" t="str">
            <v>Сураев С.П.</v>
          </cell>
        </row>
        <row r="74">
          <cell r="B74" t="str">
            <v>АИР-М-1.2-56-АР-66</v>
          </cell>
          <cell r="C74">
            <v>45417</v>
          </cell>
          <cell r="N74" t="str">
            <v>Сураев С.П.</v>
          </cell>
        </row>
        <row r="75">
          <cell r="B75" t="str">
            <v>АИР-М-1.2-56-АР-67</v>
          </cell>
          <cell r="C75">
            <v>45417</v>
          </cell>
          <cell r="N75" t="str">
            <v>Сураев С.П.</v>
          </cell>
        </row>
        <row r="76">
          <cell r="B76" t="str">
            <v>АИР-М-1.2-56-АР-68</v>
          </cell>
          <cell r="C76">
            <v>45418</v>
          </cell>
          <cell r="N76" t="str">
            <v>Сураев С.П.</v>
          </cell>
        </row>
        <row r="77">
          <cell r="B77" t="str">
            <v>АИР-М-1.2-56-АР-69</v>
          </cell>
          <cell r="C77">
            <v>45420</v>
          </cell>
          <cell r="N77" t="str">
            <v>Серов А.В.</v>
          </cell>
        </row>
        <row r="78">
          <cell r="B78" t="str">
            <v>АИР-М-1.2-56-АР-70</v>
          </cell>
          <cell r="C78">
            <v>45422</v>
          </cell>
          <cell r="N78" t="str">
            <v>Серов А.В.</v>
          </cell>
        </row>
        <row r="79">
          <cell r="B79" t="str">
            <v>АИР-М-1.2-56-АР-71</v>
          </cell>
          <cell r="C79">
            <v>45424</v>
          </cell>
          <cell r="N79" t="str">
            <v>Серов А.В.</v>
          </cell>
        </row>
        <row r="80">
          <cell r="B80" t="str">
            <v>АИР-М-1.2-56-АР-72</v>
          </cell>
          <cell r="C80">
            <v>45425</v>
          </cell>
          <cell r="N80" t="str">
            <v>Серов А.В.</v>
          </cell>
        </row>
        <row r="81">
          <cell r="B81" t="str">
            <v>АИР-М-1.2-56-АР-73</v>
          </cell>
          <cell r="C81">
            <v>45354</v>
          </cell>
          <cell r="N81" t="str">
            <v>Серов А.В.</v>
          </cell>
        </row>
        <row r="82">
          <cell r="B82" t="str">
            <v>АИР-М-1.2-56-АР-74</v>
          </cell>
          <cell r="C82">
            <v>45418</v>
          </cell>
          <cell r="N82" t="str">
            <v>Сураев С.П.</v>
          </cell>
        </row>
        <row r="83">
          <cell r="B83" t="str">
            <v>АИР-М-1.2-56-АР-75</v>
          </cell>
          <cell r="C83">
            <v>45420</v>
          </cell>
          <cell r="N83" t="str">
            <v>Серов А.В.</v>
          </cell>
        </row>
        <row r="84">
          <cell r="B84" t="str">
            <v>АИР-М-1.2-56-АР-76</v>
          </cell>
          <cell r="C84">
            <v>45420</v>
          </cell>
          <cell r="N84" t="str">
            <v>Серов А.В.</v>
          </cell>
        </row>
        <row r="85">
          <cell r="B85" t="str">
            <v>АИР-М-1.2-56-АР-77</v>
          </cell>
          <cell r="C85">
            <v>45421</v>
          </cell>
          <cell r="N85" t="str">
            <v>Серов А.В.</v>
          </cell>
        </row>
        <row r="86">
          <cell r="B86" t="str">
            <v>АИР-М-1.2-56-АР-78</v>
          </cell>
          <cell r="C86">
            <v>45423</v>
          </cell>
          <cell r="N86" t="str">
            <v>Серов А.В.</v>
          </cell>
        </row>
        <row r="87">
          <cell r="B87" t="str">
            <v>АИР-М-1.2-56-АР-79</v>
          </cell>
          <cell r="C87">
            <v>45423</v>
          </cell>
          <cell r="N87" t="str">
            <v>Серов А.В.</v>
          </cell>
        </row>
        <row r="88">
          <cell r="B88" t="str">
            <v>АИР-М-1.2-56-АР-80</v>
          </cell>
          <cell r="C88">
            <v>45424</v>
          </cell>
          <cell r="N88" t="str">
            <v>Серов А.В.</v>
          </cell>
        </row>
        <row r="89">
          <cell r="B89" t="str">
            <v>АИР-М-1.2-56-АР-81</v>
          </cell>
          <cell r="C89">
            <v>45425</v>
          </cell>
          <cell r="N89" t="str">
            <v>Серов А.В.</v>
          </cell>
        </row>
        <row r="90">
          <cell r="B90" t="str">
            <v>АИР-М-1.2-56-АР-82</v>
          </cell>
          <cell r="C90">
            <v>45421</v>
          </cell>
          <cell r="N90" t="str">
            <v>Серов А.В.</v>
          </cell>
        </row>
        <row r="91">
          <cell r="B91" t="str">
            <v>АИР-М-1.2-56-АР-83</v>
          </cell>
          <cell r="C91">
            <v>45421</v>
          </cell>
          <cell r="N91" t="str">
            <v>Серов А.В.</v>
          </cell>
        </row>
        <row r="92">
          <cell r="B92" t="str">
            <v>АИР-М-1.2-56-АР-84</v>
          </cell>
          <cell r="C92">
            <v>45424</v>
          </cell>
          <cell r="N92" t="str">
            <v>Серов А.В.</v>
          </cell>
        </row>
        <row r="93">
          <cell r="B93" t="str">
            <v>АИР-М-1.2-56-АР-85</v>
          </cell>
          <cell r="C93">
            <v>45424</v>
          </cell>
          <cell r="N93" t="str">
            <v>Серов А.В.</v>
          </cell>
        </row>
        <row r="94">
          <cell r="B94" t="str">
            <v>АИР-М-1.2-56-АР-86</v>
          </cell>
          <cell r="C94">
            <v>45424</v>
          </cell>
          <cell r="N94" t="str">
            <v>Серов А.В.</v>
          </cell>
        </row>
        <row r="95">
          <cell r="B95" t="str">
            <v>АИР-М-1.2-56-АР-87</v>
          </cell>
          <cell r="C95">
            <v>45425</v>
          </cell>
          <cell r="N95" t="str">
            <v>Серов А.В.</v>
          </cell>
        </row>
        <row r="96">
          <cell r="B96" t="str">
            <v>АИР-М-1.2-56-АР-88</v>
          </cell>
          <cell r="C96">
            <v>45426</v>
          </cell>
          <cell r="N96" t="str">
            <v>Алгушаев Р.Р.</v>
          </cell>
        </row>
        <row r="97">
          <cell r="B97" t="str">
            <v>АИР-М-1.2-56-АР-89</v>
          </cell>
          <cell r="C97">
            <v>45427</v>
          </cell>
          <cell r="N97" t="str">
            <v>Алгушаев Р.Р.</v>
          </cell>
        </row>
        <row r="98">
          <cell r="B98" t="str">
            <v>АИР-М-1.2-56-АР-90</v>
          </cell>
          <cell r="C98">
            <v>45427</v>
          </cell>
          <cell r="N98" t="str">
            <v>Алгушаев Р.Р.</v>
          </cell>
        </row>
        <row r="99">
          <cell r="B99" t="str">
            <v>АИР-М-1.2-56-АР-91</v>
          </cell>
          <cell r="C99">
            <v>45428</v>
          </cell>
          <cell r="N99" t="str">
            <v>Алгушаев Р.Р.</v>
          </cell>
        </row>
        <row r="100">
          <cell r="B100" t="str">
            <v>АИР-М-1.2-56-АР-92</v>
          </cell>
          <cell r="C100">
            <v>45430</v>
          </cell>
          <cell r="N100" t="str">
            <v>Алгушаев Р.Р.</v>
          </cell>
        </row>
        <row r="101">
          <cell r="B101" t="str">
            <v>АИР-М-1.2-56-АР-93</v>
          </cell>
          <cell r="C101">
            <v>45430</v>
          </cell>
          <cell r="N101" t="str">
            <v>Алгушаев Р.Р.</v>
          </cell>
        </row>
        <row r="102">
          <cell r="B102" t="str">
            <v>АИР-М-1.2-56-АР-94</v>
          </cell>
          <cell r="C102">
            <v>45431</v>
          </cell>
          <cell r="N102" t="str">
            <v>Алгушаев Р.Р.</v>
          </cell>
        </row>
        <row r="103">
          <cell r="B103" t="str">
            <v>АИР-М-1.2-56-АР-95</v>
          </cell>
          <cell r="C103">
            <v>45431</v>
          </cell>
          <cell r="N103" t="str">
            <v>Алгушаев Р.Р.</v>
          </cell>
        </row>
        <row r="104">
          <cell r="B104" t="str">
            <v>АИР-М-1.2-56-АР-96</v>
          </cell>
          <cell r="C104">
            <v>45433</v>
          </cell>
          <cell r="N104" t="str">
            <v>Алгушаев Р.Р.</v>
          </cell>
        </row>
        <row r="105">
          <cell r="B105" t="str">
            <v>АИР-М-1.2-56-АР-97</v>
          </cell>
          <cell r="C105">
            <v>45433</v>
          </cell>
          <cell r="N105" t="str">
            <v>Алгушаев Р.Р.</v>
          </cell>
        </row>
        <row r="106">
          <cell r="B106" t="str">
            <v>АИР-М-1.2-56-АР-98</v>
          </cell>
          <cell r="C106">
            <v>45448</v>
          </cell>
          <cell r="N106" t="str">
            <v>Серов А.В.</v>
          </cell>
        </row>
        <row r="107">
          <cell r="B107" t="str">
            <v>АИР-М-1.2-56-АР-99</v>
          </cell>
          <cell r="C107">
            <v>45454</v>
          </cell>
          <cell r="N107" t="str">
            <v>Серов А.В.</v>
          </cell>
        </row>
        <row r="108">
          <cell r="B108" t="str">
            <v>АИР-М-1.2-56-АР-98</v>
          </cell>
          <cell r="C108">
            <v>45433</v>
          </cell>
          <cell r="N108" t="str">
            <v>Алгушаев Р.Р.</v>
          </cell>
        </row>
        <row r="109">
          <cell r="B109" t="str">
            <v>АИР-М-1.2-56-АР-99</v>
          </cell>
          <cell r="C109">
            <v>45435</v>
          </cell>
          <cell r="N109" t="str">
            <v>Алгушаев Р.Р.</v>
          </cell>
        </row>
        <row r="110">
          <cell r="B110" t="str">
            <v>АИР-М-1.2-56-АР-100</v>
          </cell>
          <cell r="C110">
            <v>45440</v>
          </cell>
          <cell r="N110" t="str">
            <v>Алгушаев Р.Р.</v>
          </cell>
        </row>
        <row r="111">
          <cell r="B111" t="str">
            <v>АИР-М-1.2-56-АР-101</v>
          </cell>
          <cell r="C111">
            <v>45443</v>
          </cell>
          <cell r="N111" t="str">
            <v>Серов А.В.</v>
          </cell>
        </row>
        <row r="112">
          <cell r="B112" t="str">
            <v>АИР-М-1.2-56-АР-102</v>
          </cell>
          <cell r="C112">
            <v>45447</v>
          </cell>
          <cell r="N112" t="str">
            <v>Серов А.В.</v>
          </cell>
        </row>
        <row r="113">
          <cell r="B113" t="str">
            <v>АИР-М-1.2-56-АР-103</v>
          </cell>
          <cell r="C113">
            <v>45449</v>
          </cell>
          <cell r="N113" t="str">
            <v>Серов А.В.</v>
          </cell>
        </row>
        <row r="114">
          <cell r="B114" t="str">
            <v>АИР-М-1.2-56-АР-46</v>
          </cell>
          <cell r="C114">
            <v>45449</v>
          </cell>
          <cell r="N114" t="str">
            <v>Серов А.В.</v>
          </cell>
        </row>
        <row r="115">
          <cell r="B115" t="str">
            <v>АИР-М-1.2-56-АР-51</v>
          </cell>
          <cell r="C115">
            <v>45452</v>
          </cell>
          <cell r="N115" t="str">
            <v>Серов А.В.</v>
          </cell>
        </row>
        <row r="116">
          <cell r="B116" t="str">
            <v>АИР-М-1.2-56-АР-55</v>
          </cell>
          <cell r="C116">
            <v>45382</v>
          </cell>
          <cell r="N116" t="str">
            <v>Алгушаев Р.Р.</v>
          </cell>
        </row>
        <row r="117">
          <cell r="B117" t="str">
            <v>АИР-М-1.2-56-АР-56</v>
          </cell>
          <cell r="C117">
            <v>45427</v>
          </cell>
          <cell r="N117" t="str">
            <v>Серов А.В.</v>
          </cell>
        </row>
        <row r="118">
          <cell r="B118" t="str">
            <v>АИР-М-1.2-56-АР-57</v>
          </cell>
          <cell r="C118">
            <v>45428</v>
          </cell>
          <cell r="N118" t="str">
            <v>Серов А.В.</v>
          </cell>
        </row>
        <row r="119">
          <cell r="B119" t="str">
            <v>АИР-М-1.2-56-АР-58</v>
          </cell>
          <cell r="C119">
            <v>45432</v>
          </cell>
          <cell r="N119" t="str">
            <v>Серов А.В.</v>
          </cell>
        </row>
        <row r="120">
          <cell r="B120" t="str">
            <v>АИР-М-1.2-56-АР-59</v>
          </cell>
          <cell r="C120">
            <v>45434</v>
          </cell>
          <cell r="N120" t="str">
            <v>Серов А.В.</v>
          </cell>
        </row>
        <row r="121">
          <cell r="B121" t="str">
            <v>АИР-М-1.2-56-АР-60</v>
          </cell>
          <cell r="C121">
            <v>45434</v>
          </cell>
          <cell r="N121" t="str">
            <v>Серов А.В.</v>
          </cell>
        </row>
        <row r="122">
          <cell r="B122" t="str">
            <v>АИР-М-1.2-56-АР-61</v>
          </cell>
          <cell r="C122">
            <v>45442</v>
          </cell>
          <cell r="N122" t="str">
            <v>Серов А.В.</v>
          </cell>
        </row>
        <row r="123">
          <cell r="B123" t="str">
            <v>АИР-М-1.2-56-АР-62</v>
          </cell>
          <cell r="C123">
            <v>45445</v>
          </cell>
          <cell r="N123" t="str">
            <v>Серов А.В.</v>
          </cell>
        </row>
        <row r="124">
          <cell r="B124" t="str">
            <v>АИР-М-1.2-56-АР-63</v>
          </cell>
          <cell r="C124">
            <v>45455</v>
          </cell>
          <cell r="N124" t="str">
            <v>Серов А.В.</v>
          </cell>
        </row>
        <row r="125">
          <cell r="B125" t="str">
            <v>АИР-М-1.2-56-АР-64</v>
          </cell>
          <cell r="C125">
            <v>45458</v>
          </cell>
          <cell r="N125" t="str">
            <v>Сураев С.П.</v>
          </cell>
        </row>
        <row r="126">
          <cell r="B126" t="str">
            <v>АИР-М-1.2-56-АР-65</v>
          </cell>
          <cell r="C126">
            <v>45528</v>
          </cell>
          <cell r="N126" t="str">
            <v>Алгушаев Р.Р.</v>
          </cell>
        </row>
        <row r="127">
          <cell r="B127" t="str">
            <v>АИР-М-1.2-56-АР-66</v>
          </cell>
          <cell r="C127">
            <v>45532</v>
          </cell>
          <cell r="N127" t="str">
            <v>Алгушаев Р.Р.</v>
          </cell>
        </row>
        <row r="128">
          <cell r="B128" t="str">
            <v>АИР-М-1.2-56-АР-94</v>
          </cell>
          <cell r="C128">
            <v>45432</v>
          </cell>
          <cell r="N128" t="str">
            <v>Серов А.В.</v>
          </cell>
        </row>
        <row r="129">
          <cell r="B129" t="str">
            <v>АИР-М-1.2-56-АР-95</v>
          </cell>
          <cell r="C129">
            <v>45439</v>
          </cell>
          <cell r="N129" t="str">
            <v>Серов А.В.</v>
          </cell>
        </row>
        <row r="130">
          <cell r="B130" t="str">
            <v>АИР-М-1.2-56-АР-96</v>
          </cell>
          <cell r="C130">
            <v>45439</v>
          </cell>
          <cell r="N130" t="str">
            <v>Серов А.В.</v>
          </cell>
        </row>
        <row r="131">
          <cell r="B131" t="str">
            <v>АИР-М-1.2-56-АР-97</v>
          </cell>
          <cell r="C131">
            <v>45442</v>
          </cell>
          <cell r="N131" t="str">
            <v>Серов А.В.</v>
          </cell>
        </row>
        <row r="132">
          <cell r="B132" t="str">
            <v>АИР-М-1.2-56-АР-98</v>
          </cell>
          <cell r="C132">
            <v>45451</v>
          </cell>
          <cell r="N132" t="str">
            <v>Серов А.В.</v>
          </cell>
        </row>
        <row r="133">
          <cell r="B133" t="str">
            <v>АИР-М-1.2-56-АР-99</v>
          </cell>
          <cell r="C133">
            <v>45453</v>
          </cell>
          <cell r="N133" t="str">
            <v>Серов А.В.</v>
          </cell>
        </row>
        <row r="134">
          <cell r="B134" t="str">
            <v>АИР-М-1.2-56-АР-122</v>
          </cell>
          <cell r="C134">
            <v>45424</v>
          </cell>
          <cell r="N134" t="str">
            <v>Серов А.В.</v>
          </cell>
        </row>
        <row r="135">
          <cell r="B135" t="str">
            <v>АИР-М-1.2-56-АР-123</v>
          </cell>
          <cell r="C135">
            <v>45428</v>
          </cell>
          <cell r="N135" t="str">
            <v>Алгушаев Р.Р.</v>
          </cell>
        </row>
        <row r="136">
          <cell r="B136" t="str">
            <v>АИР-М-1.2-56-АР-124</v>
          </cell>
          <cell r="C136">
            <v>45429</v>
          </cell>
          <cell r="N136" t="str">
            <v>Алгушаев Р.Р.</v>
          </cell>
        </row>
        <row r="137">
          <cell r="B137" t="str">
            <v>АИР-М-1.2-56-АР-125</v>
          </cell>
          <cell r="C137">
            <v>45429</v>
          </cell>
          <cell r="N137" t="str">
            <v>Алгушаев Р.Р.</v>
          </cell>
        </row>
        <row r="138">
          <cell r="B138" t="str">
            <v>АИР-М-1.2-56-АР-127</v>
          </cell>
          <cell r="C138">
            <v>45431</v>
          </cell>
          <cell r="N138" t="str">
            <v>Алгушаев Р.Р.</v>
          </cell>
        </row>
        <row r="139">
          <cell r="B139" t="str">
            <v>АИР-М-1.2-56-АР-129</v>
          </cell>
          <cell r="C139">
            <v>45433</v>
          </cell>
          <cell r="N139" t="str">
            <v>Алгушаев Р.Р.</v>
          </cell>
        </row>
        <row r="140">
          <cell r="B140" t="str">
            <v>АИР-М-1.2-56-АР-130</v>
          </cell>
          <cell r="C140">
            <v>45436</v>
          </cell>
          <cell r="N140" t="str">
            <v>Алгушаев Р.Р.</v>
          </cell>
        </row>
        <row r="141">
          <cell r="B141" t="str">
            <v>АИР-М-1.2-56-АР-131</v>
          </cell>
          <cell r="C141">
            <v>45439</v>
          </cell>
          <cell r="N141" t="str">
            <v>Алгушаев Р.Р.</v>
          </cell>
        </row>
        <row r="142">
          <cell r="B142" t="str">
            <v>АИР-М-1.2-56-АР-238</v>
          </cell>
          <cell r="C142">
            <v>45540</v>
          </cell>
          <cell r="N142" t="str">
            <v>Алгушаев Р.Р.</v>
          </cell>
        </row>
        <row r="143">
          <cell r="B143" t="str">
            <v>АИР-М-1.2-56-АР-239</v>
          </cell>
          <cell r="C143">
            <v>45543</v>
          </cell>
          <cell r="N143" t="str">
            <v>Алгушаев Р.Р.</v>
          </cell>
        </row>
        <row r="144">
          <cell r="B144" t="str">
            <v>АИР-М-1.2-56-АР-240</v>
          </cell>
          <cell r="C144">
            <v>45546</v>
          </cell>
          <cell r="N144" t="str">
            <v>Алгушаев Р.Р.</v>
          </cell>
        </row>
        <row r="145">
          <cell r="B145" t="str">
            <v>АИР-М-1.2-56-АР-241</v>
          </cell>
          <cell r="C145">
            <v>45549</v>
          </cell>
          <cell r="N145" t="str">
            <v>Алгушаев Р.Р.</v>
          </cell>
        </row>
        <row r="154">
          <cell r="B154" t="str">
            <v>АИР-М-1.2-56-АР-209</v>
          </cell>
          <cell r="C154">
            <v>45435</v>
          </cell>
          <cell r="N154" t="str">
            <v>Алгушаев Р.Р.</v>
          </cell>
        </row>
        <row r="155">
          <cell r="B155" t="str">
            <v>АИР-М-1.2-56-АР-210</v>
          </cell>
          <cell r="C155">
            <v>45424</v>
          </cell>
          <cell r="N155" t="str">
            <v>Серов А.В.</v>
          </cell>
        </row>
        <row r="156">
          <cell r="B156" t="str">
            <v>АИР-М-1.2-56-АР-211</v>
          </cell>
          <cell r="C156">
            <v>45433</v>
          </cell>
          <cell r="N156" t="str">
            <v>Алгушаев Р.Р.</v>
          </cell>
        </row>
        <row r="157">
          <cell r="B157" t="str">
            <v>АИР-М-1.2-56-АР-212</v>
          </cell>
          <cell r="C157">
            <v>45434</v>
          </cell>
          <cell r="N157" t="str">
            <v>Алгушаев Р.Р.</v>
          </cell>
        </row>
        <row r="158">
          <cell r="B158" t="str">
            <v>АИР-М-1.2-56-АР-213</v>
          </cell>
          <cell r="C158">
            <v>45435</v>
          </cell>
          <cell r="N158" t="str">
            <v>Алгушаев Р.Р.</v>
          </cell>
        </row>
        <row r="159">
          <cell r="B159" t="str">
            <v>АИР-М-1.2-56-АР-141</v>
          </cell>
          <cell r="C159">
            <v>45421</v>
          </cell>
          <cell r="N159" t="str">
            <v>Серов А.В.</v>
          </cell>
        </row>
        <row r="160">
          <cell r="B160" t="str">
            <v>АИР-М-1.2-56-АР-142</v>
          </cell>
          <cell r="C160">
            <v>45421</v>
          </cell>
          <cell r="N160" t="str">
            <v>Серов А.В.</v>
          </cell>
        </row>
        <row r="161">
          <cell r="B161" t="str">
            <v>АИР-М-1.2-56-АР-143</v>
          </cell>
          <cell r="C161">
            <v>45426</v>
          </cell>
          <cell r="N161" t="str">
            <v>Алгушаев Р.Р.</v>
          </cell>
        </row>
        <row r="162">
          <cell r="B162" t="str">
            <v>АИР-М-1.2-56-АР-144</v>
          </cell>
          <cell r="C162">
            <v>45427</v>
          </cell>
          <cell r="N162" t="str">
            <v>Алгушаев Р.Р.</v>
          </cell>
        </row>
        <row r="163">
          <cell r="B163" t="str">
            <v>АИР-М-1.2-56-АР-145</v>
          </cell>
          <cell r="C163">
            <v>45428</v>
          </cell>
          <cell r="N163" t="str">
            <v>Алгушаев Р.Р.</v>
          </cell>
        </row>
        <row r="164">
          <cell r="B164" t="str">
            <v>АИР-М-1.2-56-АР-146</v>
          </cell>
          <cell r="C164">
            <v>45421</v>
          </cell>
          <cell r="N164" t="str">
            <v>Серов А.В.</v>
          </cell>
        </row>
        <row r="165">
          <cell r="B165" t="str">
            <v>АИР-М-1.2-56-АР-147</v>
          </cell>
          <cell r="C165">
            <v>45421</v>
          </cell>
          <cell r="N165" t="str">
            <v>Серов А.В.</v>
          </cell>
        </row>
        <row r="166">
          <cell r="B166" t="str">
            <v>АИР-М-1.2-56-АР-148</v>
          </cell>
          <cell r="C166">
            <v>45425</v>
          </cell>
          <cell r="N166" t="str">
            <v>Серов А.В.</v>
          </cell>
        </row>
        <row r="167">
          <cell r="B167" t="str">
            <v>АИР-М-1.2-56-АР-149</v>
          </cell>
          <cell r="C167">
            <v>45426</v>
          </cell>
          <cell r="N167" t="str">
            <v>Серов А.В.</v>
          </cell>
        </row>
        <row r="168">
          <cell r="B168" t="str">
            <v>АИР-М-1.2-56-АР-150</v>
          </cell>
          <cell r="C168">
            <v>45427</v>
          </cell>
          <cell r="N168" t="str">
            <v>Серов А.В.</v>
          </cell>
        </row>
        <row r="169">
          <cell r="B169" t="str">
            <v>АИР-М-1.2-56-АР-151</v>
          </cell>
          <cell r="C169">
            <v>45420</v>
          </cell>
          <cell r="N169" t="str">
            <v>Серов А.В.</v>
          </cell>
        </row>
        <row r="170">
          <cell r="B170" t="str">
            <v>АИР-М-1.2-56-АР-152</v>
          </cell>
          <cell r="C170">
            <v>45422</v>
          </cell>
          <cell r="N170" t="str">
            <v>Серов А.В.</v>
          </cell>
        </row>
        <row r="171">
          <cell r="B171" t="str">
            <v>АИР-М-1.2-56-АР-153</v>
          </cell>
          <cell r="C171">
            <v>45423</v>
          </cell>
          <cell r="N171" t="str">
            <v>Серов А.В.</v>
          </cell>
        </row>
        <row r="172">
          <cell r="B172" t="str">
            <v>АИР-М-1.2-56-АР-154</v>
          </cell>
          <cell r="C172">
            <v>45426</v>
          </cell>
          <cell r="N172" t="str">
            <v>Алгушаев Р.Р.</v>
          </cell>
        </row>
        <row r="173">
          <cell r="B173" t="str">
            <v>АИР-М-1.2-56-АР-155</v>
          </cell>
          <cell r="C173">
            <v>45426</v>
          </cell>
          <cell r="N173" t="str">
            <v>Алгушаев Р.Р.</v>
          </cell>
        </row>
        <row r="174">
          <cell r="B174" t="str">
            <v>АИР-М-1.2-56-АР-156</v>
          </cell>
          <cell r="C174">
            <v>45430</v>
          </cell>
          <cell r="N174" t="str">
            <v>Алгушаев Р.Р.</v>
          </cell>
        </row>
        <row r="175">
          <cell r="B175" t="str">
            <v>АИР-М-1.2-56-АР-157</v>
          </cell>
          <cell r="C175">
            <v>45431</v>
          </cell>
          <cell r="N175" t="str">
            <v>Алгушаев Р.Р.</v>
          </cell>
        </row>
        <row r="176">
          <cell r="B176" t="str">
            <v>АИР-М-1.2-56-АР-158</v>
          </cell>
          <cell r="C176">
            <v>45432</v>
          </cell>
          <cell r="N176" t="str">
            <v>Алгушаев Р.Р.</v>
          </cell>
        </row>
        <row r="177">
          <cell r="B177" t="str">
            <v>АИР-М-1.2-56-АР-159</v>
          </cell>
          <cell r="C177">
            <v>45424</v>
          </cell>
          <cell r="N177" t="str">
            <v>Серов А.В.</v>
          </cell>
        </row>
        <row r="178">
          <cell r="B178" t="str">
            <v>АИР-М-1.2-56-АР-160</v>
          </cell>
          <cell r="C178">
            <v>45424</v>
          </cell>
          <cell r="N178" t="str">
            <v>Серов А.В.</v>
          </cell>
        </row>
        <row r="179">
          <cell r="B179" t="str">
            <v>АИР-М-1.2-56-АР-161</v>
          </cell>
          <cell r="C179">
            <v>45426</v>
          </cell>
          <cell r="N179" t="str">
            <v>Алгушаев Р.Р.</v>
          </cell>
        </row>
        <row r="180">
          <cell r="B180" t="str">
            <v>АИР-М-1.2-56-АР-162</v>
          </cell>
          <cell r="C180">
            <v>45427</v>
          </cell>
          <cell r="N180" t="str">
            <v>Алгушаев Р.Р.</v>
          </cell>
        </row>
        <row r="181">
          <cell r="B181" t="str">
            <v>АИР-М-1.2-56-АР-163</v>
          </cell>
          <cell r="C181">
            <v>45428</v>
          </cell>
          <cell r="N181" t="str">
            <v>Алгушаев Р.Р.</v>
          </cell>
        </row>
        <row r="182">
          <cell r="B182" t="str">
            <v>АИР-М-1.2-56-АР-164</v>
          </cell>
          <cell r="C182">
            <v>45441</v>
          </cell>
          <cell r="N182" t="str">
            <v>Алгушаев Р.Р.</v>
          </cell>
        </row>
        <row r="183">
          <cell r="B183" t="str">
            <v>АИР-М-1.2-56-АР-165</v>
          </cell>
          <cell r="C183">
            <v>45442</v>
          </cell>
          <cell r="N183" t="str">
            <v>Серов А.В.</v>
          </cell>
        </row>
        <row r="184">
          <cell r="B184" t="str">
            <v>АИР-М-1.2-56-АР-166</v>
          </cell>
          <cell r="C184">
            <v>45444</v>
          </cell>
          <cell r="N184" t="str">
            <v>Серов А.В.</v>
          </cell>
        </row>
        <row r="185">
          <cell r="B185" t="str">
            <v>АИР-М-1.2-56-АР-167</v>
          </cell>
          <cell r="C185">
            <v>45445</v>
          </cell>
          <cell r="N185" t="str">
            <v>Серов А.В.</v>
          </cell>
        </row>
        <row r="186">
          <cell r="B186" t="str">
            <v>АИР-М-1.2-56-АР-168</v>
          </cell>
          <cell r="C186">
            <v>45453</v>
          </cell>
          <cell r="N186" t="str">
            <v>Серов А.В.</v>
          </cell>
        </row>
        <row r="189">
          <cell r="B189" t="str">
            <v>АИР-М-1.2-56-АР-171</v>
          </cell>
          <cell r="C189">
            <v>45454</v>
          </cell>
          <cell r="N189" t="str">
            <v>Серов А.В.</v>
          </cell>
        </row>
        <row r="190">
          <cell r="B190" t="str">
            <v>АИР-М-1.2-56-АР-172</v>
          </cell>
          <cell r="C190">
            <v>45443</v>
          </cell>
          <cell r="N190" t="str">
            <v>Серов А.В.</v>
          </cell>
        </row>
        <row r="191">
          <cell r="B191" t="str">
            <v>АИР-М-1.2-56-АР-173</v>
          </cell>
          <cell r="C191">
            <v>45427</v>
          </cell>
          <cell r="N191" t="str">
            <v>Алгушаев Р.Р.</v>
          </cell>
        </row>
        <row r="192">
          <cell r="B192" t="str">
            <v>АИР-М-1.2-56-АР-174</v>
          </cell>
          <cell r="C192">
            <v>45431</v>
          </cell>
          <cell r="N192" t="str">
            <v>Алгушаев Р.Р.</v>
          </cell>
        </row>
        <row r="193">
          <cell r="B193" t="str">
            <v>АИР-М-1.2-56-АР-175</v>
          </cell>
          <cell r="C193">
            <v>45433</v>
          </cell>
          <cell r="N193" t="str">
            <v>Алгушаев Р.Р.</v>
          </cell>
        </row>
        <row r="194">
          <cell r="B194" t="str">
            <v>АИР-М-1.2-56-АР-176</v>
          </cell>
          <cell r="C194">
            <v>45434</v>
          </cell>
          <cell r="N194" t="str">
            <v>Алгушаев Р.Р.</v>
          </cell>
        </row>
        <row r="195">
          <cell r="B195" t="str">
            <v>АИР-М-1.2-56-АР-177</v>
          </cell>
          <cell r="C195">
            <v>45429</v>
          </cell>
          <cell r="N195" t="str">
            <v>Алгушаев Р.Р.</v>
          </cell>
        </row>
        <row r="196">
          <cell r="B196" t="str">
            <v>АИР-М-1.2-56-АР-178</v>
          </cell>
          <cell r="C196">
            <v>45433</v>
          </cell>
          <cell r="N196" t="str">
            <v>Алгушаев Р.Р.</v>
          </cell>
        </row>
        <row r="197">
          <cell r="B197" t="str">
            <v>АИР-М-1.2-56-АР-179</v>
          </cell>
          <cell r="C197">
            <v>45435</v>
          </cell>
          <cell r="N197" t="str">
            <v>Алгушаев Р.Р.</v>
          </cell>
        </row>
        <row r="198">
          <cell r="B198" t="str">
            <v>АИР-М-1.2-56-АР-194</v>
          </cell>
          <cell r="C198">
            <v>45439</v>
          </cell>
          <cell r="N198" t="str">
            <v>Алгушаев Р.Р.</v>
          </cell>
        </row>
        <row r="199">
          <cell r="B199" t="str">
            <v>АИР-М-1.2-56-АР-195</v>
          </cell>
          <cell r="C199">
            <v>45443</v>
          </cell>
          <cell r="N199" t="str">
            <v>Серов А.В.</v>
          </cell>
        </row>
        <row r="200">
          <cell r="B200" t="str">
            <v>АИР-М-1.2-56-АР-196</v>
          </cell>
          <cell r="C200">
            <v>45447</v>
          </cell>
          <cell r="N200" t="str">
            <v>Серов А.В.</v>
          </cell>
        </row>
        <row r="201">
          <cell r="B201" t="str">
            <v>АИР-М-1.2-56-АР-197</v>
          </cell>
          <cell r="C201">
            <v>45440</v>
          </cell>
          <cell r="N201" t="str">
            <v>Серов А.В.</v>
          </cell>
        </row>
        <row r="202">
          <cell r="B202" t="str">
            <v>АИР-М-1.2-56-АР-198</v>
          </cell>
          <cell r="C202">
            <v>45443</v>
          </cell>
          <cell r="N202" t="str">
            <v>Серов А.В.</v>
          </cell>
        </row>
        <row r="203">
          <cell r="B203" t="str">
            <v>АИР-М-1.2-56-АР-199</v>
          </cell>
          <cell r="C203">
            <v>45446</v>
          </cell>
          <cell r="N203" t="str">
            <v>Серов А.В.</v>
          </cell>
        </row>
        <row r="204">
          <cell r="B204" t="str">
            <v>АИР-М-1.2-56-АР-200</v>
          </cell>
          <cell r="C204">
            <v>45443</v>
          </cell>
          <cell r="N204" t="str">
            <v>Серов А.В.</v>
          </cell>
        </row>
        <row r="205">
          <cell r="B205" t="str">
            <v>АИР-М-1.2-56-АР-201</v>
          </cell>
          <cell r="C205">
            <v>45446</v>
          </cell>
          <cell r="N205" t="str">
            <v>Серов А.В.</v>
          </cell>
        </row>
        <row r="206">
          <cell r="B206" t="str">
            <v>АИР-М-1.2-56-АР-202</v>
          </cell>
          <cell r="C206">
            <v>45449</v>
          </cell>
          <cell r="N206" t="str">
            <v>Серов А.В.</v>
          </cell>
        </row>
        <row r="207">
          <cell r="B207" t="str">
            <v>АИР-М-1.2-56-АР-203</v>
          </cell>
          <cell r="C207">
            <v>45433</v>
          </cell>
          <cell r="N207" t="str">
            <v>Алгушаев Р.Р.</v>
          </cell>
        </row>
        <row r="208">
          <cell r="B208" t="str">
            <v>АИР-М-1.2-56-АР-204</v>
          </cell>
          <cell r="C208">
            <v>45434</v>
          </cell>
          <cell r="N208" t="str">
            <v>Алгушаев Р.Р.</v>
          </cell>
        </row>
        <row r="209">
          <cell r="B209" t="str">
            <v>АИР-М-1.2-56-АР-205</v>
          </cell>
          <cell r="C209">
            <v>45435</v>
          </cell>
          <cell r="N209" t="str">
            <v>Алгушаев Р.Р.</v>
          </cell>
        </row>
        <row r="210">
          <cell r="B210" t="str">
            <v>АИР-М-1.2-56-АР-206</v>
          </cell>
          <cell r="C210">
            <v>45448</v>
          </cell>
          <cell r="N210" t="str">
            <v>Серов А.В.</v>
          </cell>
        </row>
        <row r="211">
          <cell r="B211" t="str">
            <v>АИР-М-1.2-56-АР-207</v>
          </cell>
          <cell r="C211">
            <v>45452</v>
          </cell>
          <cell r="N211" t="str">
            <v>Серов А.В.</v>
          </cell>
        </row>
        <row r="212">
          <cell r="B212" t="str">
            <v>АИР-М-1.2-56-АР-208</v>
          </cell>
          <cell r="C212">
            <v>45436</v>
          </cell>
          <cell r="N212" t="str">
            <v>Алгушаев Р.Р.</v>
          </cell>
        </row>
        <row r="213">
          <cell r="B213" t="str">
            <v>АИР-М-1.2-56-АР-214</v>
          </cell>
          <cell r="C213">
            <v>45439</v>
          </cell>
          <cell r="N213" t="str">
            <v>Алгушаев Р.Р.</v>
          </cell>
        </row>
        <row r="214">
          <cell r="B214" t="str">
            <v>АИР-М-1.2-56-АР-215</v>
          </cell>
          <cell r="C214">
            <v>45447</v>
          </cell>
          <cell r="N214" t="str">
            <v>Серов А.В.</v>
          </cell>
        </row>
        <row r="215">
          <cell r="B215" t="str">
            <v>АИР-М-1.2-56-АР-216</v>
          </cell>
          <cell r="C215">
            <v>45448</v>
          </cell>
          <cell r="N215" t="str">
            <v>Серов А.В.</v>
          </cell>
        </row>
        <row r="216">
          <cell r="B216" t="str">
            <v>АИР-М-1.2-56-АР-217</v>
          </cell>
          <cell r="C216">
            <v>45449</v>
          </cell>
          <cell r="N216" t="str">
            <v>Серов А.В.</v>
          </cell>
        </row>
        <row r="217">
          <cell r="B217" t="str">
            <v>АИР-М-1.2-56-АР-218</v>
          </cell>
          <cell r="C217">
            <v>45441</v>
          </cell>
          <cell r="N217" t="str">
            <v>Серов А.В.</v>
          </cell>
        </row>
        <row r="218">
          <cell r="B218" t="str">
            <v>АИР-М-1.2-56-АР-219</v>
          </cell>
          <cell r="C218">
            <v>45449</v>
          </cell>
          <cell r="N218" t="str">
            <v>Серов А.В.</v>
          </cell>
        </row>
        <row r="219">
          <cell r="B219" t="str">
            <v>АИР-М-1.2-56-АР-220</v>
          </cell>
          <cell r="C219">
            <v>45453</v>
          </cell>
          <cell r="N219" t="str">
            <v>Серов А.В.</v>
          </cell>
        </row>
        <row r="220">
          <cell r="B220" t="str">
            <v>АИР-М-1.2-56-АР-221</v>
          </cell>
          <cell r="C220">
            <v>45455</v>
          </cell>
          <cell r="N220" t="str">
            <v>Серов А.В.</v>
          </cell>
        </row>
        <row r="221">
          <cell r="B221" t="str">
            <v>АИР-М-1.2-56-АР-222</v>
          </cell>
          <cell r="C221">
            <v>45444</v>
          </cell>
          <cell r="N221" t="str">
            <v>Серов А.В.</v>
          </cell>
        </row>
        <row r="222">
          <cell r="B222" t="str">
            <v>АИР-М-1.2-56-АР-223</v>
          </cell>
          <cell r="C222">
            <v>45452</v>
          </cell>
          <cell r="N222" t="str">
            <v>Серов А.В.</v>
          </cell>
        </row>
        <row r="223">
          <cell r="B223" t="str">
            <v>АИР-М-1.2-56-АР-224</v>
          </cell>
          <cell r="C223">
            <v>45456</v>
          </cell>
          <cell r="N223" t="str">
            <v>Серов А.В.</v>
          </cell>
        </row>
        <row r="224">
          <cell r="B224" t="str">
            <v>АИР-М-1.2-56-АР-225</v>
          </cell>
          <cell r="C224">
            <v>45458</v>
          </cell>
          <cell r="N224" t="str">
            <v>Сураев С.П.</v>
          </cell>
        </row>
        <row r="227">
          <cell r="B227" t="str">
            <v>АИР-М-1.2-56-АР-228</v>
          </cell>
          <cell r="C227">
            <v>45439</v>
          </cell>
          <cell r="N227" t="str">
            <v>Серов А.В.</v>
          </cell>
        </row>
        <row r="228">
          <cell r="B228" t="str">
            <v>АИР-М-1.2-56-АР-229</v>
          </cell>
          <cell r="C228">
            <v>45450</v>
          </cell>
          <cell r="N228" t="str">
            <v>Серов А.В.</v>
          </cell>
        </row>
        <row r="233">
          <cell r="B233" t="str">
            <v>АИР-М-1.2-56-АР-234</v>
          </cell>
          <cell r="C233">
            <v>45462</v>
          </cell>
          <cell r="N233" t="str">
            <v>Сураев С.П.</v>
          </cell>
        </row>
        <row r="234">
          <cell r="B234" t="str">
            <v>АИР-М-1.2-56-АР-235</v>
          </cell>
          <cell r="C234">
            <v>45528</v>
          </cell>
          <cell r="N234" t="str">
            <v>Алгушаев Р.Р.</v>
          </cell>
        </row>
        <row r="235">
          <cell r="B235" t="str">
            <v>АИР-М-1.2-56-АР-236</v>
          </cell>
          <cell r="C235">
            <v>45531</v>
          </cell>
          <cell r="N235" t="str">
            <v>Алгушаев Р.Р.</v>
          </cell>
        </row>
        <row r="236">
          <cell r="B236" t="str">
            <v>АИР-М-1.2-56-АР-237</v>
          </cell>
          <cell r="C236">
            <v>45532</v>
          </cell>
          <cell r="N236" t="str">
            <v>Алгушаев Р.Р.</v>
          </cell>
        </row>
        <row r="237">
          <cell r="B237" t="str">
            <v>АИР-М-1.2-56-АР-238</v>
          </cell>
          <cell r="C237">
            <v>45540</v>
          </cell>
          <cell r="N237" t="str">
            <v>Алгушаев Р.Р.</v>
          </cell>
        </row>
        <row r="238">
          <cell r="B238" t="str">
            <v>АИР-М-1.2-56-АР-239</v>
          </cell>
          <cell r="C238">
            <v>45543</v>
          </cell>
          <cell r="N238" t="str">
            <v>Алгушаев Р.Р.</v>
          </cell>
        </row>
        <row r="239">
          <cell r="B239" t="str">
            <v>АИР-М-1.2-56-АР-240</v>
          </cell>
          <cell r="C239">
            <v>45546</v>
          </cell>
          <cell r="N239" t="str">
            <v>Алгушаев Р.Р.</v>
          </cell>
        </row>
        <row r="240">
          <cell r="B240" t="str">
            <v>АИР-М-1.2-56-АР-241</v>
          </cell>
          <cell r="C240">
            <v>45549</v>
          </cell>
          <cell r="N240" t="str">
            <v>Алгушаев Р.Р.</v>
          </cell>
        </row>
        <row r="241">
          <cell r="B241" t="str">
            <v>АИР-М-1.2-56-АР-242</v>
          </cell>
          <cell r="C241">
            <v>45548</v>
          </cell>
          <cell r="N241" t="str">
            <v>Алгушаев Р.Р.</v>
          </cell>
        </row>
        <row r="242">
          <cell r="B242" t="str">
            <v>АИР-М-1.2-56-АР-243</v>
          </cell>
          <cell r="C242">
            <v>45557</v>
          </cell>
          <cell r="N242" t="str">
            <v>Алгушаев Р.Р.</v>
          </cell>
        </row>
        <row r="243">
          <cell r="B243" t="str">
            <v>АИР-М-1.2-56-АР-244</v>
          </cell>
          <cell r="C243">
            <v>45561</v>
          </cell>
          <cell r="N243" t="str">
            <v>Серов А.В.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indexed="11"/>
    <pageSetUpPr fitToPage="1"/>
  </sheetPr>
  <dimension ref="A1:O120"/>
  <sheetViews>
    <sheetView view="pageBreakPreview" zoomScale="66" zoomScaleNormal="100" zoomScaleSheetLayoutView="115" workbookViewId="0">
      <pane xSplit="12" ySplit="4" topLeftCell="M59" activePane="bottomRight" state="frozen"/>
      <selection activeCell="P34" sqref="P34"/>
      <selection pane="topRight" activeCell="P34" sqref="P34"/>
      <selection pane="bottomLeft" activeCell="P34" sqref="P34"/>
      <selection pane="bottomRight" activeCell="N44" sqref="N44"/>
    </sheetView>
  </sheetViews>
  <sheetFormatPr defaultColWidth="9.109375" defaultRowHeight="13.2" x14ac:dyDescent="0.25"/>
  <cols>
    <col min="1" max="1" width="8.44140625" style="30" customWidth="1"/>
    <col min="2" max="2" width="8.33203125" style="30" customWidth="1"/>
    <col min="3" max="3" width="11.88671875" style="30" customWidth="1"/>
    <col min="4" max="4" width="17.109375" style="30" customWidth="1"/>
    <col min="5" max="5" width="13.44140625" style="30" bestFit="1" customWidth="1"/>
    <col min="6" max="6" width="11.88671875" style="30" customWidth="1"/>
    <col min="7" max="7" width="5.88671875" style="30" customWidth="1"/>
    <col min="8" max="8" width="4.6640625" style="30" customWidth="1"/>
    <col min="9" max="9" width="7.109375" style="30" customWidth="1"/>
    <col min="10" max="10" width="24.6640625" style="44" customWidth="1"/>
    <col min="11" max="11" width="2.6640625" style="30" customWidth="1"/>
    <col min="12" max="12" width="4.109375" style="30" customWidth="1"/>
    <col min="13" max="13" width="4.33203125" style="44" customWidth="1"/>
    <col min="14" max="16384" width="9.109375" style="30"/>
  </cols>
  <sheetData>
    <row r="1" spans="1:14" x14ac:dyDescent="0.25">
      <c r="I1" s="277" t="s">
        <v>175</v>
      </c>
      <c r="J1" s="277"/>
      <c r="K1" s="70"/>
      <c r="L1" s="70"/>
      <c r="M1" s="71"/>
      <c r="N1" s="70"/>
    </row>
    <row r="2" spans="1:14" x14ac:dyDescent="0.25">
      <c r="I2" s="86"/>
      <c r="J2" s="86"/>
      <c r="K2" s="29"/>
      <c r="L2" s="29"/>
      <c r="M2" s="72"/>
      <c r="N2" s="29"/>
    </row>
    <row r="3" spans="1:14" ht="15.9" customHeight="1" thickBot="1" x14ac:dyDescent="0.3">
      <c r="A3" s="287" t="s">
        <v>38</v>
      </c>
      <c r="B3" s="287"/>
      <c r="C3" s="287"/>
      <c r="D3" s="287"/>
      <c r="E3" s="282" t="s">
        <v>29</v>
      </c>
      <c r="F3" s="282"/>
      <c r="G3" s="282"/>
      <c r="H3" s="282"/>
      <c r="I3" s="282"/>
      <c r="J3" s="282"/>
      <c r="K3" s="29"/>
      <c r="L3" s="29"/>
      <c r="M3" s="72"/>
      <c r="N3" s="29"/>
    </row>
    <row r="4" spans="1:14" ht="15.9" customHeight="1" thickBot="1" x14ac:dyDescent="0.3">
      <c r="A4" s="279" t="s">
        <v>84</v>
      </c>
      <c r="B4" s="296"/>
      <c r="C4" s="296"/>
      <c r="D4" s="296"/>
      <c r="E4" s="296"/>
      <c r="F4" s="296"/>
      <c r="G4" s="296"/>
      <c r="H4" s="296"/>
      <c r="I4" s="296"/>
      <c r="J4" s="296"/>
      <c r="K4" s="29"/>
      <c r="L4" s="29"/>
      <c r="M4" s="73">
        <v>1</v>
      </c>
      <c r="N4" s="29"/>
    </row>
    <row r="5" spans="1:14" s="32" customFormat="1" ht="15.9" customHeight="1" x14ac:dyDescent="0.25">
      <c r="A5" s="279" t="s">
        <v>173</v>
      </c>
      <c r="B5" s="296"/>
      <c r="C5" s="296"/>
      <c r="D5" s="296"/>
      <c r="E5" s="296"/>
      <c r="F5" s="296"/>
      <c r="G5" s="296"/>
      <c r="H5" s="296"/>
      <c r="I5" s="296"/>
      <c r="J5" s="296"/>
      <c r="K5" s="29"/>
      <c r="N5" s="32" t="s">
        <v>20</v>
      </c>
    </row>
    <row r="6" spans="1:14" ht="12" customHeight="1" x14ac:dyDescent="0.25">
      <c r="A6" s="281" t="s">
        <v>0</v>
      </c>
      <c r="B6" s="281"/>
      <c r="C6" s="281"/>
      <c r="D6" s="281"/>
      <c r="E6" s="281"/>
      <c r="F6" s="281"/>
      <c r="G6" s="281"/>
      <c r="H6" s="281"/>
      <c r="I6" s="281"/>
      <c r="J6" s="281"/>
      <c r="K6" s="32" t="s">
        <v>100</v>
      </c>
    </row>
    <row r="7" spans="1:14" s="34" customFormat="1" ht="15.9" customHeight="1" x14ac:dyDescent="0.25">
      <c r="A7" s="287" t="s">
        <v>37</v>
      </c>
      <c r="B7" s="287"/>
      <c r="C7" s="287"/>
      <c r="D7" s="287"/>
      <c r="E7" s="287"/>
      <c r="F7" s="287"/>
      <c r="G7" s="287"/>
      <c r="H7" s="287"/>
      <c r="I7" s="287"/>
      <c r="J7" s="287"/>
      <c r="K7" s="30"/>
      <c r="L7" s="30"/>
      <c r="M7" s="41"/>
    </row>
    <row r="8" spans="1:14" s="34" customFormat="1" ht="15.9" customHeight="1" x14ac:dyDescent="0.25">
      <c r="A8" s="294" t="s">
        <v>30</v>
      </c>
      <c r="B8" s="293"/>
      <c r="C8" s="293"/>
      <c r="D8" s="293"/>
      <c r="E8" s="293"/>
      <c r="F8" s="293"/>
      <c r="G8" s="293"/>
      <c r="H8" s="293"/>
      <c r="I8" s="293"/>
      <c r="J8" s="293"/>
      <c r="M8" s="41"/>
    </row>
    <row r="9" spans="1:14" s="34" customFormat="1" ht="12" customHeight="1" x14ac:dyDescent="0.25">
      <c r="A9" s="295" t="s">
        <v>36</v>
      </c>
      <c r="B9" s="295"/>
      <c r="C9" s="295"/>
      <c r="D9" s="295"/>
      <c r="E9" s="295"/>
      <c r="F9" s="295"/>
      <c r="G9" s="295"/>
      <c r="H9" s="295"/>
      <c r="I9" s="295"/>
      <c r="J9" s="295"/>
      <c r="K9" s="32" t="s">
        <v>100</v>
      </c>
      <c r="M9" s="41"/>
    </row>
    <row r="10" spans="1:14" s="34" customFormat="1" ht="15.9" customHeight="1" x14ac:dyDescent="0.25">
      <c r="A10" s="294" t="s">
        <v>31</v>
      </c>
      <c r="B10" s="294"/>
      <c r="C10" s="294"/>
      <c r="D10" s="294"/>
      <c r="E10" s="294"/>
      <c r="F10" s="294"/>
      <c r="G10" s="294"/>
      <c r="H10" s="294"/>
      <c r="I10" s="294"/>
      <c r="J10" s="294"/>
      <c r="M10" s="41"/>
    </row>
    <row r="11" spans="1:14" s="34" customFormat="1" ht="12" customHeight="1" x14ac:dyDescent="0.25">
      <c r="A11" s="295" t="s">
        <v>104</v>
      </c>
      <c r="B11" s="295"/>
      <c r="C11" s="295"/>
      <c r="D11" s="295"/>
      <c r="E11" s="295"/>
      <c r="F11" s="295"/>
      <c r="G11" s="295"/>
      <c r="H11" s="295"/>
      <c r="I11" s="295"/>
      <c r="J11" s="295"/>
      <c r="K11" s="32" t="s">
        <v>100</v>
      </c>
      <c r="M11" s="41"/>
    </row>
    <row r="12" spans="1:14" s="34" customFormat="1" ht="15.9" customHeight="1" x14ac:dyDescent="0.25">
      <c r="A12" s="294" t="s">
        <v>32</v>
      </c>
      <c r="B12" s="293"/>
      <c r="C12" s="293"/>
      <c r="D12" s="293"/>
      <c r="E12" s="293"/>
      <c r="F12" s="293"/>
      <c r="G12" s="293"/>
      <c r="H12" s="293"/>
      <c r="I12" s="293"/>
      <c r="J12" s="293"/>
      <c r="M12" s="41"/>
    </row>
    <row r="13" spans="1:14" s="35" customFormat="1" ht="12" customHeight="1" x14ac:dyDescent="0.25">
      <c r="A13" s="281" t="s">
        <v>39</v>
      </c>
      <c r="B13" s="281"/>
      <c r="C13" s="281"/>
      <c r="D13" s="281"/>
      <c r="E13" s="281"/>
      <c r="F13" s="281"/>
      <c r="G13" s="281"/>
      <c r="H13" s="281"/>
      <c r="I13" s="281"/>
      <c r="J13" s="281"/>
      <c r="K13" s="32" t="s">
        <v>100</v>
      </c>
    </row>
    <row r="14" spans="1:14" ht="12" customHeight="1" x14ac:dyDescent="0.25">
      <c r="A14" s="281" t="s">
        <v>40</v>
      </c>
      <c r="B14" s="281"/>
      <c r="C14" s="281"/>
      <c r="D14" s="281"/>
      <c r="E14" s="281"/>
      <c r="F14" s="281"/>
      <c r="G14" s="281"/>
      <c r="H14" s="281"/>
      <c r="I14" s="281"/>
      <c r="J14" s="281"/>
      <c r="K14" s="32" t="s">
        <v>100</v>
      </c>
      <c r="L14" s="36"/>
    </row>
    <row r="15" spans="1:14" ht="15.9" customHeight="1" x14ac:dyDescent="0.25">
      <c r="A15" s="287" t="s">
        <v>24</v>
      </c>
      <c r="B15" s="287"/>
      <c r="C15" s="287"/>
      <c r="D15" s="287"/>
      <c r="E15" s="279" t="s">
        <v>33</v>
      </c>
      <c r="F15" s="279"/>
      <c r="G15" s="279"/>
      <c r="H15" s="279"/>
      <c r="I15" s="279"/>
      <c r="J15" s="279"/>
      <c r="L15" s="37"/>
    </row>
    <row r="16" spans="1:14" s="34" customFormat="1" ht="12" customHeight="1" x14ac:dyDescent="0.25">
      <c r="A16" s="74"/>
      <c r="B16" s="74"/>
      <c r="C16" s="74"/>
      <c r="D16" s="74"/>
      <c r="E16" s="286" t="s">
        <v>41</v>
      </c>
      <c r="F16" s="286"/>
      <c r="G16" s="286"/>
      <c r="H16" s="286"/>
      <c r="I16" s="286"/>
      <c r="J16" s="286"/>
      <c r="K16" s="32" t="s">
        <v>100</v>
      </c>
      <c r="M16" s="41"/>
    </row>
    <row r="17" spans="1:15" s="34" customFormat="1" ht="15.9" customHeight="1" x14ac:dyDescent="0.25">
      <c r="A17" s="282" t="s">
        <v>34</v>
      </c>
      <c r="B17" s="282"/>
      <c r="C17" s="282"/>
      <c r="D17" s="282"/>
      <c r="E17" s="282"/>
      <c r="F17" s="282"/>
      <c r="G17" s="282"/>
      <c r="H17" s="282"/>
      <c r="I17" s="282"/>
      <c r="J17" s="282"/>
      <c r="M17" s="41"/>
    </row>
    <row r="18" spans="1:15" s="34" customFormat="1" ht="12" customHeight="1" x14ac:dyDescent="0.25">
      <c r="A18" s="281" t="s">
        <v>42</v>
      </c>
      <c r="B18" s="281"/>
      <c r="C18" s="281"/>
      <c r="D18" s="281"/>
      <c r="E18" s="281"/>
      <c r="F18" s="281"/>
      <c r="G18" s="281"/>
      <c r="H18" s="281"/>
      <c r="I18" s="281"/>
      <c r="J18" s="281"/>
      <c r="K18" s="32" t="s">
        <v>100</v>
      </c>
      <c r="M18" s="41"/>
    </row>
    <row r="19" spans="1:15" s="38" customFormat="1" ht="15.9" customHeight="1" x14ac:dyDescent="0.25">
      <c r="A19" s="282" t="s">
        <v>35</v>
      </c>
      <c r="B19" s="282"/>
      <c r="C19" s="282"/>
      <c r="D19" s="282"/>
      <c r="E19" s="282"/>
      <c r="F19" s="282"/>
      <c r="G19" s="282"/>
      <c r="H19" s="282"/>
      <c r="I19" s="282"/>
      <c r="J19" s="282"/>
      <c r="K19" s="34"/>
      <c r="M19" s="35"/>
    </row>
    <row r="20" spans="1:15" s="38" customFormat="1" ht="12" customHeight="1" x14ac:dyDescent="0.25">
      <c r="A20" s="281" t="s">
        <v>43</v>
      </c>
      <c r="B20" s="281"/>
      <c r="C20" s="281"/>
      <c r="D20" s="281"/>
      <c r="E20" s="281"/>
      <c r="F20" s="281"/>
      <c r="G20" s="281"/>
      <c r="H20" s="281"/>
      <c r="I20" s="281"/>
      <c r="J20" s="281"/>
      <c r="K20" s="32" t="s">
        <v>100</v>
      </c>
      <c r="M20" s="35"/>
    </row>
    <row r="21" spans="1:15" s="38" customFormat="1" ht="15.9" customHeight="1" x14ac:dyDescent="0.25">
      <c r="A21" s="282" t="s">
        <v>44</v>
      </c>
      <c r="B21" s="282"/>
      <c r="C21" s="282"/>
      <c r="D21" s="282"/>
      <c r="E21" s="282"/>
      <c r="F21" s="282"/>
      <c r="G21" s="282"/>
      <c r="H21" s="282"/>
      <c r="I21" s="282"/>
      <c r="J21" s="282"/>
      <c r="M21" s="35"/>
    </row>
    <row r="22" spans="1:15" ht="12" customHeight="1" x14ac:dyDescent="0.25">
      <c r="A22" s="281" t="s">
        <v>45</v>
      </c>
      <c r="B22" s="281"/>
      <c r="C22" s="281"/>
      <c r="D22" s="281"/>
      <c r="E22" s="281"/>
      <c r="F22" s="281"/>
      <c r="G22" s="281"/>
      <c r="H22" s="281"/>
      <c r="I22" s="281"/>
      <c r="J22" s="281"/>
      <c r="K22" s="32" t="s">
        <v>100</v>
      </c>
    </row>
    <row r="23" spans="1:15" ht="15.9" customHeight="1" x14ac:dyDescent="0.25">
      <c r="A23" s="287" t="s">
        <v>25</v>
      </c>
      <c r="B23" s="287"/>
      <c r="C23" s="287"/>
      <c r="D23" s="287"/>
      <c r="E23" s="287"/>
      <c r="F23" s="279" t="s">
        <v>46</v>
      </c>
      <c r="G23" s="279"/>
      <c r="H23" s="279"/>
      <c r="I23" s="279"/>
      <c r="J23" s="279"/>
    </row>
    <row r="24" spans="1:15" ht="12" customHeight="1" x14ac:dyDescent="0.25">
      <c r="A24" s="74"/>
      <c r="B24" s="74"/>
      <c r="C24" s="74"/>
      <c r="D24" s="74"/>
      <c r="E24" s="281" t="s">
        <v>41</v>
      </c>
      <c r="F24" s="281"/>
      <c r="G24" s="281"/>
      <c r="H24" s="281"/>
      <c r="I24" s="281"/>
      <c r="J24" s="281"/>
      <c r="K24" s="32" t="s">
        <v>100</v>
      </c>
    </row>
    <row r="25" spans="1:15" ht="15.9" customHeight="1" x14ac:dyDescent="0.25">
      <c r="A25" s="282" t="s">
        <v>47</v>
      </c>
      <c r="B25" s="293"/>
      <c r="C25" s="293"/>
      <c r="D25" s="293"/>
      <c r="E25" s="293"/>
      <c r="F25" s="293"/>
      <c r="G25" s="293"/>
      <c r="H25" s="293"/>
      <c r="I25" s="293"/>
      <c r="J25" s="293"/>
    </row>
    <row r="26" spans="1:15" ht="12" customHeight="1" x14ac:dyDescent="0.25">
      <c r="A26" s="292" t="s">
        <v>48</v>
      </c>
      <c r="B26" s="292"/>
      <c r="C26" s="292"/>
      <c r="D26" s="292"/>
      <c r="E26" s="292"/>
      <c r="F26" s="292"/>
      <c r="G26" s="292"/>
      <c r="H26" s="292"/>
      <c r="I26" s="292"/>
      <c r="J26" s="292"/>
      <c r="K26" s="32" t="s">
        <v>100</v>
      </c>
    </row>
    <row r="27" spans="1:15" ht="15.9" customHeight="1" x14ac:dyDescent="0.25">
      <c r="A27" s="282" t="s">
        <v>49</v>
      </c>
      <c r="B27" s="282"/>
      <c r="C27" s="282"/>
      <c r="D27" s="282"/>
      <c r="E27" s="282"/>
      <c r="F27" s="282"/>
      <c r="G27" s="282"/>
      <c r="H27" s="282"/>
      <c r="I27" s="282"/>
      <c r="J27" s="282"/>
    </row>
    <row r="28" spans="1:15" ht="12" customHeight="1" x14ac:dyDescent="0.25">
      <c r="A28" s="292" t="s">
        <v>45</v>
      </c>
      <c r="B28" s="292"/>
      <c r="C28" s="292"/>
      <c r="D28" s="292"/>
      <c r="E28" s="292"/>
      <c r="F28" s="292"/>
      <c r="G28" s="292"/>
      <c r="H28" s="292"/>
      <c r="I28" s="292"/>
      <c r="J28" s="292"/>
      <c r="K28" s="32" t="s">
        <v>100</v>
      </c>
      <c r="L28" s="41"/>
    </row>
    <row r="29" spans="1:15" s="41" customFormat="1" ht="15.9" customHeight="1" x14ac:dyDescent="0.25">
      <c r="A29" s="282" t="s">
        <v>50</v>
      </c>
      <c r="B29" s="293"/>
      <c r="C29" s="293"/>
      <c r="D29" s="293"/>
      <c r="E29" s="293"/>
      <c r="F29" s="293"/>
      <c r="G29" s="293"/>
      <c r="H29" s="293"/>
      <c r="I29" s="293"/>
      <c r="J29" s="293"/>
      <c r="K29" s="30"/>
      <c r="L29" s="44"/>
      <c r="N29" s="34"/>
      <c r="O29" s="34"/>
    </row>
    <row r="30" spans="1:15" x14ac:dyDescent="0.25">
      <c r="A30" s="41"/>
      <c r="B30" s="41"/>
      <c r="C30" s="41"/>
      <c r="D30" s="41"/>
      <c r="E30" s="41"/>
      <c r="F30" s="41"/>
      <c r="G30" s="41"/>
      <c r="H30" s="41"/>
      <c r="I30" s="41"/>
      <c r="J30" s="41"/>
      <c r="K30" s="41"/>
      <c r="L30" s="44"/>
    </row>
    <row r="31" spans="1:15" ht="15.6" x14ac:dyDescent="0.25">
      <c r="A31" s="303" t="s">
        <v>1</v>
      </c>
      <c r="B31" s="303"/>
      <c r="C31" s="303"/>
      <c r="D31" s="303"/>
      <c r="E31" s="303"/>
      <c r="F31" s="303"/>
      <c r="G31" s="303"/>
      <c r="H31" s="303"/>
      <c r="I31" s="303"/>
      <c r="J31" s="303"/>
      <c r="L31" s="34"/>
    </row>
    <row r="32" spans="1:15" ht="15.6" x14ac:dyDescent="0.25">
      <c r="A32" s="303" t="s">
        <v>15</v>
      </c>
      <c r="B32" s="303"/>
      <c r="C32" s="303"/>
      <c r="D32" s="303"/>
      <c r="E32" s="303"/>
      <c r="F32" s="303"/>
      <c r="G32" s="303"/>
      <c r="H32" s="303"/>
      <c r="I32" s="303"/>
      <c r="J32" s="303"/>
      <c r="L32" s="45"/>
    </row>
    <row r="33" spans="1:15" ht="14.4" x14ac:dyDescent="0.25">
      <c r="A33" s="42" t="s">
        <v>2</v>
      </c>
      <c r="B33" s="301" t="str">
        <f>реестр!B7</f>
        <v>АИР-М-1.2-61.17-АР-1</v>
      </c>
      <c r="C33" s="301"/>
      <c r="D33" s="301"/>
      <c r="G33" s="43"/>
      <c r="I33" s="302">
        <f>реестр!C7</f>
        <v>45251</v>
      </c>
      <c r="J33" s="302"/>
    </row>
    <row r="34" spans="1:15" s="41" customFormat="1" x14ac:dyDescent="0.25">
      <c r="A34" s="289"/>
      <c r="B34" s="290"/>
      <c r="C34" s="290"/>
      <c r="D34" s="290"/>
      <c r="E34" s="289"/>
      <c r="F34" s="289"/>
      <c r="G34" s="289"/>
      <c r="H34" s="289"/>
      <c r="I34" s="290"/>
      <c r="J34" s="290"/>
      <c r="K34" s="30"/>
      <c r="L34" s="30"/>
      <c r="N34" s="34"/>
      <c r="O34" s="34"/>
    </row>
    <row r="35" spans="1:15" s="41" customFormat="1" ht="15.9" customHeight="1" x14ac:dyDescent="0.25">
      <c r="A35" s="288" t="s">
        <v>51</v>
      </c>
      <c r="B35" s="288"/>
      <c r="C35" s="288"/>
      <c r="D35" s="288"/>
      <c r="E35" s="288"/>
      <c r="F35" s="288"/>
      <c r="G35" s="288"/>
      <c r="H35" s="288"/>
      <c r="I35" s="288"/>
      <c r="J35" s="288"/>
      <c r="L35" s="30"/>
      <c r="N35" s="34"/>
      <c r="O35" s="34"/>
    </row>
    <row r="36" spans="1:15" ht="15.9" customHeight="1" x14ac:dyDescent="0.25">
      <c r="A36" s="288" t="s">
        <v>52</v>
      </c>
      <c r="B36" s="288"/>
      <c r="C36" s="288"/>
      <c r="D36" s="288"/>
      <c r="E36" s="297" t="s">
        <v>53</v>
      </c>
      <c r="F36" s="297"/>
      <c r="G36" s="297"/>
      <c r="H36" s="297"/>
      <c r="I36" s="297"/>
      <c r="J36" s="297"/>
      <c r="K36" s="41"/>
    </row>
    <row r="37" spans="1:15" s="44" customFormat="1" ht="12" customHeight="1" x14ac:dyDescent="0.25">
      <c r="A37" s="75"/>
      <c r="B37" s="75"/>
      <c r="C37" s="75"/>
      <c r="D37" s="75"/>
      <c r="E37" s="292" t="s">
        <v>56</v>
      </c>
      <c r="F37" s="292"/>
      <c r="G37" s="292"/>
      <c r="H37" s="292"/>
      <c r="I37" s="292"/>
      <c r="J37" s="292"/>
      <c r="K37" s="32" t="s">
        <v>100</v>
      </c>
      <c r="L37" s="30"/>
      <c r="N37" s="30"/>
      <c r="O37" s="30"/>
    </row>
    <row r="38" spans="1:15" ht="15.9" customHeight="1" x14ac:dyDescent="0.25">
      <c r="A38" s="279" t="str">
        <f>реестр!M7</f>
        <v xml:space="preserve">Заволжского управления ООО «Газпром газнадзор» Сураев С.П., Приказ № 576 от 27.09.2023г., </v>
      </c>
      <c r="B38" s="280"/>
      <c r="C38" s="280"/>
      <c r="D38" s="280"/>
      <c r="E38" s="280"/>
      <c r="F38" s="280"/>
      <c r="G38" s="280"/>
      <c r="H38" s="280"/>
      <c r="I38" s="280"/>
      <c r="J38" s="280"/>
      <c r="K38" s="44"/>
    </row>
    <row r="39" spans="1:15" s="44" customFormat="1" ht="12" customHeight="1" x14ac:dyDescent="0.25">
      <c r="A39" s="292" t="s">
        <v>107</v>
      </c>
      <c r="B39" s="292"/>
      <c r="C39" s="292"/>
      <c r="D39" s="292"/>
      <c r="E39" s="292"/>
      <c r="F39" s="292"/>
      <c r="G39" s="292"/>
      <c r="H39" s="292"/>
      <c r="I39" s="292"/>
      <c r="J39" s="292"/>
      <c r="K39" s="32" t="s">
        <v>100</v>
      </c>
      <c r="L39" s="30"/>
      <c r="N39" s="30"/>
      <c r="O39" s="30"/>
    </row>
    <row r="40" spans="1:15" s="35" customFormat="1" ht="15.9" customHeight="1" x14ac:dyDescent="0.25">
      <c r="A40" s="279" t="s">
        <v>54</v>
      </c>
      <c r="B40" s="280"/>
      <c r="C40" s="280"/>
      <c r="D40" s="280"/>
      <c r="E40" s="280"/>
      <c r="F40" s="280"/>
      <c r="G40" s="280"/>
      <c r="H40" s="280"/>
      <c r="I40" s="280"/>
      <c r="J40" s="280"/>
      <c r="K40" s="44"/>
      <c r="L40" s="30"/>
      <c r="N40" s="48"/>
      <c r="O40" s="48"/>
    </row>
    <row r="41" spans="1:15" s="41" customFormat="1" ht="12" customHeight="1" x14ac:dyDescent="0.25">
      <c r="A41" s="281" t="s">
        <v>55</v>
      </c>
      <c r="B41" s="281"/>
      <c r="C41" s="281"/>
      <c r="D41" s="281"/>
      <c r="E41" s="281"/>
      <c r="F41" s="281"/>
      <c r="G41" s="281"/>
      <c r="H41" s="281"/>
      <c r="I41" s="281"/>
      <c r="J41" s="281"/>
      <c r="K41" s="32" t="s">
        <v>100</v>
      </c>
      <c r="L41" s="30"/>
      <c r="N41" s="34"/>
      <c r="O41" s="34"/>
    </row>
    <row r="42" spans="1:15" s="41" customFormat="1" ht="15.9" customHeight="1" x14ac:dyDescent="0.25">
      <c r="A42" s="288" t="s">
        <v>18</v>
      </c>
      <c r="B42" s="288"/>
      <c r="C42" s="288"/>
      <c r="D42" s="288"/>
      <c r="E42" s="288"/>
      <c r="F42" s="297" t="s">
        <v>57</v>
      </c>
      <c r="G42" s="297"/>
      <c r="H42" s="297"/>
      <c r="I42" s="297"/>
      <c r="J42" s="297"/>
      <c r="N42" s="34"/>
      <c r="O42" s="34"/>
    </row>
    <row r="43" spans="1:15" ht="12" customHeight="1" x14ac:dyDescent="0.25">
      <c r="A43" s="87"/>
      <c r="B43" s="87"/>
      <c r="C43" s="87"/>
      <c r="D43" s="87"/>
      <c r="E43" s="87"/>
      <c r="F43" s="286" t="s">
        <v>61</v>
      </c>
      <c r="G43" s="286"/>
      <c r="H43" s="286"/>
      <c r="I43" s="286"/>
      <c r="J43" s="286"/>
      <c r="K43" s="32" t="s">
        <v>100</v>
      </c>
    </row>
    <row r="44" spans="1:15" s="46" customFormat="1" ht="15.9" customHeight="1" x14ac:dyDescent="0.25">
      <c r="A44" s="279" t="s">
        <v>170</v>
      </c>
      <c r="B44" s="279"/>
      <c r="C44" s="279"/>
      <c r="D44" s="279"/>
      <c r="E44" s="279"/>
      <c r="F44" s="279"/>
      <c r="G44" s="279"/>
      <c r="H44" s="279"/>
      <c r="I44" s="279"/>
      <c r="J44" s="279"/>
      <c r="K44" s="30"/>
      <c r="M44" s="32"/>
    </row>
    <row r="45" spans="1:15" ht="12" customHeight="1" x14ac:dyDescent="0.25">
      <c r="A45" s="281" t="s">
        <v>58</v>
      </c>
      <c r="B45" s="281"/>
      <c r="C45" s="281"/>
      <c r="D45" s="281"/>
      <c r="E45" s="281"/>
      <c r="F45" s="281"/>
      <c r="G45" s="281"/>
      <c r="H45" s="281"/>
      <c r="I45" s="281"/>
      <c r="J45" s="281"/>
      <c r="K45" s="32" t="s">
        <v>100</v>
      </c>
    </row>
    <row r="46" spans="1:15" ht="15.9" customHeight="1" x14ac:dyDescent="0.25">
      <c r="A46" s="291" t="s">
        <v>59</v>
      </c>
      <c r="B46" s="291"/>
      <c r="C46" s="291"/>
      <c r="D46" s="291"/>
      <c r="E46" s="291"/>
      <c r="F46" s="291"/>
      <c r="G46" s="291"/>
      <c r="H46" s="291"/>
      <c r="I46" s="291"/>
      <c r="J46" s="291"/>
    </row>
    <row r="47" spans="1:15" ht="30.9" customHeight="1" x14ac:dyDescent="0.25">
      <c r="A47" s="291" t="s">
        <v>60</v>
      </c>
      <c r="B47" s="291"/>
      <c r="C47" s="291"/>
      <c r="D47" s="291"/>
      <c r="E47" s="297" t="s">
        <v>90</v>
      </c>
      <c r="F47" s="297"/>
      <c r="G47" s="297"/>
      <c r="H47" s="297"/>
      <c r="I47" s="297"/>
      <c r="J47" s="297"/>
    </row>
    <row r="48" spans="1:15" s="46" customFormat="1" ht="15.9" customHeight="1" x14ac:dyDescent="0.25">
      <c r="A48" s="279" t="str">
        <f>реестр!O7</f>
        <v>ИНС-№С78-227336, Приказ № ПЗ/775 от 17.10.2023 г.</v>
      </c>
      <c r="B48" s="280"/>
      <c r="C48" s="280"/>
      <c r="D48" s="280"/>
      <c r="E48" s="280"/>
      <c r="F48" s="280"/>
      <c r="G48" s="280"/>
      <c r="H48" s="280"/>
      <c r="I48" s="280"/>
      <c r="J48" s="280"/>
      <c r="K48" s="30"/>
      <c r="M48" s="32"/>
    </row>
    <row r="49" spans="1:14" ht="12" customHeight="1" x14ac:dyDescent="0.25">
      <c r="A49" s="281" t="s">
        <v>62</v>
      </c>
      <c r="B49" s="281"/>
      <c r="C49" s="281"/>
      <c r="D49" s="281"/>
      <c r="E49" s="281"/>
      <c r="F49" s="281"/>
      <c r="G49" s="281"/>
      <c r="H49" s="281"/>
      <c r="I49" s="281"/>
      <c r="J49" s="281"/>
      <c r="K49" s="32" t="s">
        <v>100</v>
      </c>
    </row>
    <row r="50" spans="1:14" ht="15.9" customHeight="1" x14ac:dyDescent="0.25">
      <c r="A50" s="307" t="s">
        <v>63</v>
      </c>
      <c r="B50" s="307"/>
      <c r="C50" s="307"/>
      <c r="D50" s="307"/>
      <c r="E50" s="307"/>
      <c r="F50" s="307"/>
      <c r="G50" s="307"/>
      <c r="H50" s="307"/>
      <c r="I50" s="307"/>
      <c r="J50" s="307"/>
    </row>
    <row r="51" spans="1:14" ht="15.9" customHeight="1" x14ac:dyDescent="0.25">
      <c r="A51" s="279" t="s">
        <v>87</v>
      </c>
      <c r="B51" s="279"/>
      <c r="C51" s="279"/>
      <c r="D51" s="279"/>
      <c r="E51" s="279"/>
      <c r="F51" s="279"/>
      <c r="G51" s="279"/>
      <c r="H51" s="279"/>
      <c r="I51" s="279"/>
      <c r="J51" s="279"/>
    </row>
    <row r="52" spans="1:14" ht="12" customHeight="1" x14ac:dyDescent="0.25">
      <c r="A52" s="286" t="s">
        <v>64</v>
      </c>
      <c r="B52" s="286"/>
      <c r="C52" s="286"/>
      <c r="D52" s="286"/>
      <c r="E52" s="286"/>
      <c r="F52" s="286"/>
      <c r="G52" s="286"/>
      <c r="H52" s="286"/>
      <c r="I52" s="286"/>
      <c r="J52" s="286"/>
      <c r="K52" s="32" t="s">
        <v>100</v>
      </c>
      <c r="N52" s="50"/>
    </row>
    <row r="53" spans="1:14" s="47" customFormat="1" ht="15.9" customHeight="1" x14ac:dyDescent="0.25">
      <c r="A53" s="299" t="s">
        <v>88</v>
      </c>
      <c r="B53" s="299"/>
      <c r="C53" s="299"/>
      <c r="D53" s="299"/>
      <c r="E53" s="299"/>
      <c r="F53" s="299"/>
      <c r="G53" s="299"/>
      <c r="H53" s="299"/>
      <c r="I53" s="299"/>
      <c r="J53" s="299"/>
      <c r="K53" s="30"/>
      <c r="M53" s="53"/>
      <c r="N53" s="50"/>
    </row>
    <row r="54" spans="1:14" s="47" customFormat="1" ht="15.9" customHeight="1" x14ac:dyDescent="0.25">
      <c r="A54" s="298" t="s">
        <v>103</v>
      </c>
      <c r="B54" s="298"/>
      <c r="C54" s="298"/>
      <c r="D54" s="298"/>
      <c r="E54" s="298"/>
      <c r="F54" s="298"/>
      <c r="G54" s="298"/>
      <c r="H54" s="298"/>
      <c r="I54" s="298"/>
      <c r="J54" s="298"/>
      <c r="M54" s="53"/>
    </row>
    <row r="55" spans="1:14" s="46" customFormat="1" ht="15.9" customHeight="1" x14ac:dyDescent="0.25">
      <c r="A55" s="298" t="s">
        <v>102</v>
      </c>
      <c r="B55" s="298"/>
      <c r="C55" s="298"/>
      <c r="D55" s="298"/>
      <c r="E55" s="298"/>
      <c r="F55" s="298"/>
      <c r="G55" s="298"/>
      <c r="H55" s="298"/>
      <c r="I55" s="298"/>
      <c r="J55" s="298"/>
      <c r="K55" s="47"/>
      <c r="M55" s="32"/>
    </row>
    <row r="56" spans="1:14" ht="12" customHeight="1" x14ac:dyDescent="0.25">
      <c r="A56" s="281" t="s">
        <v>65</v>
      </c>
      <c r="B56" s="281"/>
      <c r="C56" s="281"/>
      <c r="D56" s="281"/>
      <c r="E56" s="281"/>
      <c r="F56" s="281"/>
      <c r="G56" s="281"/>
      <c r="H56" s="281"/>
      <c r="I56" s="281"/>
      <c r="J56" s="281"/>
      <c r="K56" s="32" t="s">
        <v>100</v>
      </c>
    </row>
    <row r="57" spans="1:14" ht="15.9" customHeight="1" x14ac:dyDescent="0.25">
      <c r="A57" s="285" t="s">
        <v>66</v>
      </c>
      <c r="B57" s="285"/>
      <c r="C57" s="285"/>
      <c r="D57" s="285"/>
      <c r="E57" s="285"/>
      <c r="F57" s="285"/>
      <c r="G57" s="285"/>
      <c r="H57" s="285"/>
      <c r="I57" s="285"/>
      <c r="J57" s="285"/>
    </row>
    <row r="58" spans="1:14" ht="15.9" customHeight="1" x14ac:dyDescent="0.25">
      <c r="A58" s="279" t="str">
        <f>реестр!S7</f>
        <v>Главный инженер ООО «АИР Магистраль» Ясинский В.И., Приказ № 29/05-ГСП от 29.05.2023 г.</v>
      </c>
      <c r="B58" s="280"/>
      <c r="C58" s="280"/>
      <c r="D58" s="280"/>
      <c r="E58" s="280"/>
      <c r="F58" s="280"/>
      <c r="G58" s="280"/>
      <c r="H58" s="280"/>
      <c r="I58" s="280"/>
      <c r="J58" s="280"/>
    </row>
    <row r="59" spans="1:14" ht="12" customHeight="1" x14ac:dyDescent="0.25">
      <c r="A59" s="292" t="s">
        <v>67</v>
      </c>
      <c r="B59" s="292"/>
      <c r="C59" s="292"/>
      <c r="D59" s="292"/>
      <c r="E59" s="292"/>
      <c r="F59" s="292"/>
      <c r="G59" s="292"/>
      <c r="H59" s="292"/>
      <c r="I59" s="292"/>
      <c r="J59" s="292"/>
      <c r="K59" s="32" t="s">
        <v>100</v>
      </c>
    </row>
    <row r="60" spans="1:14" s="48" customFormat="1" ht="15.9" customHeight="1" x14ac:dyDescent="0.25">
      <c r="A60" s="282" t="s">
        <v>85</v>
      </c>
      <c r="B60" s="282"/>
      <c r="C60" s="282"/>
      <c r="D60" s="282"/>
      <c r="E60" s="282"/>
      <c r="F60" s="282"/>
      <c r="G60" s="282"/>
      <c r="H60" s="282"/>
      <c r="I60" s="282"/>
      <c r="J60" s="282"/>
      <c r="K60" s="30"/>
      <c r="M60" s="35"/>
    </row>
    <row r="61" spans="1:14" s="48" customFormat="1" ht="12" customHeight="1" x14ac:dyDescent="0.25">
      <c r="A61" s="281" t="s">
        <v>105</v>
      </c>
      <c r="B61" s="281"/>
      <c r="C61" s="281"/>
      <c r="D61" s="281"/>
      <c r="E61" s="281"/>
      <c r="F61" s="281"/>
      <c r="G61" s="281"/>
      <c r="H61" s="281"/>
      <c r="I61" s="281"/>
      <c r="J61" s="281"/>
      <c r="K61" s="32" t="s">
        <v>100</v>
      </c>
      <c r="M61" s="35"/>
    </row>
    <row r="62" spans="1:14" s="48" customFormat="1" ht="15.9" customHeight="1" x14ac:dyDescent="0.25">
      <c r="A62" s="285" t="s">
        <v>68</v>
      </c>
      <c r="B62" s="285"/>
      <c r="C62" s="285"/>
      <c r="D62" s="285"/>
      <c r="E62" s="285"/>
      <c r="F62" s="285"/>
      <c r="G62" s="285"/>
      <c r="H62" s="285"/>
      <c r="I62" s="285"/>
      <c r="J62" s="285"/>
      <c r="M62" s="35"/>
    </row>
    <row r="63" spans="1:14" s="48" customFormat="1" ht="15.9" customHeight="1" x14ac:dyDescent="0.25">
      <c r="A63" s="282" t="str">
        <f>реестр!P7</f>
        <v xml:space="preserve">Главный специалист Отдела организации и контроля строительно-монтажных работ Управления по реализации </v>
      </c>
      <c r="B63" s="282"/>
      <c r="C63" s="282"/>
      <c r="D63" s="282"/>
      <c r="E63" s="282"/>
      <c r="F63" s="282"/>
      <c r="G63" s="282"/>
      <c r="H63" s="282"/>
      <c r="I63" s="282"/>
      <c r="J63" s="282"/>
      <c r="M63" s="35"/>
    </row>
    <row r="64" spans="1:14" s="48" customFormat="1" ht="15.9" customHeight="1" x14ac:dyDescent="0.25">
      <c r="A64" s="282" t="str">
        <f>реестр!Q7</f>
        <v xml:space="preserve">проектов авиационной инфраструктуры филиала ООО «Газпром инвест» «Газпром гражданское строительство» </v>
      </c>
      <c r="B64" s="282"/>
      <c r="C64" s="282"/>
      <c r="D64" s="282"/>
      <c r="E64" s="282"/>
      <c r="F64" s="282"/>
      <c r="G64" s="282"/>
      <c r="H64" s="282"/>
      <c r="I64" s="282"/>
      <c r="J64" s="282"/>
      <c r="M64" s="35"/>
    </row>
    <row r="65" spans="1:13" s="48" customFormat="1" ht="15.9" customHeight="1" x14ac:dyDescent="0.25">
      <c r="A65" s="282" t="str">
        <f>реестр!R7</f>
        <v>Куликов Е.А., Приказ № 107-ГС от 30.08.2023 г.</v>
      </c>
      <c r="B65" s="282"/>
      <c r="C65" s="282"/>
      <c r="D65" s="282"/>
      <c r="E65" s="282"/>
      <c r="F65" s="282"/>
      <c r="G65" s="282"/>
      <c r="H65" s="282"/>
      <c r="I65" s="282"/>
      <c r="J65" s="282"/>
      <c r="M65" s="35"/>
    </row>
    <row r="66" spans="1:13" s="48" customFormat="1" ht="15.9" customHeight="1" x14ac:dyDescent="0.25">
      <c r="A66" s="282">
        <f>реестр!U8</f>
        <v>0</v>
      </c>
      <c r="B66" s="282"/>
      <c r="C66" s="282"/>
      <c r="D66" s="282"/>
      <c r="E66" s="282"/>
      <c r="F66" s="282"/>
      <c r="G66" s="282"/>
      <c r="H66" s="282"/>
      <c r="I66" s="282"/>
      <c r="J66" s="282"/>
      <c r="M66" s="35"/>
    </row>
    <row r="67" spans="1:13" s="50" customFormat="1" ht="12" customHeight="1" x14ac:dyDescent="0.25">
      <c r="A67" s="292" t="s">
        <v>69</v>
      </c>
      <c r="B67" s="292"/>
      <c r="C67" s="292"/>
      <c r="D67" s="292"/>
      <c r="E67" s="292"/>
      <c r="F67" s="292"/>
      <c r="G67" s="292"/>
      <c r="H67" s="292"/>
      <c r="I67" s="292"/>
      <c r="J67" s="292"/>
      <c r="K67" s="32" t="s">
        <v>100</v>
      </c>
      <c r="M67" s="77"/>
    </row>
    <row r="68" spans="1:13" s="51" customFormat="1" ht="15.9" customHeight="1" x14ac:dyDescent="0.25">
      <c r="A68" s="307" t="s">
        <v>70</v>
      </c>
      <c r="B68" s="307"/>
      <c r="C68" s="307"/>
      <c r="D68" s="307"/>
      <c r="E68" s="307"/>
      <c r="F68" s="58" t="s">
        <v>91</v>
      </c>
      <c r="G68" s="47"/>
      <c r="H68" s="47"/>
      <c r="I68" s="47"/>
      <c r="J68" s="53"/>
      <c r="K68" s="50"/>
      <c r="M68" s="79"/>
    </row>
    <row r="69" spans="1:13" s="47" customFormat="1" ht="12" customHeight="1" x14ac:dyDescent="0.25">
      <c r="A69" s="78"/>
      <c r="B69" s="78"/>
      <c r="C69" s="78"/>
      <c r="D69" s="78"/>
      <c r="E69" s="308" t="s">
        <v>13</v>
      </c>
      <c r="F69" s="308"/>
      <c r="G69" s="308"/>
      <c r="H69" s="308"/>
      <c r="I69" s="308"/>
      <c r="J69" s="308"/>
      <c r="K69" s="32" t="s">
        <v>100</v>
      </c>
      <c r="M69" s="53"/>
    </row>
    <row r="70" spans="1:13" s="50" customFormat="1" ht="15.9" customHeight="1" x14ac:dyDescent="0.25">
      <c r="A70" s="52" t="s">
        <v>71</v>
      </c>
      <c r="B70" s="47"/>
      <c r="C70" s="47"/>
      <c r="D70" s="47"/>
      <c r="E70" s="47"/>
      <c r="F70" s="47"/>
      <c r="G70" s="47"/>
      <c r="H70" s="47"/>
      <c r="I70" s="47"/>
      <c r="J70" s="53"/>
      <c r="K70" s="47"/>
      <c r="M70" s="77"/>
    </row>
    <row r="71" spans="1:13" s="54" customFormat="1" ht="15.9" customHeight="1" x14ac:dyDescent="0.25">
      <c r="A71" s="80" t="s">
        <v>72</v>
      </c>
      <c r="B71" s="47"/>
      <c r="C71" s="47"/>
      <c r="D71" s="47"/>
      <c r="E71" s="47"/>
      <c r="F71" s="47"/>
      <c r="G71" s="47"/>
      <c r="H71" s="47"/>
      <c r="I71" s="47"/>
      <c r="J71" s="53"/>
      <c r="K71" s="50"/>
      <c r="M71" s="68"/>
    </row>
    <row r="72" spans="1:13" s="48" customFormat="1" ht="30" customHeight="1" x14ac:dyDescent="0.25">
      <c r="A72" s="279" t="str">
        <f>реестр!D7</f>
        <v>Служебное здание АС. Монтаж ограждающих стеновых сэндвич-панелей в/о 1-10/А-В от отм. +0.300 до отм. +9.400</v>
      </c>
      <c r="B72" s="279"/>
      <c r="C72" s="279"/>
      <c r="D72" s="279"/>
      <c r="E72" s="279"/>
      <c r="F72" s="279"/>
      <c r="G72" s="279"/>
      <c r="H72" s="279"/>
      <c r="I72" s="279"/>
      <c r="J72" s="279"/>
      <c r="K72" s="81" t="s">
        <v>101</v>
      </c>
      <c r="M72" s="35"/>
    </row>
    <row r="73" spans="1:13" s="50" customFormat="1" ht="12" customHeight="1" x14ac:dyDescent="0.25">
      <c r="A73" s="286" t="s">
        <v>3</v>
      </c>
      <c r="B73" s="286"/>
      <c r="C73" s="286"/>
      <c r="D73" s="286"/>
      <c r="E73" s="286"/>
      <c r="F73" s="286"/>
      <c r="G73" s="286"/>
      <c r="H73" s="286"/>
      <c r="I73" s="286"/>
      <c r="J73" s="286"/>
      <c r="K73" s="32" t="s">
        <v>100</v>
      </c>
      <c r="M73" s="77"/>
    </row>
    <row r="74" spans="1:13" s="55" customFormat="1" ht="15.9" customHeight="1" x14ac:dyDescent="0.25">
      <c r="A74" s="80" t="s">
        <v>16</v>
      </c>
      <c r="B74" s="47"/>
      <c r="C74" s="47"/>
      <c r="D74" s="47"/>
      <c r="E74" s="47"/>
      <c r="F74" s="47"/>
      <c r="G74" s="47"/>
      <c r="H74" s="47"/>
      <c r="I74" s="47"/>
      <c r="J74" s="53"/>
      <c r="K74" s="50"/>
      <c r="M74" s="68"/>
    </row>
    <row r="75" spans="1:13" s="48" customFormat="1" ht="57" customHeight="1" x14ac:dyDescent="0.25">
      <c r="A75" s="279" t="str">
        <f>реестр!E7</f>
        <v>Проект шифр ПП2020РД-1.2-61.17-АР «Служебное здание АС. Архитектурные решения», изм.3, л.17, 19, 20; Письмо от ООО "Газпром инвест" № 29/2/2-7882-ГС; Письмо от ООО "Трансстроймеханизация" № 23530-СЗЛ/23 ; Учетный лист ЖАН № 74; Письмо от ООО "Газпром инвест" № 29/2/1/06-2063-ГС; Письмо от ООО "Трансстроймеханизация" № 3809-СЗЛ/25 ; Учетный лист ЖАН № 6; ООО «Трансстроймеханизация» ГИП Кратирова Е.Л.</v>
      </c>
      <c r="B75" s="279"/>
      <c r="C75" s="279"/>
      <c r="D75" s="279"/>
      <c r="E75" s="279"/>
      <c r="F75" s="279"/>
      <c r="G75" s="279"/>
      <c r="H75" s="279"/>
      <c r="I75" s="279"/>
      <c r="J75" s="279"/>
      <c r="K75" s="81" t="s">
        <v>101</v>
      </c>
      <c r="M75" s="35"/>
    </row>
    <row r="76" spans="1:13" s="50" customFormat="1" ht="12" customHeight="1" x14ac:dyDescent="0.25">
      <c r="A76" s="286" t="s">
        <v>19</v>
      </c>
      <c r="B76" s="286"/>
      <c r="C76" s="286"/>
      <c r="D76" s="286"/>
      <c r="E76" s="286"/>
      <c r="F76" s="286"/>
      <c r="G76" s="286"/>
      <c r="H76" s="286"/>
      <c r="I76" s="286"/>
      <c r="J76" s="286"/>
      <c r="K76" s="32" t="s">
        <v>100</v>
      </c>
      <c r="M76" s="77"/>
    </row>
    <row r="77" spans="1:13" ht="15.9" customHeight="1" x14ac:dyDescent="0.25">
      <c r="A77" s="80" t="s">
        <v>17</v>
      </c>
      <c r="B77" s="47"/>
      <c r="C77" s="47"/>
      <c r="D77" s="47"/>
      <c r="E77" s="47"/>
      <c r="F77" s="47"/>
      <c r="G77" s="47"/>
      <c r="H77" s="47"/>
      <c r="I77" s="47"/>
      <c r="J77" s="53"/>
      <c r="K77" s="50"/>
    </row>
    <row r="78" spans="1:13" s="48" customFormat="1" ht="15" customHeight="1" x14ac:dyDescent="0.25">
      <c r="A78" s="279" t="str">
        <f>реестр!F7</f>
        <v>Материалы согласно реестру к п.3 № АИР-М-1.2-61.17-АР-1 от 21.11.2023</v>
      </c>
      <c r="B78" s="279"/>
      <c r="C78" s="279"/>
      <c r="D78" s="279"/>
      <c r="E78" s="279"/>
      <c r="F78" s="279"/>
      <c r="G78" s="279"/>
      <c r="H78" s="279"/>
      <c r="I78" s="279"/>
      <c r="J78" s="279"/>
      <c r="K78" s="81" t="s">
        <v>101</v>
      </c>
      <c r="M78" s="35"/>
    </row>
    <row r="79" spans="1:13" ht="12" customHeight="1" x14ac:dyDescent="0.25">
      <c r="A79" s="286" t="s">
        <v>73</v>
      </c>
      <c r="B79" s="286"/>
      <c r="C79" s="286"/>
      <c r="D79" s="286"/>
      <c r="E79" s="286"/>
      <c r="F79" s="286"/>
      <c r="G79" s="286"/>
      <c r="H79" s="286"/>
      <c r="I79" s="286"/>
      <c r="J79" s="286"/>
      <c r="K79" s="32" t="s">
        <v>100</v>
      </c>
    </row>
    <row r="80" spans="1:13" s="55" customFormat="1" ht="15.9" customHeight="1" x14ac:dyDescent="0.25">
      <c r="A80" s="285" t="s">
        <v>4</v>
      </c>
      <c r="B80" s="285"/>
      <c r="C80" s="285"/>
      <c r="D80" s="285"/>
      <c r="E80" s="285"/>
      <c r="F80" s="285"/>
      <c r="G80" s="285"/>
      <c r="H80" s="285"/>
      <c r="I80" s="285"/>
      <c r="J80" s="285"/>
      <c r="K80" s="30"/>
      <c r="M80" s="68"/>
    </row>
    <row r="81" spans="1:13" s="48" customFormat="1" ht="54" customHeight="1" x14ac:dyDescent="0.25">
      <c r="A81" s="279" t="str">
        <f>реестр!G7</f>
        <v>Исп. схема № 61.17-АР-СП1 от 21.11.2023  Вертикальность сэндвич-панелей в/о 1-10/А-В; Исп. схема № 61.17-АР-1 от 21.11.2023 Монтаж ограждающих стеновых сэндвич-панелей в/о 1-10/А-В от отм. +0.300 до отм. +9.400; АОРПИ: № АИР 1.2-61.17-АР/1 от 28.09.2023, № АИР 1.2-61.17-АР/2 от 28.09.2023, № АИР 1.2-61.17-АР/3 от 25.10.2023, № АИР 1.2-61.17-АР/32 от 30.10.2023.</v>
      </c>
      <c r="B81" s="279"/>
      <c r="C81" s="279"/>
      <c r="D81" s="279"/>
      <c r="E81" s="279"/>
      <c r="F81" s="279"/>
      <c r="G81" s="279"/>
      <c r="H81" s="279"/>
      <c r="I81" s="279"/>
      <c r="J81" s="279"/>
      <c r="K81" s="81" t="s">
        <v>101</v>
      </c>
      <c r="M81" s="35"/>
    </row>
    <row r="82" spans="1:13" ht="12" customHeight="1" x14ac:dyDescent="0.25">
      <c r="A82" s="286" t="s">
        <v>98</v>
      </c>
      <c r="B82" s="286"/>
      <c r="C82" s="286"/>
      <c r="D82" s="286"/>
      <c r="E82" s="286"/>
      <c r="F82" s="286"/>
      <c r="G82" s="286"/>
      <c r="H82" s="286"/>
      <c r="I82" s="286"/>
      <c r="J82" s="286"/>
      <c r="K82" s="32" t="s">
        <v>100</v>
      </c>
    </row>
    <row r="83" spans="1:13" ht="21" customHeight="1" x14ac:dyDescent="0.25">
      <c r="A83" s="49" t="s">
        <v>21</v>
      </c>
      <c r="B83" s="49" t="s">
        <v>6</v>
      </c>
      <c r="C83" s="47"/>
      <c r="D83" s="278">
        <f>реестр!H7</f>
        <v>45245</v>
      </c>
      <c r="E83" s="278"/>
      <c r="F83" s="49"/>
      <c r="G83" s="49"/>
      <c r="H83" s="49"/>
      <c r="I83" s="47"/>
      <c r="J83" s="53"/>
    </row>
    <row r="84" spans="1:13" ht="13.8" x14ac:dyDescent="0.25">
      <c r="A84" s="47"/>
      <c r="B84" s="49" t="s">
        <v>5</v>
      </c>
      <c r="C84" s="47"/>
      <c r="D84" s="278">
        <f>реестр!I7</f>
        <v>45251</v>
      </c>
      <c r="E84" s="278"/>
      <c r="F84" s="49"/>
      <c r="G84" s="49"/>
      <c r="H84" s="49"/>
      <c r="I84" s="47"/>
      <c r="J84" s="53"/>
    </row>
    <row r="85" spans="1:13" ht="15" customHeight="1" x14ac:dyDescent="0.25">
      <c r="A85" s="47"/>
      <c r="B85" s="49"/>
      <c r="C85" s="47"/>
      <c r="D85" s="88"/>
      <c r="E85" s="88"/>
      <c r="F85" s="49"/>
      <c r="G85" s="49"/>
      <c r="H85" s="49"/>
      <c r="I85" s="47"/>
      <c r="J85" s="53"/>
    </row>
    <row r="86" spans="1:13" s="55" customFormat="1" ht="13.8" x14ac:dyDescent="0.25">
      <c r="A86" s="76" t="s">
        <v>23</v>
      </c>
      <c r="B86" s="82"/>
      <c r="C86" s="47"/>
      <c r="D86" s="47"/>
      <c r="E86" s="47"/>
      <c r="F86" s="309"/>
      <c r="G86" s="309"/>
      <c r="H86" s="309"/>
      <c r="I86" s="309"/>
      <c r="J86" s="309"/>
      <c r="K86" s="30"/>
      <c r="M86" s="68"/>
    </row>
    <row r="87" spans="1:13" s="56" customFormat="1" ht="30" customHeight="1" x14ac:dyDescent="0.25">
      <c r="A87" s="279" t="str">
        <f>реестр!J7</f>
        <v xml:space="preserve">СП 48.13330.2019 "Организация строительства", СП 49.13330.2010 "Безопасность труда в строительстве. Общие требования", СП 70.13330.2012 "Несущие и ограждающие конструкции", проект шифр ПП2020РД-1.2-61.17-АР изм.3; </v>
      </c>
      <c r="B87" s="279"/>
      <c r="C87" s="279"/>
      <c r="D87" s="279"/>
      <c r="E87" s="279"/>
      <c r="F87" s="279"/>
      <c r="G87" s="279"/>
      <c r="H87" s="279"/>
      <c r="I87" s="279"/>
      <c r="J87" s="279"/>
      <c r="K87" s="81" t="s">
        <v>101</v>
      </c>
      <c r="M87" s="69"/>
    </row>
    <row r="88" spans="1:13" ht="12" customHeight="1" x14ac:dyDescent="0.25">
      <c r="A88" s="286" t="s">
        <v>106</v>
      </c>
      <c r="B88" s="286"/>
      <c r="C88" s="286"/>
      <c r="D88" s="286"/>
      <c r="E88" s="286"/>
      <c r="F88" s="286"/>
      <c r="G88" s="286"/>
      <c r="H88" s="286"/>
      <c r="I88" s="286"/>
      <c r="J88" s="286"/>
      <c r="K88" s="32" t="s">
        <v>100</v>
      </c>
    </row>
    <row r="89" spans="1:13" s="57" customFormat="1" ht="15.9" customHeight="1" x14ac:dyDescent="0.25">
      <c r="A89" s="76" t="s">
        <v>22</v>
      </c>
      <c r="B89" s="47"/>
      <c r="C89" s="47"/>
      <c r="D89" s="47"/>
      <c r="E89" s="47"/>
      <c r="F89" s="47"/>
      <c r="G89" s="47"/>
      <c r="H89" s="47"/>
      <c r="I89" s="47"/>
      <c r="J89" s="53"/>
      <c r="K89" s="30"/>
      <c r="M89" s="83"/>
    </row>
    <row r="90" spans="1:13" s="48" customFormat="1" ht="15" customHeight="1" x14ac:dyDescent="0.25">
      <c r="A90" s="279" t="str">
        <f>реестр!K7</f>
        <v>заполнению минеральной ватой монтажных швов ограждающих стеновых сэндвич-панелей</v>
      </c>
      <c r="B90" s="279"/>
      <c r="C90" s="279"/>
      <c r="D90" s="279"/>
      <c r="E90" s="279"/>
      <c r="F90" s="279"/>
      <c r="G90" s="279"/>
      <c r="H90" s="279"/>
      <c r="I90" s="279"/>
      <c r="J90" s="279"/>
      <c r="K90" s="81" t="s">
        <v>101</v>
      </c>
      <c r="M90" s="35"/>
    </row>
    <row r="91" spans="1:13" ht="12" customHeight="1" x14ac:dyDescent="0.25">
      <c r="A91" s="286" t="s">
        <v>74</v>
      </c>
      <c r="B91" s="286"/>
      <c r="C91" s="286"/>
      <c r="D91" s="286"/>
      <c r="E91" s="286"/>
      <c r="F91" s="286"/>
      <c r="G91" s="286"/>
      <c r="H91" s="286"/>
      <c r="I91" s="286"/>
      <c r="J91" s="286"/>
      <c r="K91" s="32" t="s">
        <v>100</v>
      </c>
    </row>
    <row r="92" spans="1:13" ht="13.8" x14ac:dyDescent="0.25">
      <c r="A92" s="306" t="s">
        <v>14</v>
      </c>
      <c r="B92" s="306"/>
      <c r="C92" s="306"/>
      <c r="D92" s="284" t="s">
        <v>75</v>
      </c>
      <c r="E92" s="284"/>
      <c r="F92" s="284"/>
      <c r="G92" s="284"/>
      <c r="H92" s="284"/>
      <c r="I92" s="284"/>
      <c r="J92" s="284"/>
    </row>
    <row r="93" spans="1:13" s="50" customFormat="1" ht="13.8" x14ac:dyDescent="0.25">
      <c r="A93" s="47"/>
      <c r="B93" s="47"/>
      <c r="C93" s="47"/>
      <c r="D93" s="47"/>
      <c r="E93" s="47"/>
      <c r="F93" s="47"/>
      <c r="G93" s="47"/>
      <c r="H93" s="47"/>
      <c r="I93" s="47"/>
      <c r="J93" s="53"/>
      <c r="K93" s="30"/>
      <c r="M93" s="77"/>
    </row>
    <row r="94" spans="1:13" ht="13.8" x14ac:dyDescent="0.25">
      <c r="A94" s="305" t="s">
        <v>324</v>
      </c>
      <c r="B94" s="305"/>
      <c r="C94" s="305"/>
      <c r="D94" s="305"/>
      <c r="E94" s="305"/>
      <c r="F94" s="305"/>
      <c r="G94" s="305"/>
      <c r="H94" s="305"/>
      <c r="I94" s="305"/>
      <c r="J94" s="305"/>
      <c r="K94" s="50"/>
    </row>
    <row r="95" spans="1:13" s="55" customFormat="1" ht="15.9" customHeight="1" x14ac:dyDescent="0.25">
      <c r="A95" s="49" t="s">
        <v>7</v>
      </c>
      <c r="B95" s="47"/>
      <c r="C95" s="47"/>
      <c r="D95" s="47"/>
      <c r="E95" s="47"/>
      <c r="F95" s="47"/>
      <c r="G95" s="47"/>
      <c r="H95" s="47"/>
      <c r="I95" s="47"/>
      <c r="J95" s="53"/>
      <c r="K95" s="30"/>
      <c r="M95" s="68"/>
    </row>
    <row r="96" spans="1:13" s="55" customFormat="1" ht="57" customHeight="1" x14ac:dyDescent="0.25">
      <c r="A96" s="283" t="str">
        <f>A81</f>
        <v>Исп. схема № 61.17-АР-СП1 от 21.11.2023  Вертикальность сэндвич-панелей в/о 1-10/А-В; Исп. схема № 61.17-АР-1 от 21.11.2023 Монтаж ограждающих стеновых сэндвич-панелей в/о 1-10/А-В от отм. +0.300 до отм. +9.400; АОРПИ: № АИР 1.2-61.17-АР/1 от 28.09.2023, № АИР 1.2-61.17-АР/2 от 28.09.2023, № АИР 1.2-61.17-АР/3 от 25.10.2023, № АИР 1.2-61.17-АР/32 от 30.10.2023.</v>
      </c>
      <c r="B96" s="283"/>
      <c r="C96" s="283"/>
      <c r="D96" s="283"/>
      <c r="E96" s="283"/>
      <c r="F96" s="283"/>
      <c r="G96" s="283"/>
      <c r="H96" s="283"/>
      <c r="I96" s="283"/>
      <c r="J96" s="283"/>
      <c r="K96" s="81" t="s">
        <v>101</v>
      </c>
      <c r="M96" s="68"/>
    </row>
    <row r="97" spans="1:13" s="34" customFormat="1" ht="12" customHeight="1" x14ac:dyDescent="0.25">
      <c r="A97" s="286" t="s">
        <v>28</v>
      </c>
      <c r="B97" s="286"/>
      <c r="C97" s="286"/>
      <c r="D97" s="286"/>
      <c r="E97" s="286"/>
      <c r="F97" s="286"/>
      <c r="G97" s="286"/>
      <c r="H97" s="286"/>
      <c r="I97" s="286"/>
      <c r="J97" s="286"/>
      <c r="K97" s="32" t="s">
        <v>100</v>
      </c>
      <c r="M97" s="41"/>
    </row>
    <row r="98" spans="1:13" s="34" customFormat="1" ht="15.9" customHeight="1" x14ac:dyDescent="0.25">
      <c r="A98" s="304" t="s">
        <v>51</v>
      </c>
      <c r="B98" s="304"/>
      <c r="C98" s="304"/>
      <c r="D98" s="304"/>
      <c r="E98" s="304"/>
      <c r="F98" s="304"/>
      <c r="G98" s="304"/>
      <c r="H98" s="304"/>
      <c r="I98" s="304"/>
      <c r="J98" s="304"/>
      <c r="M98" s="41"/>
    </row>
    <row r="99" spans="1:13" ht="15.9" customHeight="1" x14ac:dyDescent="0.25">
      <c r="A99" s="304" t="s">
        <v>77</v>
      </c>
      <c r="B99" s="304"/>
      <c r="C99" s="304"/>
      <c r="D99" s="304"/>
      <c r="E99" s="304"/>
      <c r="F99" s="304"/>
      <c r="G99" s="304"/>
      <c r="H99" s="304"/>
      <c r="I99" s="304"/>
      <c r="J99" s="304"/>
      <c r="K99" s="34"/>
    </row>
    <row r="100" spans="1:13" s="48" customFormat="1" ht="30" customHeight="1" x14ac:dyDescent="0.25">
      <c r="A100" s="279" t="str">
        <f>реестр!N7</f>
        <v>Сураев С.П.</v>
      </c>
      <c r="B100" s="279"/>
      <c r="C100" s="279"/>
      <c r="D100" s="279"/>
      <c r="E100" s="279"/>
      <c r="F100" s="279"/>
      <c r="G100" s="279"/>
      <c r="H100" s="279"/>
      <c r="I100" s="279"/>
      <c r="J100" s="279"/>
      <c r="K100" s="30"/>
      <c r="M100" s="35"/>
    </row>
    <row r="101" spans="1:13" s="34" customFormat="1" ht="12" customHeight="1" x14ac:dyDescent="0.25">
      <c r="A101" s="286" t="s">
        <v>26</v>
      </c>
      <c r="B101" s="286"/>
      <c r="C101" s="286"/>
      <c r="D101" s="286"/>
      <c r="E101" s="286"/>
      <c r="F101" s="286"/>
      <c r="G101" s="286"/>
      <c r="H101" s="286"/>
      <c r="I101" s="286"/>
      <c r="J101" s="286"/>
      <c r="K101" s="32" t="s">
        <v>100</v>
      </c>
      <c r="M101" s="41"/>
    </row>
    <row r="102" spans="1:13" ht="15.9" customHeight="1" x14ac:dyDescent="0.25">
      <c r="A102" s="291" t="s">
        <v>78</v>
      </c>
      <c r="B102" s="291"/>
      <c r="C102" s="291"/>
      <c r="D102" s="291"/>
      <c r="E102" s="291"/>
      <c r="F102" s="291"/>
      <c r="G102" s="291"/>
      <c r="H102" s="84"/>
      <c r="I102" s="47"/>
      <c r="J102" s="53"/>
      <c r="K102" s="34"/>
    </row>
    <row r="103" spans="1:13" s="48" customFormat="1" ht="30" customHeight="1" x14ac:dyDescent="0.25">
      <c r="A103" s="284" t="s">
        <v>86</v>
      </c>
      <c r="B103" s="284"/>
      <c r="C103" s="284"/>
      <c r="D103" s="284"/>
      <c r="E103" s="284"/>
      <c r="F103" s="284"/>
      <c r="G103" s="284"/>
      <c r="H103" s="284"/>
      <c r="I103" s="284"/>
      <c r="J103" s="284"/>
      <c r="K103" s="30"/>
      <c r="M103" s="35"/>
    </row>
    <row r="104" spans="1:13" ht="12" customHeight="1" x14ac:dyDescent="0.25">
      <c r="A104" s="286" t="s">
        <v>26</v>
      </c>
      <c r="B104" s="286"/>
      <c r="C104" s="286"/>
      <c r="D104" s="286"/>
      <c r="E104" s="286"/>
      <c r="F104" s="286"/>
      <c r="G104" s="286"/>
      <c r="H104" s="286"/>
      <c r="I104" s="286"/>
      <c r="J104" s="286"/>
      <c r="K104" s="32" t="s">
        <v>100</v>
      </c>
    </row>
    <row r="105" spans="1:13" ht="15.9" customHeight="1" x14ac:dyDescent="0.25">
      <c r="A105" s="291" t="s">
        <v>81</v>
      </c>
      <c r="B105" s="291"/>
      <c r="C105" s="291"/>
      <c r="D105" s="291"/>
      <c r="E105" s="291"/>
      <c r="F105" s="291"/>
      <c r="G105" s="291"/>
      <c r="H105" s="291"/>
      <c r="I105" s="291"/>
      <c r="J105" s="291"/>
    </row>
    <row r="106" spans="1:13" ht="15.9" customHeight="1" x14ac:dyDescent="0.25">
      <c r="A106" s="291" t="s">
        <v>80</v>
      </c>
      <c r="B106" s="291"/>
      <c r="C106" s="291"/>
      <c r="D106" s="291"/>
      <c r="E106" s="291"/>
      <c r="F106" s="291"/>
      <c r="G106" s="291"/>
      <c r="H106" s="291"/>
      <c r="I106" s="291"/>
      <c r="J106" s="291"/>
    </row>
    <row r="107" spans="1:13" s="48" customFormat="1" ht="30" customHeight="1" x14ac:dyDescent="0.25">
      <c r="A107" s="284" t="s">
        <v>76</v>
      </c>
      <c r="B107" s="284"/>
      <c r="C107" s="284"/>
      <c r="D107" s="284"/>
      <c r="E107" s="284"/>
      <c r="F107" s="284"/>
      <c r="G107" s="284"/>
      <c r="H107" s="284"/>
      <c r="I107" s="284"/>
      <c r="J107" s="284"/>
      <c r="K107" s="30"/>
      <c r="M107" s="35"/>
    </row>
    <row r="108" spans="1:13" s="48" customFormat="1" ht="12" customHeight="1" x14ac:dyDescent="0.25">
      <c r="A108" s="286" t="s">
        <v>26</v>
      </c>
      <c r="B108" s="286"/>
      <c r="C108" s="286"/>
      <c r="D108" s="286"/>
      <c r="E108" s="286"/>
      <c r="F108" s="286"/>
      <c r="G108" s="286"/>
      <c r="H108" s="286"/>
      <c r="I108" s="286"/>
      <c r="J108" s="286"/>
      <c r="K108" s="32" t="s">
        <v>100</v>
      </c>
      <c r="M108" s="35"/>
    </row>
    <row r="109" spans="1:13" ht="15.9" customHeight="1" x14ac:dyDescent="0.25">
      <c r="A109" s="291" t="s">
        <v>79</v>
      </c>
      <c r="B109" s="291"/>
      <c r="C109" s="291"/>
      <c r="D109" s="291"/>
      <c r="E109" s="291"/>
      <c r="F109" s="291"/>
      <c r="G109" s="291"/>
      <c r="H109" s="291"/>
      <c r="I109" s="291"/>
      <c r="J109" s="291"/>
      <c r="K109" s="48"/>
    </row>
    <row r="110" spans="1:13" s="48" customFormat="1" ht="30" customHeight="1" x14ac:dyDescent="0.25">
      <c r="A110" s="284" t="s">
        <v>95</v>
      </c>
      <c r="B110" s="284"/>
      <c r="C110" s="284"/>
      <c r="D110" s="284"/>
      <c r="E110" s="284"/>
      <c r="F110" s="284"/>
      <c r="G110" s="284"/>
      <c r="H110" s="284"/>
      <c r="I110" s="284"/>
      <c r="J110" s="284"/>
      <c r="K110" s="30"/>
      <c r="M110" s="35"/>
    </row>
    <row r="111" spans="1:13" s="47" customFormat="1" ht="12" customHeight="1" x14ac:dyDescent="0.25">
      <c r="A111" s="286" t="s">
        <v>8</v>
      </c>
      <c r="B111" s="286"/>
      <c r="C111" s="286"/>
      <c r="D111" s="286"/>
      <c r="E111" s="286"/>
      <c r="F111" s="286"/>
      <c r="G111" s="286"/>
      <c r="H111" s="286"/>
      <c r="I111" s="286"/>
      <c r="J111" s="286"/>
      <c r="K111" s="32" t="s">
        <v>100</v>
      </c>
      <c r="M111" s="53"/>
    </row>
    <row r="112" spans="1:13" s="55" customFormat="1" ht="15.9" customHeight="1" x14ac:dyDescent="0.25">
      <c r="A112" s="300" t="s">
        <v>66</v>
      </c>
      <c r="B112" s="300"/>
      <c r="C112" s="300"/>
      <c r="D112" s="300"/>
      <c r="E112" s="300"/>
      <c r="F112" s="300"/>
      <c r="G112" s="300"/>
      <c r="H112" s="300"/>
      <c r="I112" s="300"/>
      <c r="J112" s="300"/>
      <c r="K112" s="47"/>
      <c r="M112" s="68"/>
    </row>
    <row r="113" spans="1:13" s="59" customFormat="1" ht="30" customHeight="1" x14ac:dyDescent="0.25">
      <c r="A113" s="279" t="str">
        <f>реестр!T7</f>
        <v>Ясинский В.И.</v>
      </c>
      <c r="B113" s="280"/>
      <c r="C113" s="280"/>
      <c r="D113" s="280"/>
      <c r="E113" s="280"/>
      <c r="F113" s="280"/>
      <c r="G113" s="280"/>
      <c r="H113" s="280"/>
      <c r="I113" s="280"/>
      <c r="J113" s="280"/>
      <c r="K113" s="55"/>
      <c r="M113" s="85"/>
    </row>
    <row r="114" spans="1:13" s="47" customFormat="1" ht="12" customHeight="1" x14ac:dyDescent="0.25">
      <c r="A114" s="286" t="s">
        <v>8</v>
      </c>
      <c r="B114" s="286"/>
      <c r="C114" s="286"/>
      <c r="D114" s="286"/>
      <c r="E114" s="286"/>
      <c r="F114" s="286"/>
      <c r="G114" s="286"/>
      <c r="H114" s="286"/>
      <c r="I114" s="286"/>
      <c r="J114" s="286"/>
      <c r="K114" s="32" t="s">
        <v>100</v>
      </c>
      <c r="M114" s="53"/>
    </row>
    <row r="115" spans="1:13" ht="15.9" customHeight="1" x14ac:dyDescent="0.25">
      <c r="A115" s="300" t="s">
        <v>27</v>
      </c>
      <c r="B115" s="300"/>
      <c r="C115" s="300"/>
      <c r="D115" s="300"/>
      <c r="E115" s="300"/>
      <c r="F115" s="300"/>
      <c r="G115" s="300"/>
      <c r="H115" s="300"/>
      <c r="I115" s="300"/>
      <c r="J115" s="300"/>
      <c r="K115" s="47"/>
    </row>
    <row r="116" spans="1:13" ht="30" customHeight="1" x14ac:dyDescent="0.25">
      <c r="A116" s="284" t="s">
        <v>96</v>
      </c>
      <c r="B116" s="284"/>
      <c r="C116" s="284"/>
      <c r="D116" s="284"/>
      <c r="E116" s="284"/>
      <c r="F116" s="284"/>
      <c r="G116" s="284"/>
      <c r="H116" s="284"/>
      <c r="I116" s="284"/>
      <c r="J116" s="284"/>
    </row>
    <row r="117" spans="1:13" ht="12" customHeight="1" x14ac:dyDescent="0.25">
      <c r="A117" s="286" t="s">
        <v>8</v>
      </c>
      <c r="B117" s="286"/>
      <c r="C117" s="286"/>
      <c r="D117" s="286"/>
      <c r="E117" s="286"/>
      <c r="F117" s="286"/>
      <c r="G117" s="286"/>
      <c r="H117" s="286"/>
      <c r="I117" s="286"/>
      <c r="J117" s="286"/>
      <c r="K117" s="32" t="s">
        <v>100</v>
      </c>
    </row>
    <row r="118" spans="1:13" ht="15.9" customHeight="1" x14ac:dyDescent="0.25">
      <c r="A118" s="300" t="s">
        <v>27</v>
      </c>
      <c r="B118" s="300"/>
      <c r="C118" s="300"/>
      <c r="D118" s="300"/>
      <c r="E118" s="300"/>
      <c r="F118" s="300"/>
      <c r="G118" s="300"/>
      <c r="H118" s="300"/>
      <c r="I118" s="300"/>
      <c r="J118" s="300"/>
    </row>
    <row r="119" spans="1:13" ht="30" customHeight="1" x14ac:dyDescent="0.25">
      <c r="A119" s="284" t="s">
        <v>83</v>
      </c>
      <c r="B119" s="284"/>
      <c r="C119" s="284"/>
      <c r="D119" s="284"/>
      <c r="E119" s="284"/>
      <c r="F119" s="284"/>
      <c r="G119" s="284"/>
      <c r="H119" s="284"/>
      <c r="I119" s="284"/>
      <c r="J119" s="284"/>
    </row>
    <row r="120" spans="1:13" ht="12" customHeight="1" x14ac:dyDescent="0.25">
      <c r="A120" s="286" t="s">
        <v>8</v>
      </c>
      <c r="B120" s="286"/>
      <c r="C120" s="286"/>
      <c r="D120" s="286"/>
      <c r="E120" s="286"/>
      <c r="F120" s="286"/>
      <c r="G120" s="286"/>
      <c r="H120" s="286"/>
      <c r="I120" s="286"/>
      <c r="J120" s="286"/>
      <c r="K120" s="32" t="s">
        <v>100</v>
      </c>
    </row>
  </sheetData>
  <autoFilter ref="A1:L120" xr:uid="{00000000-0001-0000-0000-000000000000}">
    <filterColumn colId="8" showButton="0"/>
  </autoFilter>
  <mergeCells count="118">
    <mergeCell ref="A116:J116"/>
    <mergeCell ref="A107:J107"/>
    <mergeCell ref="A99:J99"/>
    <mergeCell ref="A106:J106"/>
    <mergeCell ref="A110:J110"/>
    <mergeCell ref="A67:J67"/>
    <mergeCell ref="E69:J69"/>
    <mergeCell ref="A100:J100"/>
    <mergeCell ref="A103:J103"/>
    <mergeCell ref="A114:J114"/>
    <mergeCell ref="A72:J72"/>
    <mergeCell ref="A73:J73"/>
    <mergeCell ref="A109:J109"/>
    <mergeCell ref="A112:J112"/>
    <mergeCell ref="A111:J111"/>
    <mergeCell ref="A113:J113"/>
    <mergeCell ref="A88:J88"/>
    <mergeCell ref="A68:E68"/>
    <mergeCell ref="A108:J108"/>
    <mergeCell ref="A104:J104"/>
    <mergeCell ref="A91:J91"/>
    <mergeCell ref="F86:J86"/>
    <mergeCell ref="A105:J105"/>
    <mergeCell ref="A102:G102"/>
    <mergeCell ref="A118:J118"/>
    <mergeCell ref="A119:J119"/>
    <mergeCell ref="A120:J120"/>
    <mergeCell ref="A115:J115"/>
    <mergeCell ref="B33:D33"/>
    <mergeCell ref="A20:J20"/>
    <mergeCell ref="A25:J25"/>
    <mergeCell ref="I33:J33"/>
    <mergeCell ref="A31:J31"/>
    <mergeCell ref="A32:J32"/>
    <mergeCell ref="A98:J98"/>
    <mergeCell ref="A94:J94"/>
    <mergeCell ref="A92:C92"/>
    <mergeCell ref="A97:J97"/>
    <mergeCell ref="A27:J27"/>
    <mergeCell ref="A28:J28"/>
    <mergeCell ref="E36:J36"/>
    <mergeCell ref="A36:D36"/>
    <mergeCell ref="A39:J39"/>
    <mergeCell ref="E37:J37"/>
    <mergeCell ref="A117:J117"/>
    <mergeCell ref="A50:J50"/>
    <mergeCell ref="A51:J51"/>
    <mergeCell ref="A56:J56"/>
    <mergeCell ref="A101:J101"/>
    <mergeCell ref="A57:J57"/>
    <mergeCell ref="A40:J40"/>
    <mergeCell ref="A42:E42"/>
    <mergeCell ref="F42:J42"/>
    <mergeCell ref="A47:D47"/>
    <mergeCell ref="E47:J47"/>
    <mergeCell ref="F43:J43"/>
    <mergeCell ref="A66:J66"/>
    <mergeCell ref="A54:J54"/>
    <mergeCell ref="A55:J55"/>
    <mergeCell ref="A52:J52"/>
    <mergeCell ref="A53:J53"/>
    <mergeCell ref="A59:J59"/>
    <mergeCell ref="A62:J62"/>
    <mergeCell ref="A63:J63"/>
    <mergeCell ref="A64:J64"/>
    <mergeCell ref="A65:J65"/>
    <mergeCell ref="E3:J3"/>
    <mergeCell ref="A3:D3"/>
    <mergeCell ref="A6:J6"/>
    <mergeCell ref="A8:J8"/>
    <mergeCell ref="A14:J14"/>
    <mergeCell ref="A10:J10"/>
    <mergeCell ref="A7:J7"/>
    <mergeCell ref="A12:J12"/>
    <mergeCell ref="A11:J11"/>
    <mergeCell ref="A4:J4"/>
    <mergeCell ref="A5:J5"/>
    <mergeCell ref="A9:J9"/>
    <mergeCell ref="A13:J13"/>
    <mergeCell ref="E16:J16"/>
    <mergeCell ref="A38:J38"/>
    <mergeCell ref="A34:J34"/>
    <mergeCell ref="A18:J18"/>
    <mergeCell ref="A21:J21"/>
    <mergeCell ref="A41:J41"/>
    <mergeCell ref="A48:J48"/>
    <mergeCell ref="A46:J46"/>
    <mergeCell ref="A45:J45"/>
    <mergeCell ref="A44:J44"/>
    <mergeCell ref="A22:J22"/>
    <mergeCell ref="A26:J26"/>
    <mergeCell ref="E24:J24"/>
    <mergeCell ref="A29:J29"/>
    <mergeCell ref="A17:J17"/>
    <mergeCell ref="I1:J1"/>
    <mergeCell ref="D83:E83"/>
    <mergeCell ref="D84:E84"/>
    <mergeCell ref="A58:J58"/>
    <mergeCell ref="A61:J61"/>
    <mergeCell ref="A60:J60"/>
    <mergeCell ref="A96:J96"/>
    <mergeCell ref="D92:J92"/>
    <mergeCell ref="A81:J81"/>
    <mergeCell ref="A80:J80"/>
    <mergeCell ref="A90:J90"/>
    <mergeCell ref="A78:J78"/>
    <mergeCell ref="A87:J87"/>
    <mergeCell ref="A82:J82"/>
    <mergeCell ref="A76:J76"/>
    <mergeCell ref="A15:D15"/>
    <mergeCell ref="E15:J15"/>
    <mergeCell ref="A35:J35"/>
    <mergeCell ref="A19:J19"/>
    <mergeCell ref="A23:E23"/>
    <mergeCell ref="F23:J23"/>
    <mergeCell ref="A75:J75"/>
    <mergeCell ref="A79:J79"/>
    <mergeCell ref="A49:J49"/>
  </mergeCells>
  <phoneticPr fontId="11" type="noConversion"/>
  <printOptions horizontalCentered="1"/>
  <pageMargins left="0.70866141732283472" right="0.70866141732283472" top="0.39370078740157483" bottom="0.39370078740157483" header="0.15748031496062992" footer="0.15748031496062992"/>
  <pageSetup paperSize="9" scale="78" fitToHeight="0" orientation="portrait" r:id="rId1"/>
  <headerFooter alignWithMargins="0"/>
  <rowBreaks count="1" manualBreakCount="1">
    <brk id="69" max="9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Spinner 11">
              <controlPr locked="0" defaultSize="0" autoPict="0">
                <anchor moveWithCells="1" sizeWithCells="1">
                  <from>
                    <xdr:col>13</xdr:col>
                    <xdr:colOff>83820</xdr:colOff>
                    <xdr:row>0</xdr:row>
                    <xdr:rowOff>38100</xdr:rowOff>
                  </from>
                  <to>
                    <xdr:col>13</xdr:col>
                    <xdr:colOff>342900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5" name="Option Button 12">
              <controlPr defaultSize="0" autoFill="0" autoLine="0" autoPict="0" macro="[0]!IncreaseRowHeight">
                <anchor moveWithCells="1">
                  <from>
                    <xdr:col>14</xdr:col>
                    <xdr:colOff>38100</xdr:colOff>
                    <xdr:row>0</xdr:row>
                    <xdr:rowOff>99060</xdr:rowOff>
                  </from>
                  <to>
                    <xdr:col>15</xdr:col>
                    <xdr:colOff>228600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Option Button 13">
              <controlPr defaultSize="0" autoFill="0" autoLine="0" autoPict="0" macro="[0]!DecreaseRowHeight">
                <anchor moveWithCells="1">
                  <from>
                    <xdr:col>14</xdr:col>
                    <xdr:colOff>45720</xdr:colOff>
                    <xdr:row>2</xdr:row>
                    <xdr:rowOff>144780</xdr:rowOff>
                  </from>
                  <to>
                    <xdr:col>15</xdr:col>
                    <xdr:colOff>220980</xdr:colOff>
                    <xdr:row>3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A533FB-EB8C-4211-B7D8-6428D2DA8FD7}">
  <sheetPr codeName="Лист3">
    <tabColor rgb="FF00FFFF"/>
    <pageSetUpPr fitToPage="1"/>
  </sheetPr>
  <dimension ref="A1:V128"/>
  <sheetViews>
    <sheetView view="pageBreakPreview" zoomScale="81" zoomScaleNormal="145" zoomScaleSheetLayoutView="72" workbookViewId="0">
      <pane xSplit="13" ySplit="4" topLeftCell="N82" activePane="bottomRight" state="frozen"/>
      <selection activeCell="P34" sqref="P34"/>
      <selection pane="topRight" activeCell="P34" sqref="P34"/>
      <selection pane="bottomLeft" activeCell="P34" sqref="P34"/>
      <selection pane="bottomRight" activeCell="Q94" sqref="Q94"/>
    </sheetView>
  </sheetViews>
  <sheetFormatPr defaultColWidth="9.109375" defaultRowHeight="13.2" x14ac:dyDescent="0.25"/>
  <cols>
    <col min="1" max="1" width="8.44140625" style="30" customWidth="1"/>
    <col min="2" max="2" width="8.33203125" style="30" customWidth="1"/>
    <col min="3" max="3" width="11.88671875" style="30" customWidth="1"/>
    <col min="4" max="4" width="19.88671875" style="30" customWidth="1"/>
    <col min="5" max="5" width="13.44140625" style="30" bestFit="1" customWidth="1"/>
    <col min="6" max="6" width="11.88671875" style="30" customWidth="1"/>
    <col min="7" max="7" width="5.88671875" style="30" customWidth="1"/>
    <col min="8" max="8" width="4.6640625" style="30" customWidth="1"/>
    <col min="9" max="9" width="7.109375" style="30" customWidth="1"/>
    <col min="10" max="10" width="24.6640625" style="44" customWidth="1"/>
    <col min="11" max="11" width="2.6640625" style="44" customWidth="1"/>
    <col min="12" max="12" width="4.5546875" style="30" customWidth="1"/>
    <col min="13" max="13" width="4.44140625" style="30" bestFit="1" customWidth="1"/>
    <col min="14" max="15" width="9.109375" style="30"/>
    <col min="16" max="16" width="5.5546875" style="30" customWidth="1"/>
    <col min="17" max="16384" width="9.109375" style="30"/>
  </cols>
  <sheetData>
    <row r="1" spans="1:22" x14ac:dyDescent="0.25">
      <c r="F1" s="310" t="s">
        <v>176</v>
      </c>
      <c r="G1" s="310"/>
      <c r="H1" s="310"/>
      <c r="I1" s="310"/>
      <c r="J1" s="310"/>
      <c r="K1" s="67"/>
      <c r="L1" s="29"/>
      <c r="M1" s="29"/>
      <c r="N1" s="29"/>
    </row>
    <row r="2" spans="1:22" ht="4.5" customHeight="1" x14ac:dyDescent="0.25">
      <c r="F2" s="86"/>
      <c r="G2" s="86"/>
      <c r="H2" s="86"/>
      <c r="I2" s="86"/>
      <c r="J2" s="86"/>
      <c r="K2" s="67"/>
      <c r="L2" s="31"/>
      <c r="M2" s="29"/>
      <c r="N2" s="29"/>
    </row>
    <row r="3" spans="1:22" ht="15" customHeight="1" x14ac:dyDescent="0.25">
      <c r="A3" s="287" t="s">
        <v>38</v>
      </c>
      <c r="B3" s="287"/>
      <c r="C3" s="287"/>
      <c r="D3" s="287"/>
      <c r="E3" s="314" t="s">
        <v>29</v>
      </c>
      <c r="F3" s="314"/>
      <c r="G3" s="314"/>
      <c r="H3" s="314"/>
      <c r="I3" s="314"/>
      <c r="J3" s="314"/>
      <c r="K3" s="67"/>
      <c r="M3" s="29"/>
      <c r="N3" s="29"/>
    </row>
    <row r="4" spans="1:22" ht="14.4" customHeight="1" x14ac:dyDescent="0.25">
      <c r="A4" s="315" t="s">
        <v>605</v>
      </c>
      <c r="B4" s="316"/>
      <c r="C4" s="316"/>
      <c r="D4" s="316"/>
      <c r="E4" s="316"/>
      <c r="F4" s="316"/>
      <c r="G4" s="316"/>
      <c r="H4" s="316"/>
      <c r="I4" s="316"/>
      <c r="J4" s="316"/>
      <c r="K4" s="67"/>
      <c r="M4" s="104">
        <v>41</v>
      </c>
      <c r="N4" s="29"/>
    </row>
    <row r="5" spans="1:22" s="32" customFormat="1" ht="13.8" x14ac:dyDescent="0.25">
      <c r="A5" s="315" t="s">
        <v>174</v>
      </c>
      <c r="B5" s="316"/>
      <c r="C5" s="316"/>
      <c r="D5" s="316"/>
      <c r="E5" s="316"/>
      <c r="F5" s="316"/>
      <c r="G5" s="316"/>
      <c r="H5" s="316"/>
      <c r="I5" s="316"/>
      <c r="J5" s="316"/>
      <c r="K5" s="67"/>
      <c r="M5" s="32" t="s">
        <v>20</v>
      </c>
    </row>
    <row r="6" spans="1:22" ht="8.1" customHeight="1" x14ac:dyDescent="0.25">
      <c r="A6" s="317" t="s">
        <v>111</v>
      </c>
      <c r="B6" s="317"/>
      <c r="C6" s="317"/>
      <c r="D6" s="317"/>
      <c r="E6" s="317"/>
      <c r="F6" s="317"/>
      <c r="G6" s="317"/>
      <c r="H6" s="317"/>
      <c r="I6" s="317"/>
      <c r="J6" s="317"/>
      <c r="K6" s="35" t="s">
        <v>100</v>
      </c>
      <c r="L6" s="33"/>
      <c r="M6" s="33"/>
      <c r="N6" s="33"/>
    </row>
    <row r="7" spans="1:22" s="34" customFormat="1" ht="13.8" x14ac:dyDescent="0.25">
      <c r="A7" s="287" t="s">
        <v>112</v>
      </c>
      <c r="B7" s="287"/>
      <c r="C7" s="287"/>
      <c r="D7" s="287"/>
      <c r="E7" s="287"/>
      <c r="F7" s="287"/>
      <c r="G7" s="287"/>
      <c r="H7" s="287"/>
      <c r="I7" s="287"/>
      <c r="J7" s="287"/>
      <c r="K7" s="44"/>
      <c r="L7" s="33"/>
      <c r="M7" s="33"/>
      <c r="N7" s="33"/>
    </row>
    <row r="8" spans="1:22" s="34" customFormat="1" ht="13.8" x14ac:dyDescent="0.25">
      <c r="A8" s="311" t="s">
        <v>30</v>
      </c>
      <c r="B8" s="312"/>
      <c r="C8" s="312"/>
      <c r="D8" s="312"/>
      <c r="E8" s="312"/>
      <c r="F8" s="312"/>
      <c r="G8" s="312"/>
      <c r="H8" s="312"/>
      <c r="I8" s="312"/>
      <c r="J8" s="312"/>
      <c r="K8" s="44"/>
      <c r="L8" s="32"/>
    </row>
    <row r="9" spans="1:22" s="34" customFormat="1" ht="8.1" customHeight="1" x14ac:dyDescent="0.25">
      <c r="A9" s="313" t="s">
        <v>113</v>
      </c>
      <c r="B9" s="313"/>
      <c r="C9" s="313"/>
      <c r="D9" s="313"/>
      <c r="E9" s="313"/>
      <c r="F9" s="313"/>
      <c r="G9" s="313"/>
      <c r="H9" s="313"/>
      <c r="I9" s="313"/>
      <c r="J9" s="313"/>
      <c r="K9" s="35" t="s">
        <v>100</v>
      </c>
      <c r="L9" s="30"/>
    </row>
    <row r="10" spans="1:22" s="34" customFormat="1" ht="13.8" x14ac:dyDescent="0.25">
      <c r="A10" s="311" t="s">
        <v>31</v>
      </c>
      <c r="B10" s="311"/>
      <c r="C10" s="311"/>
      <c r="D10" s="311"/>
      <c r="E10" s="311"/>
      <c r="F10" s="311"/>
      <c r="G10" s="311"/>
      <c r="H10" s="311"/>
      <c r="I10" s="311"/>
      <c r="J10" s="311"/>
      <c r="K10" s="44"/>
      <c r="L10" s="30"/>
    </row>
    <row r="11" spans="1:22" s="34" customFormat="1" ht="8.1" customHeight="1" x14ac:dyDescent="0.25">
      <c r="A11" s="313" t="s">
        <v>114</v>
      </c>
      <c r="B11" s="313"/>
      <c r="C11" s="313"/>
      <c r="D11" s="313"/>
      <c r="E11" s="313"/>
      <c r="F11" s="313"/>
      <c r="G11" s="313"/>
      <c r="H11" s="313"/>
      <c r="I11" s="313"/>
      <c r="J11" s="313"/>
      <c r="K11" s="35" t="s">
        <v>100</v>
      </c>
    </row>
    <row r="12" spans="1:22" s="34" customFormat="1" ht="13.8" x14ac:dyDescent="0.25">
      <c r="A12" s="311" t="s">
        <v>384</v>
      </c>
      <c r="B12" s="312"/>
      <c r="C12" s="312"/>
      <c r="D12" s="312"/>
      <c r="E12" s="312"/>
      <c r="F12" s="312"/>
      <c r="G12" s="312"/>
      <c r="H12" s="312"/>
      <c r="I12" s="312"/>
      <c r="J12" s="312"/>
      <c r="K12" s="44"/>
    </row>
    <row r="13" spans="1:22" s="35" customFormat="1" ht="8.1" customHeight="1" x14ac:dyDescent="0.25">
      <c r="A13" s="317" t="s">
        <v>115</v>
      </c>
      <c r="B13" s="317"/>
      <c r="C13" s="317"/>
      <c r="D13" s="317"/>
      <c r="E13" s="317"/>
      <c r="F13" s="317"/>
      <c r="G13" s="317"/>
      <c r="H13" s="317"/>
      <c r="I13" s="317"/>
      <c r="J13" s="317"/>
      <c r="K13" s="35" t="s">
        <v>100</v>
      </c>
      <c r="L13" s="34"/>
    </row>
    <row r="14" spans="1:22" s="35" customFormat="1" ht="8.1" customHeight="1" x14ac:dyDescent="0.25">
      <c r="A14" s="317" t="s">
        <v>116</v>
      </c>
      <c r="B14" s="317"/>
      <c r="C14" s="317"/>
      <c r="D14" s="317"/>
      <c r="E14" s="317"/>
      <c r="F14" s="317"/>
      <c r="G14" s="317"/>
      <c r="H14" s="317"/>
      <c r="I14" s="317"/>
      <c r="J14" s="317"/>
      <c r="K14" s="35" t="s">
        <v>100</v>
      </c>
      <c r="L14" s="34"/>
      <c r="M14" s="30"/>
      <c r="N14" s="30"/>
      <c r="V14" s="35" t="s">
        <v>20</v>
      </c>
    </row>
    <row r="15" spans="1:22" ht="8.1" customHeight="1" x14ac:dyDescent="0.25">
      <c r="A15" s="317" t="s">
        <v>117</v>
      </c>
      <c r="B15" s="317"/>
      <c r="C15" s="317"/>
      <c r="D15" s="317"/>
      <c r="E15" s="317"/>
      <c r="F15" s="317"/>
      <c r="G15" s="317"/>
      <c r="H15" s="317"/>
      <c r="I15" s="317"/>
      <c r="J15" s="317"/>
      <c r="K15" s="35" t="s">
        <v>100</v>
      </c>
      <c r="L15" s="34"/>
    </row>
    <row r="16" spans="1:22" s="34" customFormat="1" ht="13.8" x14ac:dyDescent="0.25">
      <c r="A16" s="287" t="s">
        <v>118</v>
      </c>
      <c r="B16" s="287"/>
      <c r="C16" s="287"/>
      <c r="D16" s="287"/>
      <c r="E16" s="287"/>
      <c r="F16" s="287"/>
      <c r="G16" s="287"/>
      <c r="H16" s="287"/>
      <c r="I16" s="287"/>
      <c r="J16" s="287"/>
      <c r="K16" s="44"/>
      <c r="P16" s="34" t="s">
        <v>92</v>
      </c>
    </row>
    <row r="17" spans="1:15" s="34" customFormat="1" ht="13.8" x14ac:dyDescent="0.25">
      <c r="A17" s="314" t="s">
        <v>385</v>
      </c>
      <c r="B17" s="314"/>
      <c r="C17" s="314"/>
      <c r="D17" s="314"/>
      <c r="E17" s="314"/>
      <c r="F17" s="314"/>
      <c r="G17" s="314"/>
      <c r="H17" s="314"/>
      <c r="I17" s="314"/>
      <c r="J17" s="314"/>
      <c r="K17" s="44"/>
      <c r="L17" s="36"/>
    </row>
    <row r="18" spans="1:15" s="34" customFormat="1" ht="8.1" customHeight="1" x14ac:dyDescent="0.25">
      <c r="A18" s="317" t="s">
        <v>119</v>
      </c>
      <c r="B18" s="317"/>
      <c r="C18" s="317"/>
      <c r="D18" s="317"/>
      <c r="E18" s="317"/>
      <c r="F18" s="317"/>
      <c r="G18" s="317"/>
      <c r="H18" s="317"/>
      <c r="I18" s="317"/>
      <c r="J18" s="317"/>
      <c r="K18" s="35" t="s">
        <v>100</v>
      </c>
      <c r="L18" s="37"/>
    </row>
    <row r="19" spans="1:15" s="38" customFormat="1" ht="13.8" x14ac:dyDescent="0.25">
      <c r="A19" s="314" t="s">
        <v>657</v>
      </c>
      <c r="B19" s="314"/>
      <c r="C19" s="314"/>
      <c r="D19" s="314"/>
      <c r="E19" s="314"/>
      <c r="F19" s="314"/>
      <c r="G19" s="314"/>
      <c r="H19" s="314"/>
      <c r="I19" s="314"/>
      <c r="J19" s="314"/>
      <c r="K19" s="44"/>
      <c r="L19" s="34"/>
    </row>
    <row r="20" spans="1:15" s="38" customFormat="1" ht="8.1" customHeight="1" x14ac:dyDescent="0.25">
      <c r="A20" s="317" t="s">
        <v>164</v>
      </c>
      <c r="B20" s="317"/>
      <c r="C20" s="317"/>
      <c r="D20" s="317"/>
      <c r="E20" s="317"/>
      <c r="F20" s="317"/>
      <c r="G20" s="317"/>
      <c r="H20" s="317"/>
      <c r="I20" s="317"/>
      <c r="J20" s="317"/>
      <c r="K20" s="35" t="s">
        <v>100</v>
      </c>
      <c r="L20" s="34"/>
    </row>
    <row r="21" spans="1:15" s="38" customFormat="1" ht="13.8" x14ac:dyDescent="0.25">
      <c r="A21" s="314" t="s">
        <v>658</v>
      </c>
      <c r="B21" s="314"/>
      <c r="C21" s="314"/>
      <c r="D21" s="314"/>
      <c r="E21" s="314"/>
      <c r="F21" s="314"/>
      <c r="G21" s="314"/>
      <c r="H21" s="314"/>
      <c r="I21" s="314"/>
      <c r="J21" s="314"/>
      <c r="K21" s="35"/>
      <c r="L21" s="34"/>
    </row>
    <row r="22" spans="1:15" s="38" customFormat="1" ht="8.1" customHeight="1" x14ac:dyDescent="0.25">
      <c r="A22" s="317" t="s">
        <v>167</v>
      </c>
      <c r="B22" s="317"/>
      <c r="C22" s="317"/>
      <c r="D22" s="317"/>
      <c r="E22" s="317"/>
      <c r="F22" s="317"/>
      <c r="G22" s="317"/>
      <c r="H22" s="317"/>
      <c r="I22" s="317"/>
      <c r="J22" s="317"/>
      <c r="K22" s="35" t="s">
        <v>100</v>
      </c>
      <c r="L22" s="34"/>
    </row>
    <row r="23" spans="1:15" ht="8.1" customHeight="1" x14ac:dyDescent="0.25">
      <c r="A23" s="317" t="s">
        <v>168</v>
      </c>
      <c r="B23" s="317"/>
      <c r="C23" s="317"/>
      <c r="D23" s="317"/>
      <c r="E23" s="317"/>
      <c r="F23" s="317"/>
      <c r="G23" s="317"/>
      <c r="H23" s="317"/>
      <c r="I23" s="317"/>
      <c r="J23" s="317"/>
      <c r="K23" s="35" t="s">
        <v>100</v>
      </c>
      <c r="L23" s="34"/>
    </row>
    <row r="24" spans="1:15" s="40" customFormat="1" ht="13.8" x14ac:dyDescent="0.25">
      <c r="A24" s="287" t="s">
        <v>120</v>
      </c>
      <c r="B24" s="287"/>
      <c r="C24" s="287"/>
      <c r="D24" s="287"/>
      <c r="E24" s="287"/>
      <c r="F24" s="315" t="s">
        <v>46</v>
      </c>
      <c r="G24" s="315"/>
      <c r="H24" s="315"/>
      <c r="I24" s="315"/>
      <c r="J24" s="315"/>
      <c r="K24" s="44"/>
      <c r="L24" s="39"/>
    </row>
    <row r="25" spans="1:15" ht="8.1" customHeight="1" x14ac:dyDescent="0.25">
      <c r="A25" s="61"/>
      <c r="B25" s="61"/>
      <c r="C25" s="61"/>
      <c r="D25" s="61"/>
      <c r="E25" s="317" t="s">
        <v>121</v>
      </c>
      <c r="F25" s="317"/>
      <c r="G25" s="317"/>
      <c r="H25" s="317"/>
      <c r="I25" s="317"/>
      <c r="J25" s="317"/>
      <c r="K25" s="35" t="s">
        <v>100</v>
      </c>
      <c r="L25" s="38"/>
    </row>
    <row r="26" spans="1:15" ht="13.8" x14ac:dyDescent="0.25">
      <c r="A26" s="314" t="s">
        <v>47</v>
      </c>
      <c r="B26" s="312"/>
      <c r="C26" s="312"/>
      <c r="D26" s="312"/>
      <c r="E26" s="312"/>
      <c r="F26" s="312"/>
      <c r="G26" s="312"/>
      <c r="H26" s="312"/>
      <c r="I26" s="312"/>
      <c r="J26" s="312"/>
    </row>
    <row r="27" spans="1:15" ht="8.1" customHeight="1" x14ac:dyDescent="0.25">
      <c r="A27" s="318" t="s">
        <v>122</v>
      </c>
      <c r="B27" s="318"/>
      <c r="C27" s="318"/>
      <c r="D27" s="318"/>
      <c r="E27" s="318"/>
      <c r="F27" s="318"/>
      <c r="G27" s="318"/>
      <c r="H27" s="318"/>
      <c r="I27" s="318"/>
      <c r="J27" s="318"/>
      <c r="K27" s="35" t="s">
        <v>100</v>
      </c>
    </row>
    <row r="28" spans="1:15" ht="13.8" x14ac:dyDescent="0.25">
      <c r="A28" s="320" t="s">
        <v>49</v>
      </c>
      <c r="B28" s="320"/>
      <c r="C28" s="320"/>
      <c r="D28" s="320"/>
      <c r="E28" s="320"/>
      <c r="F28" s="320"/>
      <c r="G28" s="320"/>
      <c r="H28" s="320"/>
      <c r="I28" s="320"/>
      <c r="J28" s="320"/>
    </row>
    <row r="29" spans="1:15" ht="8.1" customHeight="1" x14ac:dyDescent="0.25">
      <c r="A29" s="318" t="s">
        <v>151</v>
      </c>
      <c r="B29" s="318"/>
      <c r="C29" s="318"/>
      <c r="D29" s="318"/>
      <c r="E29" s="318"/>
      <c r="F29" s="318"/>
      <c r="G29" s="318"/>
      <c r="H29" s="318"/>
      <c r="I29" s="318"/>
      <c r="J29" s="318"/>
      <c r="K29" s="35" t="s">
        <v>100</v>
      </c>
    </row>
    <row r="30" spans="1:15" ht="8.1" customHeight="1" x14ac:dyDescent="0.25">
      <c r="A30" s="319" t="s">
        <v>150</v>
      </c>
      <c r="B30" s="319"/>
      <c r="C30" s="319"/>
      <c r="D30" s="319"/>
      <c r="E30" s="319"/>
      <c r="F30" s="319"/>
      <c r="G30" s="319"/>
      <c r="H30" s="319"/>
      <c r="I30" s="319"/>
      <c r="J30" s="319"/>
      <c r="K30" s="35" t="s">
        <v>100</v>
      </c>
    </row>
    <row r="31" spans="1:15" s="41" customFormat="1" ht="13.8" x14ac:dyDescent="0.25">
      <c r="A31" s="314" t="s">
        <v>659</v>
      </c>
      <c r="B31" s="312"/>
      <c r="C31" s="312"/>
      <c r="D31" s="312"/>
      <c r="E31" s="312"/>
      <c r="F31" s="312"/>
      <c r="G31" s="312"/>
      <c r="H31" s="312"/>
      <c r="I31" s="312"/>
      <c r="J31" s="312"/>
      <c r="K31" s="44"/>
      <c r="L31" s="30"/>
      <c r="N31" s="34"/>
      <c r="O31" s="34"/>
    </row>
    <row r="32" spans="1:15" ht="11.25" customHeight="1" x14ac:dyDescent="0.25">
      <c r="A32" s="41"/>
      <c r="B32" s="41"/>
      <c r="C32" s="41"/>
      <c r="D32" s="41"/>
      <c r="E32" s="41"/>
      <c r="F32" s="41"/>
      <c r="G32" s="41"/>
      <c r="H32" s="41"/>
      <c r="I32" s="41"/>
      <c r="J32" s="41"/>
    </row>
    <row r="33" spans="1:15" ht="15.6" x14ac:dyDescent="0.25">
      <c r="A33" s="303" t="s">
        <v>1</v>
      </c>
      <c r="B33" s="303"/>
      <c r="C33" s="303"/>
      <c r="D33" s="303"/>
      <c r="E33" s="303"/>
      <c r="F33" s="303"/>
      <c r="G33" s="303"/>
      <c r="H33" s="303"/>
      <c r="I33" s="303"/>
      <c r="J33" s="303"/>
      <c r="L33" s="41"/>
    </row>
    <row r="34" spans="1:15" ht="15.6" x14ac:dyDescent="0.25">
      <c r="A34" s="303" t="s">
        <v>15</v>
      </c>
      <c r="B34" s="303"/>
      <c r="C34" s="303"/>
      <c r="D34" s="303"/>
      <c r="E34" s="303"/>
      <c r="F34" s="303"/>
      <c r="G34" s="303"/>
      <c r="H34" s="303"/>
      <c r="I34" s="303"/>
      <c r="J34" s="303"/>
      <c r="L34" s="44"/>
    </row>
    <row r="35" spans="1:15" ht="14.4" x14ac:dyDescent="0.25">
      <c r="A35" s="42" t="s">
        <v>2</v>
      </c>
      <c r="B35" s="301" t="str">
        <f>реестр!B6</f>
        <v>АИР-М-1.2-61.17-АР-41</v>
      </c>
      <c r="C35" s="301"/>
      <c r="D35" s="301"/>
      <c r="G35" s="43"/>
      <c r="I35" s="302">
        <f>реестр!C6</f>
        <v>45424</v>
      </c>
      <c r="J35" s="302"/>
      <c r="L35" s="44"/>
    </row>
    <row r="36" spans="1:15" s="41" customFormat="1" ht="9" customHeight="1" x14ac:dyDescent="0.25">
      <c r="A36" s="323"/>
      <c r="B36" s="324"/>
      <c r="C36" s="324"/>
      <c r="D36" s="324"/>
      <c r="E36" s="323"/>
      <c r="F36" s="323"/>
      <c r="G36" s="323"/>
      <c r="H36" s="323"/>
      <c r="I36" s="324"/>
      <c r="J36" s="324"/>
      <c r="K36" s="44"/>
      <c r="L36" s="34"/>
      <c r="N36" s="34"/>
      <c r="O36" s="34"/>
    </row>
    <row r="37" spans="1:15" s="41" customFormat="1" ht="13.8" x14ac:dyDescent="0.25">
      <c r="A37" s="322" t="s">
        <v>123</v>
      </c>
      <c r="B37" s="322"/>
      <c r="C37" s="322"/>
      <c r="D37" s="322"/>
      <c r="E37" s="322"/>
      <c r="F37" s="322"/>
      <c r="G37" s="322"/>
      <c r="H37" s="322"/>
      <c r="I37" s="322"/>
      <c r="J37" s="322"/>
      <c r="K37" s="44"/>
      <c r="L37" s="45"/>
      <c r="N37" s="34"/>
      <c r="O37" s="34"/>
    </row>
    <row r="38" spans="1:15" s="41" customFormat="1" ht="13.8" x14ac:dyDescent="0.25">
      <c r="A38" s="322" t="s">
        <v>124</v>
      </c>
      <c r="B38" s="322"/>
      <c r="C38" s="322"/>
      <c r="D38" s="322"/>
      <c r="E38" s="322"/>
      <c r="F38" s="325" t="s">
        <v>125</v>
      </c>
      <c r="G38" s="326"/>
      <c r="H38" s="326"/>
      <c r="I38" s="326"/>
      <c r="J38" s="326"/>
      <c r="K38" s="44"/>
      <c r="L38" s="30"/>
      <c r="M38" s="30"/>
      <c r="N38" s="30"/>
      <c r="O38" s="34"/>
    </row>
    <row r="39" spans="1:15" ht="8.1" customHeight="1" x14ac:dyDescent="0.25">
      <c r="A39" s="62"/>
      <c r="B39" s="62"/>
      <c r="C39" s="62"/>
      <c r="D39" s="62"/>
      <c r="E39" s="62"/>
      <c r="F39" s="318" t="s">
        <v>126</v>
      </c>
      <c r="G39" s="318"/>
      <c r="H39" s="318"/>
      <c r="I39" s="318"/>
      <c r="J39" s="318"/>
      <c r="K39" s="35" t="s">
        <v>100</v>
      </c>
    </row>
    <row r="40" spans="1:15" ht="13.8" x14ac:dyDescent="0.25">
      <c r="A40" s="315" t="str">
        <f>реестр!M6</f>
        <v xml:space="preserve">Заволжского управления ООО «Газпром газнадзор» Серов А.В., Распоряжение № 182 от 25.04.2024г., </v>
      </c>
      <c r="B40" s="321"/>
      <c r="C40" s="321"/>
      <c r="D40" s="321"/>
      <c r="E40" s="321"/>
      <c r="F40" s="321"/>
      <c r="G40" s="321"/>
      <c r="H40" s="321"/>
      <c r="I40" s="321"/>
      <c r="J40" s="321"/>
    </row>
    <row r="41" spans="1:15" ht="8.1" customHeight="1" x14ac:dyDescent="0.25">
      <c r="A41" s="318" t="s">
        <v>145</v>
      </c>
      <c r="B41" s="318"/>
      <c r="C41" s="318"/>
      <c r="D41" s="318"/>
      <c r="E41" s="318"/>
      <c r="F41" s="318"/>
      <c r="G41" s="318"/>
      <c r="H41" s="318"/>
      <c r="I41" s="318"/>
      <c r="J41" s="318"/>
      <c r="K41" s="35" t="s">
        <v>100</v>
      </c>
    </row>
    <row r="42" spans="1:15" s="44" customFormat="1" ht="8.1" customHeight="1" x14ac:dyDescent="0.25">
      <c r="A42" s="319" t="s">
        <v>146</v>
      </c>
      <c r="B42" s="319"/>
      <c r="C42" s="319"/>
      <c r="D42" s="319"/>
      <c r="E42" s="319"/>
      <c r="F42" s="319"/>
      <c r="G42" s="319"/>
      <c r="H42" s="319"/>
      <c r="I42" s="319"/>
      <c r="J42" s="319"/>
      <c r="K42" s="35" t="s">
        <v>100</v>
      </c>
      <c r="L42" s="30"/>
      <c r="M42" s="30"/>
      <c r="N42" s="30"/>
      <c r="O42" s="30"/>
    </row>
    <row r="43" spans="1:15" ht="13.8" x14ac:dyDescent="0.25">
      <c r="A43" s="315" t="s">
        <v>127</v>
      </c>
      <c r="B43" s="321"/>
      <c r="C43" s="321"/>
      <c r="D43" s="321"/>
      <c r="E43" s="321"/>
      <c r="F43" s="321"/>
      <c r="G43" s="321"/>
      <c r="H43" s="321"/>
      <c r="I43" s="321"/>
      <c r="J43" s="321"/>
    </row>
    <row r="44" spans="1:15" ht="8.1" customHeight="1" x14ac:dyDescent="0.25">
      <c r="A44" s="318" t="s">
        <v>147</v>
      </c>
      <c r="B44" s="318"/>
      <c r="C44" s="318"/>
      <c r="D44" s="318"/>
      <c r="E44" s="318"/>
      <c r="F44" s="318"/>
      <c r="G44" s="318"/>
      <c r="H44" s="318"/>
      <c r="I44" s="318"/>
      <c r="J44" s="318"/>
      <c r="K44" s="35" t="s">
        <v>100</v>
      </c>
    </row>
    <row r="45" spans="1:15" ht="8.1" customHeight="1" x14ac:dyDescent="0.25">
      <c r="A45" s="319" t="s">
        <v>148</v>
      </c>
      <c r="B45" s="319"/>
      <c r="C45" s="319"/>
      <c r="D45" s="319"/>
      <c r="E45" s="319"/>
      <c r="F45" s="319"/>
      <c r="G45" s="319"/>
      <c r="H45" s="319"/>
      <c r="I45" s="319"/>
      <c r="J45" s="319"/>
      <c r="K45" s="35" t="s">
        <v>100</v>
      </c>
    </row>
    <row r="46" spans="1:15" s="41" customFormat="1" ht="8.1" customHeight="1" x14ac:dyDescent="0.25">
      <c r="A46" s="319" t="s">
        <v>149</v>
      </c>
      <c r="B46" s="319"/>
      <c r="C46" s="319"/>
      <c r="D46" s="319"/>
      <c r="E46" s="319"/>
      <c r="F46" s="319"/>
      <c r="G46" s="319"/>
      <c r="H46" s="319"/>
      <c r="I46" s="319"/>
      <c r="J46" s="319"/>
      <c r="K46" s="35" t="s">
        <v>100</v>
      </c>
      <c r="L46" s="30"/>
      <c r="M46" s="30"/>
      <c r="N46" s="30"/>
      <c r="O46" s="34"/>
    </row>
    <row r="47" spans="1:15" ht="13.8" x14ac:dyDescent="0.25">
      <c r="A47" s="322" t="s">
        <v>169</v>
      </c>
      <c r="B47" s="322"/>
      <c r="C47" s="322"/>
      <c r="D47" s="322"/>
      <c r="E47" s="322"/>
      <c r="F47" s="322"/>
      <c r="G47" s="322"/>
      <c r="H47" s="322"/>
      <c r="I47" s="322"/>
      <c r="J47" s="322"/>
      <c r="M47" s="41"/>
      <c r="N47" s="41"/>
    </row>
    <row r="48" spans="1:15" s="46" customFormat="1" ht="13.8" x14ac:dyDescent="0.25">
      <c r="A48" s="315" t="s">
        <v>171</v>
      </c>
      <c r="B48" s="315"/>
      <c r="C48" s="315"/>
      <c r="D48" s="315"/>
      <c r="E48" s="315"/>
      <c r="F48" s="315"/>
      <c r="G48" s="315"/>
      <c r="H48" s="315"/>
      <c r="I48" s="315"/>
      <c r="J48" s="315"/>
      <c r="K48" s="44"/>
      <c r="L48" s="30"/>
      <c r="M48" s="30"/>
      <c r="N48" s="30"/>
    </row>
    <row r="49" spans="1:14" ht="8.1" customHeight="1" x14ac:dyDescent="0.25">
      <c r="A49" s="318" t="s">
        <v>128</v>
      </c>
      <c r="B49" s="318"/>
      <c r="C49" s="318"/>
      <c r="D49" s="318"/>
      <c r="E49" s="318"/>
      <c r="F49" s="318"/>
      <c r="G49" s="318"/>
      <c r="H49" s="318"/>
      <c r="I49" s="318"/>
      <c r="J49" s="318"/>
      <c r="K49" s="35" t="s">
        <v>100</v>
      </c>
      <c r="M49" s="46"/>
      <c r="N49" s="46"/>
    </row>
    <row r="50" spans="1:14" ht="13.8" x14ac:dyDescent="0.25">
      <c r="A50" s="291" t="s">
        <v>129</v>
      </c>
      <c r="B50" s="291"/>
      <c r="C50" s="291"/>
      <c r="D50" s="291"/>
      <c r="E50" s="291"/>
      <c r="F50" s="291"/>
      <c r="G50" s="291"/>
      <c r="H50" s="291"/>
      <c r="I50" s="291"/>
      <c r="J50" s="291"/>
      <c r="L50" s="41"/>
    </row>
    <row r="51" spans="1:14" ht="13.8" x14ac:dyDescent="0.25">
      <c r="A51" s="291" t="s">
        <v>160</v>
      </c>
      <c r="B51" s="291"/>
      <c r="C51" s="291"/>
      <c r="D51" s="291"/>
      <c r="E51" s="325" t="s">
        <v>90</v>
      </c>
      <c r="F51" s="325"/>
      <c r="G51" s="325"/>
      <c r="H51" s="325"/>
      <c r="I51" s="325"/>
      <c r="J51" s="325"/>
    </row>
    <row r="52" spans="1:14" s="46" customFormat="1" ht="13.8" x14ac:dyDescent="0.25">
      <c r="A52" s="315" t="str">
        <f>реестр!O6</f>
        <v>ИНС-№С78-227336, Приказ № ПЗ/298 от 05.04.2024 г.</v>
      </c>
      <c r="B52" s="315"/>
      <c r="C52" s="315"/>
      <c r="D52" s="315"/>
      <c r="E52" s="315"/>
      <c r="F52" s="315"/>
      <c r="G52" s="315"/>
      <c r="H52" s="315"/>
      <c r="I52" s="315"/>
      <c r="J52" s="315"/>
      <c r="K52" s="44"/>
    </row>
    <row r="53" spans="1:14" s="46" customFormat="1" ht="8.1" customHeight="1" x14ac:dyDescent="0.25">
      <c r="A53" s="317" t="s">
        <v>152</v>
      </c>
      <c r="B53" s="317"/>
      <c r="C53" s="317"/>
      <c r="D53" s="317"/>
      <c r="E53" s="317"/>
      <c r="F53" s="317"/>
      <c r="G53" s="317"/>
      <c r="H53" s="317"/>
      <c r="I53" s="317"/>
      <c r="J53" s="317"/>
      <c r="K53" s="35" t="s">
        <v>100</v>
      </c>
    </row>
    <row r="54" spans="1:14" s="46" customFormat="1" ht="8.1" customHeight="1" x14ac:dyDescent="0.25">
      <c r="A54" s="317" t="s">
        <v>154</v>
      </c>
      <c r="B54" s="317"/>
      <c r="C54" s="317"/>
      <c r="D54" s="317"/>
      <c r="E54" s="317"/>
      <c r="F54" s="317"/>
      <c r="G54" s="317"/>
      <c r="H54" s="317"/>
      <c r="I54" s="317"/>
      <c r="J54" s="317"/>
      <c r="K54" s="35" t="s">
        <v>100</v>
      </c>
    </row>
    <row r="55" spans="1:14" ht="8.1" customHeight="1" x14ac:dyDescent="0.25">
      <c r="A55" s="317" t="s">
        <v>153</v>
      </c>
      <c r="B55" s="317"/>
      <c r="C55" s="317"/>
      <c r="D55" s="317"/>
      <c r="E55" s="317"/>
      <c r="F55" s="317"/>
      <c r="G55" s="317"/>
      <c r="H55" s="317"/>
      <c r="I55" s="317"/>
      <c r="J55" s="317"/>
      <c r="K55" s="35" t="s">
        <v>100</v>
      </c>
    </row>
    <row r="56" spans="1:14" ht="45" customHeight="1" x14ac:dyDescent="0.25">
      <c r="A56" s="300" t="s">
        <v>131</v>
      </c>
      <c r="B56" s="291"/>
      <c r="C56" s="291"/>
      <c r="D56" s="291"/>
      <c r="E56" s="291"/>
      <c r="F56" s="291"/>
      <c r="G56" s="291"/>
      <c r="H56" s="291"/>
      <c r="I56" s="291"/>
      <c r="J56" s="291"/>
    </row>
    <row r="57" spans="1:14" ht="13.8" x14ac:dyDescent="0.25">
      <c r="A57" s="315" t="s">
        <v>87</v>
      </c>
      <c r="B57" s="315"/>
      <c r="C57" s="315"/>
      <c r="D57" s="315"/>
      <c r="E57" s="315"/>
      <c r="F57" s="315"/>
      <c r="G57" s="315"/>
      <c r="H57" s="315"/>
      <c r="I57" s="315"/>
      <c r="J57" s="315"/>
    </row>
    <row r="58" spans="1:14" s="47" customFormat="1" ht="13.8" x14ac:dyDescent="0.25">
      <c r="A58" s="327" t="s">
        <v>88</v>
      </c>
      <c r="B58" s="327"/>
      <c r="C58" s="327"/>
      <c r="D58" s="327"/>
      <c r="E58" s="327"/>
      <c r="F58" s="327"/>
      <c r="G58" s="327"/>
      <c r="H58" s="327"/>
      <c r="I58" s="327"/>
      <c r="J58" s="327"/>
      <c r="K58" s="44"/>
    </row>
    <row r="59" spans="1:14" s="47" customFormat="1" ht="13.8" x14ac:dyDescent="0.25">
      <c r="A59" s="328" t="s">
        <v>103</v>
      </c>
      <c r="B59" s="328"/>
      <c r="C59" s="328"/>
      <c r="D59" s="328"/>
      <c r="E59" s="328"/>
      <c r="F59" s="328"/>
      <c r="G59" s="328"/>
      <c r="H59" s="328"/>
      <c r="I59" s="328"/>
      <c r="J59" s="328"/>
      <c r="K59" s="53"/>
    </row>
    <row r="60" spans="1:14" s="46" customFormat="1" ht="13.8" x14ac:dyDescent="0.25">
      <c r="A60" s="328" t="s">
        <v>102</v>
      </c>
      <c r="B60" s="328"/>
      <c r="C60" s="328"/>
      <c r="D60" s="328"/>
      <c r="E60" s="328"/>
      <c r="F60" s="328"/>
      <c r="G60" s="328"/>
      <c r="H60" s="328"/>
      <c r="I60" s="328"/>
      <c r="J60" s="328"/>
      <c r="K60" s="53"/>
    </row>
    <row r="61" spans="1:14" s="46" customFormat="1" ht="8.1" customHeight="1" x14ac:dyDescent="0.25">
      <c r="A61" s="329" t="s">
        <v>162</v>
      </c>
      <c r="B61" s="329"/>
      <c r="C61" s="329"/>
      <c r="D61" s="329"/>
      <c r="E61" s="329"/>
      <c r="F61" s="329"/>
      <c r="G61" s="329"/>
      <c r="H61" s="329"/>
      <c r="I61" s="329"/>
      <c r="J61" s="329"/>
      <c r="K61" s="35" t="s">
        <v>100</v>
      </c>
    </row>
    <row r="62" spans="1:14" ht="8.1" customHeight="1" x14ac:dyDescent="0.25">
      <c r="A62" s="317" t="s">
        <v>163</v>
      </c>
      <c r="B62" s="317"/>
      <c r="C62" s="317"/>
      <c r="D62" s="317"/>
      <c r="E62" s="317"/>
      <c r="F62" s="317"/>
      <c r="G62" s="317"/>
      <c r="H62" s="317"/>
      <c r="I62" s="317"/>
      <c r="J62" s="317"/>
      <c r="K62" s="35" t="s">
        <v>100</v>
      </c>
    </row>
    <row r="63" spans="1:14" ht="43.5" customHeight="1" x14ac:dyDescent="0.25">
      <c r="A63" s="300" t="s">
        <v>159</v>
      </c>
      <c r="B63" s="300"/>
      <c r="C63" s="300"/>
      <c r="D63" s="300"/>
      <c r="E63" s="300"/>
      <c r="F63" s="300"/>
      <c r="G63" s="300"/>
      <c r="H63" s="300"/>
      <c r="I63" s="300"/>
      <c r="J63" s="300"/>
    </row>
    <row r="64" spans="1:14" ht="15" customHeight="1" x14ac:dyDescent="0.25">
      <c r="A64" s="314" t="str">
        <f>реестр!S6</f>
        <v>Главный инженер ООО «АИР Магистраль» Ясинский В.И., Приказ № 29/05-ГСП от 29.05.2023 г.</v>
      </c>
      <c r="B64" s="314"/>
      <c r="C64" s="314"/>
      <c r="D64" s="314"/>
      <c r="E64" s="314"/>
      <c r="F64" s="314"/>
      <c r="G64" s="314"/>
      <c r="H64" s="314"/>
      <c r="I64" s="314"/>
      <c r="J64" s="314"/>
    </row>
    <row r="65" spans="1:11" ht="8.1" customHeight="1" x14ac:dyDescent="0.25">
      <c r="A65" s="318" t="s">
        <v>158</v>
      </c>
      <c r="B65" s="318"/>
      <c r="C65" s="318"/>
      <c r="D65" s="318"/>
      <c r="E65" s="318"/>
      <c r="F65" s="318"/>
      <c r="G65" s="318"/>
      <c r="H65" s="318"/>
      <c r="I65" s="318"/>
      <c r="J65" s="318"/>
      <c r="K65" s="35" t="s">
        <v>100</v>
      </c>
    </row>
    <row r="66" spans="1:11" ht="8.1" customHeight="1" x14ac:dyDescent="0.25">
      <c r="A66" s="319" t="s">
        <v>157</v>
      </c>
      <c r="B66" s="319"/>
      <c r="C66" s="319"/>
      <c r="D66" s="319"/>
      <c r="E66" s="319"/>
      <c r="F66" s="319"/>
      <c r="G66" s="319"/>
      <c r="H66" s="319"/>
      <c r="I66" s="319"/>
      <c r="J66" s="319"/>
      <c r="K66" s="35" t="s">
        <v>100</v>
      </c>
    </row>
    <row r="67" spans="1:11" s="48" customFormat="1" ht="13.8" x14ac:dyDescent="0.25">
      <c r="A67" s="314" t="s">
        <v>378</v>
      </c>
      <c r="B67" s="314"/>
      <c r="C67" s="314"/>
      <c r="D67" s="314"/>
      <c r="E67" s="314"/>
      <c r="F67" s="314"/>
      <c r="G67" s="314"/>
      <c r="H67" s="314"/>
      <c r="I67" s="314"/>
      <c r="J67" s="314"/>
      <c r="K67" s="44"/>
    </row>
    <row r="68" spans="1:11" s="48" customFormat="1" ht="8.1" customHeight="1" x14ac:dyDescent="0.25">
      <c r="A68" s="317" t="s">
        <v>132</v>
      </c>
      <c r="B68" s="317"/>
      <c r="C68" s="317"/>
      <c r="D68" s="317"/>
      <c r="E68" s="317"/>
      <c r="F68" s="317"/>
      <c r="G68" s="317"/>
      <c r="H68" s="317"/>
      <c r="I68" s="317"/>
      <c r="J68" s="317"/>
      <c r="K68" s="35" t="s">
        <v>100</v>
      </c>
    </row>
    <row r="69" spans="1:11" s="48" customFormat="1" ht="13.8" x14ac:dyDescent="0.25">
      <c r="A69" s="300" t="s">
        <v>68</v>
      </c>
      <c r="B69" s="300"/>
      <c r="C69" s="300"/>
      <c r="D69" s="300"/>
      <c r="E69" s="300"/>
      <c r="F69" s="300"/>
      <c r="G69" s="300"/>
      <c r="H69" s="300"/>
      <c r="I69" s="300"/>
      <c r="J69" s="300"/>
      <c r="K69" s="35"/>
    </row>
    <row r="70" spans="1:11" s="48" customFormat="1" ht="13.8" x14ac:dyDescent="0.25">
      <c r="A70" s="314" t="str">
        <f>реестр!P6</f>
        <v xml:space="preserve">Главный специалист Отдела организации и контроля строительно-монтажных работ Управления по реализации </v>
      </c>
      <c r="B70" s="314"/>
      <c r="C70" s="314"/>
      <c r="D70" s="314"/>
      <c r="E70" s="314"/>
      <c r="F70" s="314"/>
      <c r="G70" s="314"/>
      <c r="H70" s="314"/>
      <c r="I70" s="314"/>
      <c r="J70" s="314"/>
      <c r="K70" s="35"/>
    </row>
    <row r="71" spans="1:11" s="48" customFormat="1" ht="13.8" x14ac:dyDescent="0.25">
      <c r="A71" s="314" t="str">
        <f>реестр!Q6</f>
        <v xml:space="preserve">проектов авиационной инфраструктуры филиала ООО «Газпром инвест» «Газпром гражданское строительство» </v>
      </c>
      <c r="B71" s="314"/>
      <c r="C71" s="314"/>
      <c r="D71" s="314"/>
      <c r="E71" s="314"/>
      <c r="F71" s="314"/>
      <c r="G71" s="314"/>
      <c r="H71" s="314"/>
      <c r="I71" s="314"/>
      <c r="J71" s="314"/>
      <c r="K71" s="35"/>
    </row>
    <row r="72" spans="1:11" s="48" customFormat="1" ht="13.8" x14ac:dyDescent="0.25">
      <c r="A72" s="314" t="str">
        <f>реестр!R6</f>
        <v>Куликов Е.А., Приказ № 107-ГС от 30.08.2023 г.</v>
      </c>
      <c r="B72" s="314"/>
      <c r="C72" s="314"/>
      <c r="D72" s="314"/>
      <c r="E72" s="314"/>
      <c r="F72" s="314"/>
      <c r="G72" s="314"/>
      <c r="H72" s="314"/>
      <c r="I72" s="314"/>
      <c r="J72" s="314"/>
      <c r="K72" s="35"/>
    </row>
    <row r="73" spans="1:11" s="48" customFormat="1" ht="15" customHeight="1" x14ac:dyDescent="0.25">
      <c r="A73" s="314" t="str">
        <f>реестр!U6</f>
        <v xml:space="preserve">Специалист авторского надзора  ООО«ПОДЗЕМПРОЕКТ»  Бондарев В.А., Приказ №2 от 09.01.2023 г.;  </v>
      </c>
      <c r="B73" s="314"/>
      <c r="C73" s="314"/>
      <c r="D73" s="314"/>
      <c r="E73" s="314"/>
      <c r="F73" s="314"/>
      <c r="G73" s="314"/>
      <c r="H73" s="314"/>
      <c r="I73" s="314"/>
      <c r="J73" s="314"/>
      <c r="K73" s="35"/>
    </row>
    <row r="74" spans="1:11" s="50" customFormat="1" ht="8.1" customHeight="1" x14ac:dyDescent="0.25">
      <c r="A74" s="318" t="s">
        <v>69</v>
      </c>
      <c r="B74" s="318"/>
      <c r="C74" s="318"/>
      <c r="D74" s="318"/>
      <c r="E74" s="318"/>
      <c r="F74" s="318"/>
      <c r="G74" s="318"/>
      <c r="H74" s="318"/>
      <c r="I74" s="318"/>
      <c r="J74" s="318"/>
      <c r="K74" s="35" t="s">
        <v>100</v>
      </c>
    </row>
    <row r="75" spans="1:11" s="51" customFormat="1" ht="13.8" x14ac:dyDescent="0.25">
      <c r="A75" s="49" t="s">
        <v>161</v>
      </c>
      <c r="B75" s="47"/>
      <c r="C75" s="47"/>
      <c r="D75" s="47"/>
      <c r="E75" s="330" t="s">
        <v>91</v>
      </c>
      <c r="F75" s="330"/>
      <c r="G75" s="330"/>
      <c r="H75" s="330"/>
      <c r="I75" s="330"/>
      <c r="J75" s="330"/>
      <c r="K75" s="53"/>
    </row>
    <row r="76" spans="1:11" s="51" customFormat="1" ht="8.1" customHeight="1" x14ac:dyDescent="0.25">
      <c r="A76" s="40"/>
      <c r="B76" s="63"/>
      <c r="C76" s="63"/>
      <c r="D76" s="63"/>
      <c r="E76" s="329" t="s">
        <v>156</v>
      </c>
      <c r="F76" s="329"/>
      <c r="G76" s="329"/>
      <c r="H76" s="329"/>
      <c r="I76" s="329"/>
      <c r="J76" s="329"/>
      <c r="K76" s="35" t="s">
        <v>100</v>
      </c>
    </row>
    <row r="77" spans="1:11" s="47" customFormat="1" ht="8.1" customHeight="1" x14ac:dyDescent="0.25">
      <c r="A77" s="40"/>
      <c r="B77" s="63"/>
      <c r="C77" s="63"/>
      <c r="D77" s="63"/>
      <c r="E77" s="317" t="s">
        <v>155</v>
      </c>
      <c r="F77" s="317"/>
      <c r="G77" s="317"/>
      <c r="H77" s="317"/>
      <c r="I77" s="317"/>
      <c r="J77" s="317"/>
      <c r="K77" s="35" t="s">
        <v>100</v>
      </c>
    </row>
    <row r="78" spans="1:11" s="50" customFormat="1" ht="15" customHeight="1" x14ac:dyDescent="0.25">
      <c r="A78" s="52" t="s">
        <v>71</v>
      </c>
      <c r="B78" s="47"/>
      <c r="C78" s="47"/>
      <c r="D78" s="47"/>
      <c r="E78" s="47"/>
      <c r="F78" s="47"/>
      <c r="G78" s="47"/>
      <c r="H78" s="47"/>
      <c r="I78" s="47"/>
      <c r="J78" s="53"/>
      <c r="K78" s="53"/>
    </row>
    <row r="79" spans="1:11" s="54" customFormat="1" ht="15.6" customHeight="1" x14ac:dyDescent="0.25">
      <c r="A79" s="49" t="s">
        <v>72</v>
      </c>
      <c r="B79" s="47"/>
      <c r="C79" s="47"/>
      <c r="D79" s="47"/>
      <c r="E79" s="47"/>
      <c r="F79" s="47"/>
      <c r="G79" s="47"/>
      <c r="H79" s="47"/>
      <c r="I79" s="47"/>
      <c r="J79" s="53"/>
      <c r="K79" s="53"/>
    </row>
    <row r="80" spans="1:11" s="48" customFormat="1" ht="13.8" x14ac:dyDescent="0.25">
      <c r="A80" s="331" t="str">
        <f>реестр!D6</f>
        <v>Служебное здание АС. Штукатурка перегородок и облицовок на 1 этаже в/о А-В/1-10 (Общей площадью - 78,26 м2)</v>
      </c>
      <c r="B80" s="331"/>
      <c r="C80" s="331"/>
      <c r="D80" s="331"/>
      <c r="E80" s="331"/>
      <c r="F80" s="331"/>
      <c r="G80" s="331"/>
      <c r="H80" s="331"/>
      <c r="I80" s="331"/>
      <c r="J80" s="331"/>
      <c r="K80" s="44" t="s">
        <v>101</v>
      </c>
    </row>
    <row r="81" spans="1:11" s="50" customFormat="1" ht="8.1" customHeight="1" x14ac:dyDescent="0.25">
      <c r="A81" s="329" t="s">
        <v>3</v>
      </c>
      <c r="B81" s="329"/>
      <c r="C81" s="329"/>
      <c r="D81" s="329"/>
      <c r="E81" s="329"/>
      <c r="F81" s="329"/>
      <c r="G81" s="329"/>
      <c r="H81" s="329"/>
      <c r="I81" s="329"/>
      <c r="J81" s="329"/>
      <c r="K81" s="35" t="s">
        <v>100</v>
      </c>
    </row>
    <row r="82" spans="1:11" s="55" customFormat="1" ht="16.2" customHeight="1" x14ac:dyDescent="0.25">
      <c r="A82" s="49" t="s">
        <v>16</v>
      </c>
      <c r="B82" s="47"/>
      <c r="C82" s="47"/>
      <c r="D82" s="47"/>
      <c r="E82" s="47"/>
      <c r="F82" s="47"/>
      <c r="G82" s="47"/>
      <c r="H82" s="47"/>
      <c r="I82" s="47"/>
      <c r="J82" s="53"/>
      <c r="K82" s="53"/>
    </row>
    <row r="83" spans="1:11" s="48" customFormat="1" ht="31.8" customHeight="1" x14ac:dyDescent="0.25">
      <c r="A83" s="331" t="str">
        <f>реестр!E6</f>
        <v>Проект шифр ПП2020РД-1.2-61.17-АР "Служебное здание АС. Архитектурные решения", изм.3, л. 5, 13, 13.1, 14.1; ООО "Трансстроймеханизация" ГИП Кратирова Е.Л.</v>
      </c>
      <c r="B83" s="331"/>
      <c r="C83" s="331"/>
      <c r="D83" s="331"/>
      <c r="E83" s="331"/>
      <c r="F83" s="331"/>
      <c r="G83" s="331"/>
      <c r="H83" s="331"/>
      <c r="I83" s="331"/>
      <c r="J83" s="331"/>
      <c r="K83" s="44" t="s">
        <v>101</v>
      </c>
    </row>
    <row r="84" spans="1:11" s="50" customFormat="1" ht="8.1" customHeight="1" x14ac:dyDescent="0.25">
      <c r="A84" s="329" t="s">
        <v>133</v>
      </c>
      <c r="B84" s="329"/>
      <c r="C84" s="329"/>
      <c r="D84" s="329"/>
      <c r="E84" s="329"/>
      <c r="F84" s="329"/>
      <c r="G84" s="329"/>
      <c r="H84" s="329"/>
      <c r="I84" s="329"/>
      <c r="J84" s="329"/>
      <c r="K84" s="35" t="s">
        <v>100</v>
      </c>
    </row>
    <row r="85" spans="1:11" ht="15.9" customHeight="1" x14ac:dyDescent="0.25">
      <c r="A85" s="49" t="s">
        <v>17</v>
      </c>
      <c r="B85" s="47"/>
      <c r="C85" s="47"/>
      <c r="D85" s="47"/>
      <c r="E85" s="47"/>
      <c r="F85" s="47"/>
      <c r="G85" s="47"/>
      <c r="H85" s="47"/>
      <c r="I85" s="47"/>
      <c r="J85" s="53"/>
      <c r="K85" s="53"/>
    </row>
    <row r="86" spans="1:11" s="48" customFormat="1" ht="43.2" customHeight="1" x14ac:dyDescent="0.25">
      <c r="A86" s="331" t="str">
        <f>реестр!F6</f>
        <v>Штукатурка КРЕПС Мастер: паспорт качества № 11.984 от 29.09.2023г.,свидетельсво о гос.регистрации № RU.77.01.34.008.E.000205.01.20 от 29.01.2020г., экспертное заключение № 77.01.12.П.002725.07.17 от 25.07.2017г., декларация о соответствии № РОСС RU Д-RU.PA01.В.59101/20 с 23.03.2020г. по 20.03.2025г.</v>
      </c>
      <c r="B86" s="331"/>
      <c r="C86" s="331"/>
      <c r="D86" s="331"/>
      <c r="E86" s="331"/>
      <c r="F86" s="331"/>
      <c r="G86" s="331"/>
      <c r="H86" s="331"/>
      <c r="I86" s="331"/>
      <c r="J86" s="331"/>
      <c r="K86" s="44" t="s">
        <v>101</v>
      </c>
    </row>
    <row r="87" spans="1:11" s="48" customFormat="1" ht="8.1" customHeight="1" x14ac:dyDescent="0.25">
      <c r="A87" s="329" t="s">
        <v>165</v>
      </c>
      <c r="B87" s="329"/>
      <c r="C87" s="329"/>
      <c r="D87" s="329"/>
      <c r="E87" s="329"/>
      <c r="F87" s="329"/>
      <c r="G87" s="329"/>
      <c r="H87" s="329"/>
      <c r="I87" s="329"/>
      <c r="J87" s="329"/>
      <c r="K87" s="35" t="s">
        <v>100</v>
      </c>
    </row>
    <row r="88" spans="1:11" ht="9.75" customHeight="1" x14ac:dyDescent="0.25">
      <c r="A88" s="317" t="s">
        <v>166</v>
      </c>
      <c r="B88" s="317"/>
      <c r="C88" s="317"/>
      <c r="D88" s="317"/>
      <c r="E88" s="317"/>
      <c r="F88" s="317"/>
      <c r="G88" s="317"/>
      <c r="H88" s="317"/>
      <c r="I88" s="317"/>
      <c r="J88" s="317"/>
      <c r="K88" s="35" t="s">
        <v>100</v>
      </c>
    </row>
    <row r="89" spans="1:11" s="55" customFormat="1" ht="15.9" customHeight="1" x14ac:dyDescent="0.25">
      <c r="A89" s="300" t="s">
        <v>4</v>
      </c>
      <c r="B89" s="300"/>
      <c r="C89" s="300"/>
      <c r="D89" s="300"/>
      <c r="E89" s="300"/>
      <c r="F89" s="300"/>
      <c r="G89" s="300"/>
      <c r="H89" s="300"/>
      <c r="I89" s="300"/>
      <c r="J89" s="300"/>
      <c r="K89" s="44"/>
    </row>
    <row r="90" spans="1:11" s="48" customFormat="1" ht="28.8" customHeight="1" x14ac:dyDescent="0.25">
      <c r="A90" s="331" t="str">
        <f>реестр!G6</f>
        <v>Исп. схема № 61.17-АР-41 от 12.05.2024. Штукатурка перегородок и облицовок на 1 этаже в/о А-В/1-10; АОРПИ № АИР 1.2-61.17-АР/52 от 14.11.2023г., № АИР 1.2-61.17-АР/60 от 16.02.2024г.</v>
      </c>
      <c r="B90" s="331"/>
      <c r="C90" s="331"/>
      <c r="D90" s="331"/>
      <c r="E90" s="331"/>
      <c r="F90" s="331"/>
      <c r="G90" s="331"/>
      <c r="H90" s="331"/>
      <c r="I90" s="331"/>
      <c r="J90" s="331"/>
      <c r="K90" s="44" t="s">
        <v>101</v>
      </c>
    </row>
    <row r="91" spans="1:11" ht="8.25" customHeight="1" x14ac:dyDescent="0.25">
      <c r="A91" s="329" t="s">
        <v>98</v>
      </c>
      <c r="B91" s="329"/>
      <c r="C91" s="329"/>
      <c r="D91" s="329"/>
      <c r="E91" s="329"/>
      <c r="F91" s="329"/>
      <c r="G91" s="329"/>
      <c r="H91" s="329"/>
      <c r="I91" s="329"/>
      <c r="J91" s="329"/>
      <c r="K91" s="35" t="s">
        <v>100</v>
      </c>
    </row>
    <row r="92" spans="1:11" ht="15.9" customHeight="1" x14ac:dyDescent="0.25">
      <c r="A92" s="49" t="s">
        <v>21</v>
      </c>
      <c r="B92" s="49" t="s">
        <v>6</v>
      </c>
      <c r="D92" s="106">
        <f>реестр!H6</f>
        <v>45422</v>
      </c>
      <c r="E92" s="107" t="str">
        <f>[1]реестр!H6</f>
        <v>18 сентября 2023г.</v>
      </c>
      <c r="F92" s="108"/>
      <c r="G92" s="108"/>
      <c r="H92" s="108"/>
    </row>
    <row r="93" spans="1:11" ht="15.9" customHeight="1" x14ac:dyDescent="0.25">
      <c r="B93" s="49" t="s">
        <v>5</v>
      </c>
      <c r="C93" s="47"/>
      <c r="D93" s="106">
        <f>реестр!I6</f>
        <v>45424</v>
      </c>
      <c r="E93" s="107" t="str">
        <f>[1]реестр!I6</f>
        <v>18 сентября 2023г.</v>
      </c>
      <c r="F93" s="108"/>
      <c r="G93" s="108"/>
      <c r="H93" s="108"/>
    </row>
    <row r="94" spans="1:11" s="55" customFormat="1" ht="15.9" customHeight="1" x14ac:dyDescent="0.25">
      <c r="A94" s="105" t="s">
        <v>23</v>
      </c>
      <c r="B94" s="37"/>
      <c r="C94" s="30"/>
      <c r="D94" s="30"/>
      <c r="E94" s="30"/>
      <c r="F94" s="332"/>
      <c r="G94" s="332"/>
      <c r="H94" s="332"/>
      <c r="I94" s="332"/>
      <c r="J94" s="332"/>
      <c r="K94" s="44"/>
    </row>
    <row r="95" spans="1:11" s="56" customFormat="1" ht="29.4" customHeight="1" x14ac:dyDescent="0.25">
      <c r="A95" s="331" t="str">
        <f>реестр!J6</f>
        <v xml:space="preserve">СП 48.13330.2019 "Организация строительства", СП 49.13330.2010 "Безопасность труда в строительстве. Общие требования", СП 71.13330.2017 "Изоляционные и отделочные покрытия", проект шифр ПП2020РД-1.2-61.17-АР изм.3; </v>
      </c>
      <c r="B95" s="331"/>
      <c r="C95" s="331"/>
      <c r="D95" s="331"/>
      <c r="E95" s="331"/>
      <c r="F95" s="331"/>
      <c r="G95" s="331"/>
      <c r="H95" s="331"/>
      <c r="I95" s="331"/>
      <c r="J95" s="331"/>
      <c r="K95" s="44" t="s">
        <v>101</v>
      </c>
    </row>
    <row r="96" spans="1:11" ht="8.1" customHeight="1" x14ac:dyDescent="0.25">
      <c r="A96" s="329" t="s">
        <v>134</v>
      </c>
      <c r="B96" s="329"/>
      <c r="C96" s="329"/>
      <c r="D96" s="329"/>
      <c r="E96" s="329"/>
      <c r="F96" s="329"/>
      <c r="G96" s="329"/>
      <c r="H96" s="329"/>
      <c r="I96" s="329"/>
      <c r="J96" s="329"/>
      <c r="K96" s="35" t="s">
        <v>100</v>
      </c>
    </row>
    <row r="97" spans="1:11" s="57" customFormat="1" ht="15.9" customHeight="1" x14ac:dyDescent="0.25">
      <c r="A97" s="105" t="s">
        <v>22</v>
      </c>
      <c r="B97" s="30"/>
      <c r="C97" s="30"/>
      <c r="D97" s="30"/>
      <c r="E97" s="30"/>
      <c r="F97" s="30"/>
      <c r="G97" s="30"/>
      <c r="H97" s="30"/>
      <c r="I97" s="30"/>
      <c r="J97" s="44"/>
      <c r="K97" s="44"/>
    </row>
    <row r="98" spans="1:11" s="48" customFormat="1" ht="15" customHeight="1" x14ac:dyDescent="0.25">
      <c r="A98" s="331" t="str">
        <f>реестр!K6</f>
        <v>грунтовке перед окраской перегородок и зашивок, в т.ч. откосов</v>
      </c>
      <c r="B98" s="331"/>
      <c r="C98" s="331"/>
      <c r="D98" s="331"/>
      <c r="E98" s="331"/>
      <c r="F98" s="331"/>
      <c r="G98" s="331"/>
      <c r="H98" s="331"/>
      <c r="I98" s="331"/>
      <c r="J98" s="331"/>
      <c r="K98" s="44" t="s">
        <v>101</v>
      </c>
    </row>
    <row r="99" spans="1:11" ht="8.1" customHeight="1" x14ac:dyDescent="0.25">
      <c r="A99" s="329" t="s">
        <v>135</v>
      </c>
      <c r="B99" s="329"/>
      <c r="C99" s="329"/>
      <c r="D99" s="329"/>
      <c r="E99" s="329"/>
      <c r="F99" s="329"/>
      <c r="G99" s="329"/>
      <c r="H99" s="329"/>
      <c r="I99" s="329"/>
      <c r="J99" s="329"/>
      <c r="K99" s="35" t="s">
        <v>100</v>
      </c>
    </row>
    <row r="100" spans="1:11" ht="15.9" customHeight="1" x14ac:dyDescent="0.25">
      <c r="A100" s="305" t="s">
        <v>14</v>
      </c>
      <c r="B100" s="305"/>
      <c r="C100" s="305"/>
      <c r="D100" s="333" t="s">
        <v>75</v>
      </c>
      <c r="E100" s="333"/>
      <c r="F100" s="333"/>
      <c r="G100" s="333"/>
      <c r="H100" s="333"/>
      <c r="I100" s="333"/>
      <c r="J100" s="333"/>
    </row>
    <row r="101" spans="1:11" s="50" customFormat="1" ht="13.8" x14ac:dyDescent="0.25">
      <c r="A101" s="30"/>
      <c r="B101" s="30"/>
      <c r="C101" s="30"/>
      <c r="D101" s="30"/>
      <c r="E101" s="30"/>
      <c r="F101" s="30"/>
      <c r="G101" s="30"/>
      <c r="H101" s="30"/>
      <c r="I101" s="30"/>
      <c r="J101" s="44"/>
      <c r="K101" s="44"/>
    </row>
    <row r="102" spans="1:11" ht="15.9" customHeight="1" x14ac:dyDescent="0.25">
      <c r="A102" s="305" t="s">
        <v>324</v>
      </c>
      <c r="B102" s="305"/>
      <c r="C102" s="305"/>
      <c r="D102" s="305"/>
      <c r="E102" s="305"/>
      <c r="F102" s="305"/>
      <c r="G102" s="305"/>
      <c r="H102" s="305"/>
      <c r="I102" s="305"/>
      <c r="J102" s="305"/>
      <c r="K102" s="53"/>
    </row>
    <row r="103" spans="1:11" s="55" customFormat="1" ht="15.9" customHeight="1" x14ac:dyDescent="0.25">
      <c r="A103" s="49" t="s">
        <v>7</v>
      </c>
      <c r="B103" s="30"/>
      <c r="C103" s="30"/>
      <c r="D103" s="30"/>
      <c r="E103" s="30"/>
      <c r="F103" s="30"/>
      <c r="G103" s="30"/>
      <c r="H103" s="30"/>
      <c r="I103" s="30"/>
      <c r="J103" s="44"/>
      <c r="K103" s="44"/>
    </row>
    <row r="104" spans="1:11" s="55" customFormat="1" ht="30.6" customHeight="1" x14ac:dyDescent="0.25">
      <c r="A104" s="334" t="str">
        <f>реестр!L6</f>
        <v>Исп. схема № 61.17-АР-41 от 12.05.2024. Штукатурка перегородок и облицовок на 1 этаже в/о А-В/1-10; АОРПИ № АИР 1.2-61.17-АР/52 от 14.11.2023г., № АИР 1.2-61.17-АР/60 от 16.02.2024г.</v>
      </c>
      <c r="B104" s="334"/>
      <c r="C104" s="334"/>
      <c r="D104" s="334"/>
      <c r="E104" s="334"/>
      <c r="F104" s="334"/>
      <c r="G104" s="334"/>
      <c r="H104" s="334"/>
      <c r="I104" s="334"/>
      <c r="J104" s="334"/>
      <c r="K104" s="44" t="s">
        <v>101</v>
      </c>
    </row>
    <row r="105" spans="1:11" s="34" customFormat="1" ht="8.1" customHeight="1" x14ac:dyDescent="0.25">
      <c r="A105" s="329" t="s">
        <v>136</v>
      </c>
      <c r="B105" s="329"/>
      <c r="C105" s="329"/>
      <c r="D105" s="329"/>
      <c r="E105" s="329"/>
      <c r="F105" s="329"/>
      <c r="G105" s="329"/>
      <c r="H105" s="329"/>
      <c r="I105" s="329"/>
      <c r="J105" s="329"/>
      <c r="K105" s="35" t="s">
        <v>100</v>
      </c>
    </row>
    <row r="106" spans="1:11" s="34" customFormat="1" ht="15.9" customHeight="1" x14ac:dyDescent="0.25">
      <c r="A106" s="304" t="s">
        <v>137</v>
      </c>
      <c r="B106" s="304"/>
      <c r="C106" s="304"/>
      <c r="D106" s="304"/>
      <c r="E106" s="304"/>
      <c r="F106" s="304"/>
      <c r="G106" s="304"/>
      <c r="H106" s="304"/>
      <c r="I106" s="304"/>
      <c r="J106" s="304"/>
      <c r="K106" s="44"/>
    </row>
    <row r="107" spans="1:11" s="55" customFormat="1" ht="15.6" customHeight="1" x14ac:dyDescent="0.25">
      <c r="A107" s="322" t="s">
        <v>138</v>
      </c>
      <c r="B107" s="304"/>
      <c r="C107" s="304"/>
      <c r="D107" s="304"/>
      <c r="E107" s="304"/>
      <c r="F107" s="304"/>
      <c r="G107" s="304"/>
      <c r="H107" s="304"/>
      <c r="I107" s="304"/>
      <c r="J107" s="304"/>
      <c r="K107" s="44"/>
    </row>
    <row r="108" spans="1:11" s="48" customFormat="1" ht="24.9" customHeight="1" x14ac:dyDescent="0.25">
      <c r="A108" s="297" t="str">
        <f>реестр!N6</f>
        <v>Серов А.В.</v>
      </c>
      <c r="B108" s="297"/>
      <c r="C108" s="297"/>
      <c r="D108" s="297"/>
      <c r="E108" s="64"/>
      <c r="F108" s="64"/>
      <c r="G108" s="325"/>
      <c r="H108" s="325"/>
      <c r="I108" s="325"/>
      <c r="J108" s="325"/>
      <c r="K108" s="44"/>
    </row>
    <row r="109" spans="1:11" s="34" customFormat="1" ht="8.1" customHeight="1" x14ac:dyDescent="0.25">
      <c r="A109" s="329" t="s">
        <v>139</v>
      </c>
      <c r="B109" s="329"/>
      <c r="C109" s="329"/>
      <c r="D109" s="329"/>
      <c r="E109" s="65"/>
      <c r="F109" s="65"/>
      <c r="G109" s="329" t="s">
        <v>140</v>
      </c>
      <c r="H109" s="329"/>
      <c r="I109" s="329"/>
      <c r="J109" s="329"/>
      <c r="K109" s="35" t="s">
        <v>100</v>
      </c>
    </row>
    <row r="110" spans="1:11" s="55" customFormat="1" ht="15.9" customHeight="1" x14ac:dyDescent="0.25">
      <c r="A110" s="291" t="s">
        <v>141</v>
      </c>
      <c r="B110" s="291"/>
      <c r="C110" s="291"/>
      <c r="D110" s="291"/>
      <c r="E110" s="291"/>
      <c r="F110" s="291"/>
      <c r="G110" s="291"/>
      <c r="H110" s="291"/>
      <c r="I110" s="291"/>
      <c r="J110" s="291"/>
      <c r="K110" s="44"/>
    </row>
    <row r="111" spans="1:11" s="48" customFormat="1" ht="24.9" customHeight="1" x14ac:dyDescent="0.25">
      <c r="A111" s="335" t="s">
        <v>142</v>
      </c>
      <c r="B111" s="335"/>
      <c r="C111" s="335"/>
      <c r="D111" s="335"/>
      <c r="E111" s="50"/>
      <c r="F111" s="50"/>
      <c r="G111" s="330"/>
      <c r="H111" s="330"/>
      <c r="I111" s="330"/>
      <c r="J111" s="330"/>
      <c r="K111" s="44"/>
    </row>
    <row r="112" spans="1:11" ht="8.1" customHeight="1" x14ac:dyDescent="0.25">
      <c r="A112" s="329" t="s">
        <v>139</v>
      </c>
      <c r="B112" s="329"/>
      <c r="C112" s="329"/>
      <c r="D112" s="329"/>
      <c r="E112" s="65"/>
      <c r="F112" s="65"/>
      <c r="G112" s="329" t="s">
        <v>140</v>
      </c>
      <c r="H112" s="329"/>
      <c r="I112" s="329"/>
      <c r="J112" s="329"/>
      <c r="K112" s="35" t="s">
        <v>100</v>
      </c>
    </row>
    <row r="113" spans="1:11" ht="15.9" customHeight="1" x14ac:dyDescent="0.25">
      <c r="A113" s="291" t="s">
        <v>143</v>
      </c>
      <c r="B113" s="291"/>
      <c r="C113" s="291"/>
      <c r="D113" s="291"/>
      <c r="E113" s="291"/>
      <c r="F113" s="291"/>
      <c r="G113" s="291"/>
      <c r="H113" s="291"/>
      <c r="I113" s="291"/>
      <c r="J113" s="291"/>
    </row>
    <row r="114" spans="1:11" s="55" customFormat="1" ht="15.9" customHeight="1" x14ac:dyDescent="0.25">
      <c r="A114" s="291" t="s">
        <v>130</v>
      </c>
      <c r="B114" s="291"/>
      <c r="C114" s="291"/>
      <c r="D114" s="291"/>
      <c r="E114" s="291"/>
      <c r="F114" s="291"/>
      <c r="G114" s="291"/>
      <c r="H114" s="291"/>
      <c r="I114" s="291"/>
      <c r="J114" s="291"/>
      <c r="K114" s="44"/>
    </row>
    <row r="115" spans="1:11" s="48" customFormat="1" ht="24.9" customHeight="1" x14ac:dyDescent="0.25">
      <c r="A115" s="335" t="s">
        <v>76</v>
      </c>
      <c r="B115" s="335"/>
      <c r="C115" s="335"/>
      <c r="D115" s="335"/>
      <c r="E115" s="50"/>
      <c r="F115" s="50"/>
      <c r="G115" s="330"/>
      <c r="H115" s="330"/>
      <c r="I115" s="330"/>
      <c r="J115" s="330"/>
      <c r="K115" s="44"/>
    </row>
    <row r="116" spans="1:11" s="48" customFormat="1" ht="8.1" customHeight="1" x14ac:dyDescent="0.25">
      <c r="A116" s="329" t="s">
        <v>139</v>
      </c>
      <c r="B116" s="329"/>
      <c r="C116" s="329"/>
      <c r="D116" s="329"/>
      <c r="E116" s="65"/>
      <c r="F116" s="65"/>
      <c r="G116" s="329" t="s">
        <v>140</v>
      </c>
      <c r="H116" s="329"/>
      <c r="I116" s="329"/>
      <c r="J116" s="329"/>
      <c r="K116" s="35" t="s">
        <v>100</v>
      </c>
    </row>
    <row r="117" spans="1:11" s="55" customFormat="1" ht="57" customHeight="1" x14ac:dyDescent="0.25">
      <c r="A117" s="300" t="s">
        <v>131</v>
      </c>
      <c r="B117" s="300"/>
      <c r="C117" s="300"/>
      <c r="D117" s="300"/>
      <c r="E117" s="300"/>
      <c r="F117" s="300"/>
      <c r="G117" s="300"/>
      <c r="H117" s="300"/>
      <c r="I117" s="300"/>
      <c r="J117" s="300"/>
      <c r="K117" s="35"/>
    </row>
    <row r="118" spans="1:11" s="48" customFormat="1" ht="24.9" customHeight="1" x14ac:dyDescent="0.25">
      <c r="A118" s="335" t="s">
        <v>95</v>
      </c>
      <c r="B118" s="335"/>
      <c r="C118" s="335"/>
      <c r="D118" s="335"/>
      <c r="E118" s="50"/>
      <c r="F118" s="50"/>
      <c r="G118" s="330"/>
      <c r="H118" s="330"/>
      <c r="I118" s="330"/>
      <c r="J118" s="330"/>
      <c r="K118" s="44"/>
    </row>
    <row r="119" spans="1:11" s="47" customFormat="1" ht="8.1" customHeight="1" x14ac:dyDescent="0.25">
      <c r="A119" s="329" t="s">
        <v>139</v>
      </c>
      <c r="B119" s="329"/>
      <c r="C119" s="329"/>
      <c r="D119" s="329"/>
      <c r="E119" s="65"/>
      <c r="F119" s="65"/>
      <c r="G119" s="329" t="s">
        <v>140</v>
      </c>
      <c r="H119" s="329"/>
      <c r="I119" s="329"/>
      <c r="J119" s="329"/>
      <c r="K119" s="35" t="s">
        <v>100</v>
      </c>
    </row>
    <row r="120" spans="1:11" s="55" customFormat="1" ht="40.5" customHeight="1" x14ac:dyDescent="0.25">
      <c r="A120" s="300" t="s">
        <v>159</v>
      </c>
      <c r="B120" s="300"/>
      <c r="C120" s="300"/>
      <c r="D120" s="300"/>
      <c r="E120" s="300"/>
      <c r="F120" s="300"/>
      <c r="G120" s="300"/>
      <c r="H120" s="300"/>
      <c r="I120" s="300"/>
      <c r="J120" s="300"/>
      <c r="K120" s="53"/>
    </row>
    <row r="121" spans="1:11" s="59" customFormat="1" ht="24.9" customHeight="1" x14ac:dyDescent="0.25">
      <c r="A121" s="335" t="str">
        <f>реестр!T6</f>
        <v>Ясинский В.И.</v>
      </c>
      <c r="B121" s="335"/>
      <c r="C121" s="335"/>
      <c r="D121" s="335"/>
      <c r="E121" s="50"/>
      <c r="F121" s="50"/>
      <c r="G121" s="330"/>
      <c r="H121" s="330"/>
      <c r="I121" s="330"/>
      <c r="J121" s="330"/>
      <c r="K121" s="44"/>
    </row>
    <row r="122" spans="1:11" s="47" customFormat="1" ht="8.1" customHeight="1" x14ac:dyDescent="0.25">
      <c r="A122" s="329" t="s">
        <v>139</v>
      </c>
      <c r="B122" s="329"/>
      <c r="C122" s="329"/>
      <c r="D122" s="329"/>
      <c r="E122" s="65"/>
      <c r="F122" s="65"/>
      <c r="G122" s="329" t="s">
        <v>140</v>
      </c>
      <c r="H122" s="329"/>
      <c r="I122" s="329"/>
      <c r="J122" s="329"/>
      <c r="K122" s="35" t="s">
        <v>100</v>
      </c>
    </row>
    <row r="123" spans="1:11" s="55" customFormat="1" ht="15.9" customHeight="1" x14ac:dyDescent="0.25">
      <c r="A123" s="300" t="s">
        <v>27</v>
      </c>
      <c r="B123" s="300"/>
      <c r="C123" s="300"/>
      <c r="D123" s="300"/>
      <c r="E123" s="300"/>
      <c r="F123" s="300"/>
      <c r="G123" s="300"/>
      <c r="H123" s="300"/>
      <c r="I123" s="300"/>
      <c r="J123" s="300"/>
      <c r="K123" s="53"/>
    </row>
    <row r="124" spans="1:11" ht="24.9" customHeight="1" x14ac:dyDescent="0.25">
      <c r="A124" s="335" t="s">
        <v>96</v>
      </c>
      <c r="B124" s="335"/>
      <c r="C124" s="335"/>
      <c r="D124" s="335"/>
      <c r="E124" s="50"/>
      <c r="F124" s="50"/>
      <c r="G124" s="330"/>
      <c r="H124" s="330"/>
      <c r="I124" s="330"/>
      <c r="J124" s="330"/>
    </row>
    <row r="125" spans="1:11" ht="8.1" customHeight="1" x14ac:dyDescent="0.25">
      <c r="A125" s="329" t="s">
        <v>139</v>
      </c>
      <c r="B125" s="329"/>
      <c r="C125" s="329"/>
      <c r="D125" s="329"/>
      <c r="E125" s="65"/>
      <c r="F125" s="65"/>
      <c r="G125" s="329" t="s">
        <v>140</v>
      </c>
      <c r="H125" s="329"/>
      <c r="I125" s="329"/>
      <c r="J125" s="329"/>
      <c r="K125" s="35" t="s">
        <v>100</v>
      </c>
    </row>
    <row r="126" spans="1:11" s="55" customFormat="1" x14ac:dyDescent="0.25">
      <c r="A126" s="60"/>
      <c r="B126" s="60"/>
      <c r="C126" s="60"/>
      <c r="D126" s="60"/>
      <c r="E126" s="66"/>
      <c r="F126" s="66"/>
      <c r="G126" s="60"/>
      <c r="H126" s="60"/>
      <c r="I126" s="60"/>
      <c r="J126" s="60"/>
      <c r="K126" s="44"/>
    </row>
    <row r="127" spans="1:11" ht="24.9" customHeight="1" x14ac:dyDescent="0.25">
      <c r="A127" s="335" t="s">
        <v>83</v>
      </c>
      <c r="B127" s="335"/>
      <c r="C127" s="335"/>
      <c r="D127" s="335"/>
      <c r="E127" s="50"/>
      <c r="F127" s="50"/>
      <c r="G127" s="330"/>
      <c r="H127" s="330"/>
      <c r="I127" s="330"/>
      <c r="J127" s="330"/>
    </row>
    <row r="128" spans="1:11" ht="8.1" customHeight="1" x14ac:dyDescent="0.25">
      <c r="A128" s="329" t="s">
        <v>139</v>
      </c>
      <c r="B128" s="329"/>
      <c r="C128" s="329"/>
      <c r="D128" s="329"/>
      <c r="E128" s="65"/>
      <c r="F128" s="65"/>
      <c r="G128" s="329" t="s">
        <v>140</v>
      </c>
      <c r="H128" s="329"/>
      <c r="I128" s="329"/>
      <c r="J128" s="329"/>
      <c r="K128" s="35" t="s">
        <v>100</v>
      </c>
    </row>
  </sheetData>
  <autoFilter ref="A1:L128" xr:uid="{AAA533FB-EB8C-4211-B7D8-6428D2DA8FD7}">
    <filterColumn colId="5" showButton="0"/>
    <filterColumn colId="6" showButton="0"/>
    <filterColumn colId="7" showButton="0"/>
    <filterColumn colId="8" showButton="0"/>
  </autoFilter>
  <mergeCells count="136">
    <mergeCell ref="E77:J77"/>
    <mergeCell ref="A66:J66"/>
    <mergeCell ref="A23:J23"/>
    <mergeCell ref="A127:D127"/>
    <mergeCell ref="G127:J127"/>
    <mergeCell ref="A128:D128"/>
    <mergeCell ref="G128:J128"/>
    <mergeCell ref="A42:J42"/>
    <mergeCell ref="A45:J45"/>
    <mergeCell ref="A46:J46"/>
    <mergeCell ref="A54:J54"/>
    <mergeCell ref="A122:D122"/>
    <mergeCell ref="G122:J122"/>
    <mergeCell ref="A123:J123"/>
    <mergeCell ref="A124:D124"/>
    <mergeCell ref="G124:J124"/>
    <mergeCell ref="A125:D125"/>
    <mergeCell ref="G125:J125"/>
    <mergeCell ref="A118:D118"/>
    <mergeCell ref="G118:J118"/>
    <mergeCell ref="A119:D119"/>
    <mergeCell ref="G119:J119"/>
    <mergeCell ref="A120:J120"/>
    <mergeCell ref="A121:D121"/>
    <mergeCell ref="G121:J121"/>
    <mergeCell ref="A114:J114"/>
    <mergeCell ref="A115:D115"/>
    <mergeCell ref="G115:J115"/>
    <mergeCell ref="A116:D116"/>
    <mergeCell ref="G116:J116"/>
    <mergeCell ref="A117:J117"/>
    <mergeCell ref="A110:J110"/>
    <mergeCell ref="A111:D111"/>
    <mergeCell ref="G111:J111"/>
    <mergeCell ref="A112:D112"/>
    <mergeCell ref="G112:J112"/>
    <mergeCell ref="A113:J113"/>
    <mergeCell ref="A105:J105"/>
    <mergeCell ref="A106:J106"/>
    <mergeCell ref="A107:J107"/>
    <mergeCell ref="A108:D108"/>
    <mergeCell ref="G108:J108"/>
    <mergeCell ref="A109:D109"/>
    <mergeCell ref="G109:J109"/>
    <mergeCell ref="A98:J98"/>
    <mergeCell ref="A99:J99"/>
    <mergeCell ref="A100:C100"/>
    <mergeCell ref="D100:J100"/>
    <mergeCell ref="A102:J102"/>
    <mergeCell ref="A104:J104"/>
    <mergeCell ref="A89:J89"/>
    <mergeCell ref="A90:J90"/>
    <mergeCell ref="A91:J91"/>
    <mergeCell ref="F94:J94"/>
    <mergeCell ref="A95:J95"/>
    <mergeCell ref="A96:J96"/>
    <mergeCell ref="A80:J80"/>
    <mergeCell ref="A81:J81"/>
    <mergeCell ref="A83:J83"/>
    <mergeCell ref="A84:J84"/>
    <mergeCell ref="A86:J86"/>
    <mergeCell ref="A87:J87"/>
    <mergeCell ref="A88:J88"/>
    <mergeCell ref="A71:J71"/>
    <mergeCell ref="A72:J72"/>
    <mergeCell ref="A73:J73"/>
    <mergeCell ref="A74:J74"/>
    <mergeCell ref="E75:J75"/>
    <mergeCell ref="E76:J76"/>
    <mergeCell ref="A64:J64"/>
    <mergeCell ref="A65:J65"/>
    <mergeCell ref="A67:J67"/>
    <mergeCell ref="A68:J68"/>
    <mergeCell ref="A69:J69"/>
    <mergeCell ref="A70:J70"/>
    <mergeCell ref="A57:J57"/>
    <mergeCell ref="A58:J58"/>
    <mergeCell ref="A59:J59"/>
    <mergeCell ref="A60:J60"/>
    <mergeCell ref="A61:J61"/>
    <mergeCell ref="A63:J63"/>
    <mergeCell ref="A50:J50"/>
    <mergeCell ref="A51:D51"/>
    <mergeCell ref="E51:J51"/>
    <mergeCell ref="A52:J52"/>
    <mergeCell ref="A53:J53"/>
    <mergeCell ref="A56:J56"/>
    <mergeCell ref="A55:J55"/>
    <mergeCell ref="A62:J62"/>
    <mergeCell ref="A41:J41"/>
    <mergeCell ref="A43:J43"/>
    <mergeCell ref="A44:J44"/>
    <mergeCell ref="A47:J47"/>
    <mergeCell ref="A48:J48"/>
    <mergeCell ref="A49:J49"/>
    <mergeCell ref="A36:J36"/>
    <mergeCell ref="A37:J37"/>
    <mergeCell ref="A38:E38"/>
    <mergeCell ref="F38:J38"/>
    <mergeCell ref="F39:J39"/>
    <mergeCell ref="A40:J40"/>
    <mergeCell ref="A29:J29"/>
    <mergeCell ref="A31:J31"/>
    <mergeCell ref="A33:J33"/>
    <mergeCell ref="A34:J34"/>
    <mergeCell ref="B35:D35"/>
    <mergeCell ref="I35:J35"/>
    <mergeCell ref="A30:J30"/>
    <mergeCell ref="A24:E24"/>
    <mergeCell ref="F24:J24"/>
    <mergeCell ref="E25:J25"/>
    <mergeCell ref="A26:J26"/>
    <mergeCell ref="A27:J27"/>
    <mergeCell ref="A28:J28"/>
    <mergeCell ref="A17:J17"/>
    <mergeCell ref="A18:J18"/>
    <mergeCell ref="A19:J19"/>
    <mergeCell ref="A20:J20"/>
    <mergeCell ref="A21:J21"/>
    <mergeCell ref="A22:J22"/>
    <mergeCell ref="A11:J11"/>
    <mergeCell ref="A12:J12"/>
    <mergeCell ref="A13:J13"/>
    <mergeCell ref="A14:J14"/>
    <mergeCell ref="A15:J15"/>
    <mergeCell ref="A16:J16"/>
    <mergeCell ref="F1:J1"/>
    <mergeCell ref="A7:J7"/>
    <mergeCell ref="A8:J8"/>
    <mergeCell ref="A9:J9"/>
    <mergeCell ref="A10:J10"/>
    <mergeCell ref="A3:D3"/>
    <mergeCell ref="E3:J3"/>
    <mergeCell ref="A4:J4"/>
    <mergeCell ref="A5:J5"/>
    <mergeCell ref="A6:J6"/>
  </mergeCells>
  <pageMargins left="0.7" right="0.7" top="0.75" bottom="0.75" header="0.3" footer="0.3"/>
  <pageSetup paperSize="9" scale="76" fitToHeight="0" orientation="portrait" r:id="rId1"/>
  <rowBreaks count="1" manualBreakCount="1">
    <brk id="78" max="9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Spinner 11">
              <controlPr locked="0" defaultSize="0" autoPict="0">
                <anchor moveWithCells="1" sizeWithCells="1">
                  <from>
                    <xdr:col>13</xdr:col>
                    <xdr:colOff>76200</xdr:colOff>
                    <xdr:row>0</xdr:row>
                    <xdr:rowOff>22860</xdr:rowOff>
                  </from>
                  <to>
                    <xdr:col>13</xdr:col>
                    <xdr:colOff>335280</xdr:colOff>
                    <xdr:row>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5" name="Option Button 6">
              <controlPr defaultSize="0" autoFill="0" autoLine="0" autoPict="0" macro="[0]!IncreaseRowHeight">
                <anchor moveWithCells="1">
                  <from>
                    <xdr:col>15</xdr:col>
                    <xdr:colOff>38100</xdr:colOff>
                    <xdr:row>0</xdr:row>
                    <xdr:rowOff>99060</xdr:rowOff>
                  </from>
                  <to>
                    <xdr:col>16</xdr:col>
                    <xdr:colOff>464820</xdr:colOff>
                    <xdr:row>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6" name="Option Button 7">
              <controlPr defaultSize="0" autoFill="0" autoLine="0" autoPict="0" macro="[0]!DecreaseRowHeight">
                <anchor moveWithCells="1">
                  <from>
                    <xdr:col>15</xdr:col>
                    <xdr:colOff>45720</xdr:colOff>
                    <xdr:row>2</xdr:row>
                    <xdr:rowOff>144780</xdr:rowOff>
                  </from>
                  <to>
                    <xdr:col>16</xdr:col>
                    <xdr:colOff>457200</xdr:colOff>
                    <xdr:row>3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indexed="11"/>
    <pageSetUpPr fitToPage="1"/>
  </sheetPr>
  <dimension ref="A1:AD282"/>
  <sheetViews>
    <sheetView tabSelected="1" zoomScale="102" zoomScaleNormal="69" workbookViewId="0">
      <pane xSplit="2" ySplit="5" topLeftCell="C43" activePane="bottomRight" state="frozen"/>
      <selection activeCell="P34" sqref="P34"/>
      <selection pane="topRight" activeCell="P34" sqref="P34"/>
      <selection pane="bottomLeft" activeCell="P34" sqref="P34"/>
      <selection pane="bottomRight" activeCell="E80" sqref="E80"/>
    </sheetView>
  </sheetViews>
  <sheetFormatPr defaultColWidth="9.109375" defaultRowHeight="13.2" x14ac:dyDescent="0.25"/>
  <cols>
    <col min="1" max="1" width="5.21875" style="16" bestFit="1" customWidth="1"/>
    <col min="2" max="2" width="23.6640625" style="18" customWidth="1"/>
    <col min="3" max="3" width="15.33203125" style="167" customWidth="1"/>
    <col min="4" max="4" width="38.109375" style="17" customWidth="1"/>
    <col min="5" max="5" width="48.88671875" style="16" customWidth="1"/>
    <col min="6" max="6" width="36" style="16" customWidth="1"/>
    <col min="7" max="7" width="42.6640625" style="102" customWidth="1"/>
    <col min="8" max="9" width="13.33203125" style="20" customWidth="1"/>
    <col min="10" max="10" width="49.5546875" style="23" customWidth="1"/>
    <col min="11" max="11" width="30.6640625" style="17" customWidth="1"/>
    <col min="12" max="12" width="42.6640625" style="102" customWidth="1"/>
    <col min="13" max="13" width="23.6640625" style="16" customWidth="1"/>
    <col min="14" max="14" width="16.6640625" style="16" customWidth="1"/>
    <col min="15" max="15" width="16.5546875" style="16" customWidth="1"/>
    <col min="16" max="16" width="23.109375" style="16" customWidth="1"/>
    <col min="17" max="17" width="25.44140625" style="16" customWidth="1"/>
    <col min="18" max="18" width="21.6640625" style="16" customWidth="1"/>
    <col min="19" max="19" width="23.6640625" style="16" customWidth="1"/>
    <col min="20" max="20" width="22" style="16" customWidth="1"/>
    <col min="21" max="21" width="31.109375" style="16" customWidth="1"/>
    <col min="22" max="23" width="11.6640625" style="16" customWidth="1"/>
    <col min="24" max="24" width="8.88671875" style="184" customWidth="1"/>
    <col min="25" max="27" width="11.6640625" style="16" customWidth="1"/>
    <col min="28" max="28" width="11.6640625" style="184" customWidth="1"/>
    <col min="29" max="29" width="11.6640625" style="16" customWidth="1"/>
    <col min="30" max="30" width="38.33203125" style="16" customWidth="1"/>
    <col min="31" max="32" width="41.5546875" style="16" customWidth="1"/>
    <col min="33" max="16384" width="9.109375" style="16"/>
  </cols>
  <sheetData>
    <row r="1" spans="1:30" s="89" customFormat="1" x14ac:dyDescent="0.25">
      <c r="B1" s="90"/>
      <c r="C1" s="163"/>
      <c r="D1" s="91"/>
      <c r="E1" s="91"/>
      <c r="G1" s="98"/>
      <c r="H1" s="93"/>
      <c r="I1" s="93"/>
      <c r="J1" s="92"/>
      <c r="K1" s="92" t="s">
        <v>20</v>
      </c>
      <c r="L1" s="98"/>
      <c r="X1" s="183"/>
      <c r="AB1" s="183"/>
    </row>
    <row r="2" spans="1:30" s="2" customFormat="1" x14ac:dyDescent="0.25">
      <c r="B2" s="3"/>
      <c r="C2" s="336"/>
      <c r="D2" s="336"/>
      <c r="E2" s="336"/>
      <c r="F2" s="336"/>
      <c r="G2" s="336"/>
      <c r="H2" s="336"/>
      <c r="I2" s="336"/>
      <c r="J2" s="336"/>
      <c r="K2" s="248"/>
      <c r="L2" s="99"/>
      <c r="X2" s="183"/>
      <c r="AB2" s="183"/>
    </row>
    <row r="3" spans="1:30" s="2" customFormat="1" x14ac:dyDescent="0.25">
      <c r="A3" s="4"/>
      <c r="B3" s="5"/>
      <c r="C3" s="337" t="s">
        <v>12</v>
      </c>
      <c r="D3" s="337"/>
      <c r="E3" s="337"/>
      <c r="F3" s="337"/>
      <c r="G3" s="103"/>
      <c r="H3" s="94"/>
      <c r="I3" s="94"/>
      <c r="J3" s="22"/>
      <c r="K3" s="249"/>
      <c r="L3" s="100"/>
      <c r="X3" s="183"/>
      <c r="AB3" s="183"/>
    </row>
    <row r="4" spans="1:30" s="8" customFormat="1" x14ac:dyDescent="0.25">
      <c r="A4" s="6">
        <v>1</v>
      </c>
      <c r="B4" s="7">
        <v>2</v>
      </c>
      <c r="C4" s="6">
        <v>3</v>
      </c>
      <c r="D4" s="6">
        <v>4</v>
      </c>
      <c r="E4" s="6">
        <v>5</v>
      </c>
      <c r="F4" s="6">
        <v>6</v>
      </c>
      <c r="G4" s="101">
        <v>7</v>
      </c>
      <c r="H4" s="6">
        <v>8</v>
      </c>
      <c r="I4" s="6">
        <v>9</v>
      </c>
      <c r="J4" s="6">
        <v>10</v>
      </c>
      <c r="K4" s="6">
        <v>11</v>
      </c>
      <c r="L4" s="101">
        <v>12</v>
      </c>
      <c r="M4" s="6">
        <v>13</v>
      </c>
      <c r="N4" s="6">
        <v>14</v>
      </c>
      <c r="O4" s="6">
        <v>15</v>
      </c>
      <c r="P4" s="6">
        <v>16</v>
      </c>
      <c r="Q4" s="6">
        <v>17</v>
      </c>
      <c r="R4" s="6">
        <v>18</v>
      </c>
      <c r="S4" s="6">
        <v>19</v>
      </c>
      <c r="T4" s="6">
        <v>20</v>
      </c>
      <c r="U4" s="6">
        <v>21</v>
      </c>
      <c r="X4" s="184"/>
      <c r="AB4" s="184"/>
    </row>
    <row r="5" spans="1:30" s="11" customFormat="1" ht="39.6" x14ac:dyDescent="0.25">
      <c r="A5" s="6"/>
      <c r="B5" s="9" t="s">
        <v>9</v>
      </c>
      <c r="C5" s="164" t="s">
        <v>99</v>
      </c>
      <c r="D5" s="10" t="s">
        <v>178</v>
      </c>
      <c r="E5" s="10" t="s">
        <v>16</v>
      </c>
      <c r="F5" s="10" t="s">
        <v>17</v>
      </c>
      <c r="G5" s="10" t="s">
        <v>4</v>
      </c>
      <c r="H5" s="95" t="s">
        <v>11</v>
      </c>
      <c r="I5" s="95" t="s">
        <v>10</v>
      </c>
      <c r="J5" s="10" t="s">
        <v>23</v>
      </c>
      <c r="K5" s="10" t="s">
        <v>22</v>
      </c>
      <c r="L5" s="10" t="s">
        <v>7</v>
      </c>
      <c r="M5" s="28" t="s">
        <v>93</v>
      </c>
      <c r="N5" s="28" t="s">
        <v>94</v>
      </c>
      <c r="O5" s="26" t="s">
        <v>97</v>
      </c>
      <c r="P5" s="26" t="s">
        <v>109</v>
      </c>
      <c r="Q5" s="26" t="s">
        <v>110</v>
      </c>
      <c r="R5" s="26" t="s">
        <v>144</v>
      </c>
      <c r="S5" s="28" t="s">
        <v>108</v>
      </c>
      <c r="T5" s="28" t="s">
        <v>108</v>
      </c>
      <c r="U5" s="26" t="s">
        <v>208</v>
      </c>
      <c r="V5" s="11" t="s">
        <v>238</v>
      </c>
      <c r="W5" s="11" t="s">
        <v>237</v>
      </c>
      <c r="X5" s="185"/>
      <c r="Y5" s="11" t="s">
        <v>242</v>
      </c>
      <c r="Z5" s="11" t="s">
        <v>243</v>
      </c>
      <c r="AA5" s="11" t="s">
        <v>244</v>
      </c>
      <c r="AB5" s="185"/>
    </row>
    <row r="6" spans="1:30" s="114" customFormat="1" ht="132" x14ac:dyDescent="0.25">
      <c r="A6" s="114">
        <f>VLOOKUP('Акты с 1.09.23'!$M$4,$A$30:$U$104,1)</f>
        <v>41</v>
      </c>
      <c r="B6" s="115" t="str">
        <f>VLOOKUP('Акты с 1.09.23'!$M$4,$A$9:$U$104,2)</f>
        <v>АИР-М-1.2-61.17-АР-41</v>
      </c>
      <c r="C6" s="165">
        <f>VLOOKUP('Акты с 1.09.23'!M4,$A$9:$U$104,3)</f>
        <v>45424</v>
      </c>
      <c r="D6" s="116" t="str">
        <f>VLOOKUP('Акты с 1.09.23'!M4,$A$9:$U$104,4)</f>
        <v>Служебное здание АС. Штукатурка перегородок и облицовок на 1 этаже в/о А-В/1-10 (Общей площадью - 78,26 м2)</v>
      </c>
      <c r="E6" s="114" t="str">
        <f>VLOOKUP('Акты с 1.09.23'!M4,$A$9:$U$104,5)</f>
        <v>Проект шифр ПП2020РД-1.2-61.17-АР "Служебное здание АС. Архитектурные решения", изм.3, л. 5, 13, 13.1, 14.1; ООО "Трансстроймеханизация" ГИП Кратирова Е.Л.</v>
      </c>
      <c r="F6" s="114" t="str">
        <f>VLOOKUP('Акты с 1.09.23'!M4,$A$9:$U$104,6)</f>
        <v>Штукатурка КРЕПС Мастер: паспорт качества № 11.984 от 29.09.2023г.,свидетельсво о гос.регистрации № RU.77.01.34.008.E.000205.01.20 от 29.01.2020г., экспертное заключение № 77.01.12.П.002725.07.17 от 25.07.2017г., декларация о соответствии № РОСС RU Д-RU.PA01.В.59101/20 с 23.03.2020г. по 20.03.2025г.</v>
      </c>
      <c r="G6" s="116" t="str">
        <f>VLOOKUP('Акты с 1.09.23'!M4,$A$9:$U$104,7)</f>
        <v>Исп. схема № 61.17-АР-41 от 12.05.2024. Штукатурка перегородок и облицовок на 1 этаже в/о А-В/1-10; АОРПИ № АИР 1.2-61.17-АР/52 от 14.11.2023г., № АИР 1.2-61.17-АР/60 от 16.02.2024г.</v>
      </c>
      <c r="H6" s="117">
        <f>VLOOKUP('Акты с 1.09.23'!M4,$A$9:$U$104,8)</f>
        <v>45422</v>
      </c>
      <c r="I6" s="117">
        <f>VLOOKUP('Акты с 1.09.23'!M4,$A$9:$U$104,9)</f>
        <v>45424</v>
      </c>
      <c r="J6" s="116" t="str">
        <f>VLOOKUP('Акты с 1.09.23'!M4,$A$9:$U$104,10)</f>
        <v xml:space="preserve">СП 48.13330.2019 "Организация строительства", СП 49.13330.2010 "Безопасность труда в строительстве. Общие требования", СП 71.13330.2017 "Изоляционные и отделочные покрытия", проект шифр ПП2020РД-1.2-61.17-АР изм.3; </v>
      </c>
      <c r="K6" s="116" t="str">
        <f>VLOOKUP('Акты с 1.09.23'!M4,$A$9:$U$104,11)</f>
        <v>грунтовке перед окраской перегородок и зашивок, в т.ч. откосов</v>
      </c>
      <c r="L6" s="116" t="str">
        <f>VLOOKUP('Акты с 1.09.23'!M4,$A$9:$U$104,12)</f>
        <v>Исп. схема № 61.17-АР-41 от 12.05.2024. Штукатурка перегородок и облицовок на 1 этаже в/о А-В/1-10; АОРПИ № АИР 1.2-61.17-АР/52 от 14.11.2023г., № АИР 1.2-61.17-АР/60 от 16.02.2024г.</v>
      </c>
      <c r="M6" s="116" t="str">
        <f>VLOOKUP('Акты с 1.09.23'!M4,$A$9:$U$104,13)</f>
        <v xml:space="preserve">Заволжского управления ООО «Газпром газнадзор» Серов А.В., Распоряжение № 182 от 25.04.2024г., </v>
      </c>
      <c r="N6" s="118" t="str">
        <f>VLOOKUP('Акты с 1.09.23'!M4,$A$9:$U$104,14)</f>
        <v>Серов А.В.</v>
      </c>
      <c r="O6" s="118" t="str">
        <f>VLOOKUP('Акты с 1.09.23'!M4,$A$9:$U$104,15)</f>
        <v>ИНС-№С78-227336, Приказ № ПЗ/298 от 05.04.2024 г.</v>
      </c>
      <c r="P6" s="118" t="str">
        <f>VLOOKUP('Акты с 1.09.23'!M4,$A$9:$U$104,16)</f>
        <v xml:space="preserve">Главный специалист Отдела организации и контроля строительно-монтажных работ Управления по реализации </v>
      </c>
      <c r="Q6" s="118" t="str">
        <f>VLOOKUP('Акты с 1.09.23'!M4,$A$9:$U$104,17)</f>
        <v xml:space="preserve">проектов авиационной инфраструктуры филиала ООО «Газпром инвест» «Газпром гражданское строительство» </v>
      </c>
      <c r="R6" s="118" t="str">
        <f>VLOOKUP('Акты с 1.09.23'!M4,$A$9:$U$104,18)</f>
        <v>Куликов Е.А., Приказ № 107-ГС от 30.08.2023 г.</v>
      </c>
      <c r="S6" s="116" t="str">
        <f>VLOOKUP('Акты с 1.09.23'!M4,$A$9:$U$104,19)</f>
        <v>Главный инженер ООО «АИР Магистраль» Ясинский В.И., Приказ № 29/05-ГСП от 29.05.2023 г.</v>
      </c>
      <c r="T6" s="118" t="str">
        <f>VLOOKUP('Акты с 1.09.23'!M4,$A$9:$U$104,20)</f>
        <v>Ясинский В.И.</v>
      </c>
      <c r="U6" s="118" t="str">
        <f>VLOOKUP('Акты с 1.09.23'!M4,$A$9:$U$104,21)</f>
        <v xml:space="preserve">Специалист авторского надзора  ООО«ПОДЗЕМПРОЕКТ»  Бондарев В.А., Приказ №2 от 09.01.2023 г.;  </v>
      </c>
      <c r="V6" s="119"/>
      <c r="W6" s="119"/>
      <c r="X6" s="186"/>
      <c r="Y6" s="119"/>
      <c r="AB6" s="184"/>
    </row>
    <row r="7" spans="1:30" s="120" customFormat="1" ht="118.8" x14ac:dyDescent="0.25">
      <c r="A7" s="120">
        <f>VLOOKUP('Акты до 1.09.23 НЕ ИСПОЛЬЗОВАТЬ'!M4,$A$9:$T$104,1)</f>
        <v>1</v>
      </c>
      <c r="B7" s="121" t="str">
        <f>VLOOKUP('Акты до 1.09.23 НЕ ИСПОЛЬЗОВАТЬ'!M4,$A$9:$U$104,2)</f>
        <v>АИР-М-1.2-61.17-АР-1</v>
      </c>
      <c r="C7" s="166">
        <f>VLOOKUP('Акты до 1.09.23 НЕ ИСПОЛЬЗОВАТЬ'!M4,$A$9:$U$104,3)</f>
        <v>45251</v>
      </c>
      <c r="D7" s="122" t="str">
        <f>VLOOKUP('Акты до 1.09.23 НЕ ИСПОЛЬЗОВАТЬ'!M4,$A$9:$U$104,4)</f>
        <v>Служебное здание АС. Монтаж ограждающих стеновых сэндвич-панелей в/о 1-10/А-В от отм. +0.300 до отм. +9.400</v>
      </c>
      <c r="E7" s="120" t="str">
        <f>VLOOKUP('Акты до 1.09.23 НЕ ИСПОЛЬЗОВАТЬ'!M4,$A$9:$U$104,5)</f>
        <v>Проект шифр ПП2020РД-1.2-61.17-АР «Служебное здание АС. Архитектурные решения», изм.3, л.17, 19, 20; Письмо от ООО "Газпром инвест" № 29/2/2-7882-ГС; Письмо от ООО "Трансстроймеханизация" № 23530-СЗЛ/23 ; Учетный лист ЖАН № 74; Письмо от ООО "Газпром инвест" № 29/2/1/06-2063-ГС; Письмо от ООО "Трансстроймеханизация" № 3809-СЗЛ/25 ; Учетный лист ЖАН № 6; ООО «Трансстроймеханизация» ГИП Кратирова Е.Л.</v>
      </c>
      <c r="F7" s="120" t="str">
        <f>VLOOKUP('Акты до 1.09.23 НЕ ИСПОЛЬЗОВАТЬ'!M4,$A$9:$U$104,6)</f>
        <v>Материалы согласно реестру к п.3 № АИР-М-1.2-61.17-АР-1 от 21.11.2023</v>
      </c>
      <c r="G7" s="231" t="str">
        <f>VLOOKUP('Акты до 1.09.23 НЕ ИСПОЛЬЗОВАТЬ'!M4,$A$9:$U$104,7)</f>
        <v>Исп. схема № 61.17-АР-СП1 от 21.11.2023  Вертикальность сэндвич-панелей в/о 1-10/А-В; Исп. схема № 61.17-АР-1 от 21.11.2023 Монтаж ограждающих стеновых сэндвич-панелей в/о 1-10/А-В от отм. +0.300 до отм. +9.400; АОРПИ: № АИР 1.2-61.17-АР/1 от 28.09.2023, № АИР 1.2-61.17-АР/2 от 28.09.2023, № АИР 1.2-61.17-АР/3 от 25.10.2023, № АИР 1.2-61.17-АР/32 от 30.10.2023.</v>
      </c>
      <c r="H7" s="123">
        <f>VLOOKUP('Акты до 1.09.23 НЕ ИСПОЛЬЗОВАТЬ'!M4,$A$9:$U$104,8)</f>
        <v>45245</v>
      </c>
      <c r="I7" s="123">
        <f>VLOOKUP('Акты до 1.09.23 НЕ ИСПОЛЬЗОВАТЬ'!M4,$A$9:$U$104,9)</f>
        <v>45251</v>
      </c>
      <c r="J7" s="122" t="str">
        <f>VLOOKUP('Акты до 1.09.23 НЕ ИСПОЛЬЗОВАТЬ'!M4,$A$9:$U$104,10)</f>
        <v xml:space="preserve">СП 48.13330.2019 "Организация строительства", СП 49.13330.2010 "Безопасность труда в строительстве. Общие требования", СП 70.13330.2012 "Несущие и ограждающие конструкции", проект шифр ПП2020РД-1.2-61.17-АР изм.3; </v>
      </c>
      <c r="K7" s="122" t="str">
        <f>VLOOKUP('Акты до 1.09.23 НЕ ИСПОЛЬЗОВАТЬ'!M4,$A$9:$U$104,11)</f>
        <v>заполнению минеральной ватой монтажных швов ограждающих стеновых сэндвич-панелей</v>
      </c>
      <c r="L7" s="122" t="str">
        <f>VLOOKUP('Акты до 1.09.23 НЕ ИСПОЛЬЗОВАТЬ'!M4,$A$9:$U$104,12)</f>
        <v>Исп. схема № 61.17-АР-СП1 от 21.11.2023  Вертикальность сэндвич-панелей в/о 1-10/А-В; Исп. схема № 61.17-АР-1 от 21.11.2023 Монтаж ограждающих стеновых сэндвич-панелей в/о 1-10/А-В от отм. +0.300 до отм. +9.400; АОРПИ: № АИР 1.2-61.17-АР/1 от 28.09.2023, № АИР 1.2-61.17-АР/2 от 28.09.2023, № АИР 1.2-61.17-АР/3 от 25.10.2023, № АИР 1.2-61.17-АР/32 от 30.10.2023.</v>
      </c>
      <c r="M7" s="122" t="str">
        <f>VLOOKUP('Акты до 1.09.23 НЕ ИСПОЛЬЗОВАТЬ'!M4,$A$9:$U$104,13)</f>
        <v xml:space="preserve">Заволжского управления ООО «Газпром газнадзор» Сураев С.П., Приказ № 576 от 27.09.2023г., </v>
      </c>
      <c r="N7" s="124" t="str">
        <f>VLOOKUP('Акты до 1.09.23 НЕ ИСПОЛЬЗОВАТЬ'!M4,$A$9:$U$104,14)</f>
        <v>Сураев С.П.</v>
      </c>
      <c r="O7" s="124" t="str">
        <f>VLOOKUP('Акты до 1.09.23 НЕ ИСПОЛЬЗОВАТЬ'!M4,$A$9:$U$104,15)</f>
        <v>ИНС-№С78-227336, Приказ № ПЗ/775 от 17.10.2023 г.</v>
      </c>
      <c r="P7" s="124" t="str">
        <f>VLOOKUP('Акты до 1.09.23 НЕ ИСПОЛЬЗОВАТЬ'!M4,$A$9:$U$104,16)</f>
        <v xml:space="preserve">Главный специалист Отдела организации и контроля строительно-монтажных работ Управления по реализации </v>
      </c>
      <c r="Q7" s="124" t="str">
        <f>VLOOKUP('Акты до 1.09.23 НЕ ИСПОЛЬЗОВАТЬ'!M4,$A$9:$U$104,17)</f>
        <v xml:space="preserve">проектов авиационной инфраструктуры филиала ООО «Газпром инвест» «Газпром гражданское строительство» </v>
      </c>
      <c r="R7" s="124" t="str">
        <f>VLOOKUP('Акты до 1.09.23 НЕ ИСПОЛЬЗОВАТЬ'!M4,$A$9:$U$104,18)</f>
        <v>Куликов Е.А., Приказ № 107-ГС от 30.08.2023 г.</v>
      </c>
      <c r="S7" s="122" t="str">
        <f>VLOOKUP('Акты до 1.09.23 НЕ ИСПОЛЬЗОВАТЬ'!M4,$A$9:$U$104,19)</f>
        <v>Главный инженер ООО «АИР Магистраль» Ясинский В.И., Приказ № 29/05-ГСП от 29.05.2023 г.</v>
      </c>
      <c r="T7" s="124" t="str">
        <f>VLOOKUP('Акты до 1.09.23 НЕ ИСПОЛЬЗОВАТЬ'!M4,$A$9:$U$104,20)</f>
        <v>Ясинский В.И.</v>
      </c>
      <c r="U7" s="124" t="str">
        <f>VLOOKUP('Акты до 1.09.23 НЕ ИСПОЛЬЗОВАТЬ'!M4,$A$9:$U$104,21)</f>
        <v xml:space="preserve">Специалист авторского надзора  ООО«ПОДЗЕМПРОЕКТ»  Бондарев В.А., Приказ №2 от 09.01.2023 г.;  </v>
      </c>
      <c r="V7" s="125"/>
      <c r="W7" s="125"/>
      <c r="X7" s="186"/>
      <c r="Y7" s="125"/>
      <c r="AB7" s="184"/>
    </row>
    <row r="8" spans="1:30" s="15" customFormat="1" ht="15.6" x14ac:dyDescent="0.25">
      <c r="A8" s="12"/>
      <c r="B8" s="13"/>
      <c r="C8" s="21"/>
      <c r="D8" s="14"/>
      <c r="E8" s="12"/>
      <c r="F8" s="12"/>
      <c r="G8" s="96"/>
      <c r="H8" s="19"/>
      <c r="I8" s="19"/>
      <c r="J8" s="14"/>
      <c r="K8" s="14"/>
      <c r="L8" s="96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87"/>
      <c r="Y8" s="1"/>
      <c r="AB8" s="184"/>
    </row>
    <row r="9" spans="1:30" ht="118.8" x14ac:dyDescent="0.25">
      <c r="A9" s="16">
        <v>1</v>
      </c>
      <c r="B9" s="18" t="s">
        <v>664</v>
      </c>
      <c r="C9" s="109">
        <f>I9</f>
        <v>45251</v>
      </c>
      <c r="D9" s="192" t="s">
        <v>826</v>
      </c>
      <c r="E9" s="113" t="s">
        <v>663</v>
      </c>
      <c r="F9" s="204" t="str">
        <f>CONCATENATE("Материалы согласно реестру к п.3 № ",реестр!B9," от ",TEXT(реестр!C9,"ДД.ММ.ГГГГ"))</f>
        <v>Материалы согласно реестру к п.3 № АИР-М-1.2-61.17-АР-1 от 21.11.2023</v>
      </c>
      <c r="G9" s="141" t="s">
        <v>836</v>
      </c>
      <c r="H9" s="182">
        <v>45245</v>
      </c>
      <c r="I9" s="182">
        <v>45251</v>
      </c>
      <c r="J9" s="113" t="s">
        <v>977</v>
      </c>
      <c r="K9" s="250" t="s">
        <v>209</v>
      </c>
      <c r="L9" s="97" t="str">
        <f>G9</f>
        <v>Исп. схема № 61.17-АР-СП1 от 21.11.2023  Вертикальность сэндвич-панелей в/о 1-10/А-В; Исп. схема № 61.17-АР-1 от 21.11.2023 Монтаж ограждающих стеновых сэндвич-панелей в/о 1-10/А-В от отм. +0.300 до отм. +9.400; АОРПИ: № АИР 1.2-61.17-АР/1 от 28.09.2023, № АИР 1.2-61.17-АР/2 от 28.09.2023, № АИР 1.2-61.17-АР/3 от 25.10.2023, № АИР 1.2-61.17-АР/32 от 30.10.2023.</v>
      </c>
      <c r="M9" s="112" t="s">
        <v>248</v>
      </c>
      <c r="N9" s="6" t="s">
        <v>249</v>
      </c>
      <c r="O9" s="25" t="s">
        <v>196</v>
      </c>
      <c r="P9" s="111" t="s">
        <v>197</v>
      </c>
      <c r="Q9" s="111" t="s">
        <v>198</v>
      </c>
      <c r="R9" s="111" t="s">
        <v>199</v>
      </c>
      <c r="S9" s="27" t="s">
        <v>172</v>
      </c>
      <c r="T9" s="24" t="s">
        <v>82</v>
      </c>
      <c r="U9" s="150" t="s">
        <v>89</v>
      </c>
      <c r="V9" s="16">
        <f t="shared" ref="V9:V42" si="0">IF(AND(C9&gt;=DATE(2023,1,9),C9&lt;=DATE(2024,5,31)),2,
IF(AND(C9&gt;=DATE(2024,6,1),C9&lt;=DATE(2024,12,30)),"25/2",0))</f>
        <v>2</v>
      </c>
      <c r="W9" s="16">
        <f>IF(AND(C9&gt;=DATE(2023,10,17),C9&lt;=DATE(2024,2,14)),775,
IF(AND(C9&gt;=DATE(2024,2,15),C9&lt;=DATE(2024,2,21)),125,
IF(AND(C9&gt;=DATE(2024,2,22),C9&lt;=DATE(2024,4,4)),127,
IF(AND(C9&gt;=DATE(2024,4,5),C9&lt;=DATE(2024,8,21)),298,IF(AND(C9&gt;=DATE(2024,8,22),C9&lt;=DATE(2024,12,30)),422,0)))))</f>
        <v>775</v>
      </c>
      <c r="Y9" s="172">
        <f>IF(AND(C9&gt;=DATE(2024,1,25),C9&lt;=DATE(2024,2,25)),798,
IF(AND(C9&gt;=DATE(2024,3,12),C9&lt;=DATE(2024,4,14)),68,
IF(AND(C9&gt;=DATE(2024,4,25),C9&lt;=DATE(2024,5,2)),108,
IF(AND(C9&gt;=DATE(2024,5,14),C9&lt;=DATE(2024,5,29)),108, IF(AND(C9&gt;=DATE(2024,6,25),C9&lt;=DATE(2024,8,4)),248, IF(AND(C9&gt;=DATE(2024,8,21),C9&lt;=DATE(2024,9,22)),357, IF(AND(C9&gt;=DATE(2024,10,18),C9&lt;=DATE(2024,11,12)),480,0)))))))</f>
        <v>0</v>
      </c>
      <c r="Z9" s="172">
        <f>IF(AND(C9&gt;=DATE(2023,11,24),C9&lt;=DATE(2023,12,21)),631,
IF(AND(C9&gt;=DATE(2024,1,10),C9&lt;=DATE(2024,2,15)),798,
IF(AND(C9&gt;=DATE(2024,2,29),C9&lt;=DATE(2024,4,11)),27,
IF(AND(C9&gt;=DATE(2024,5,7),C9&lt;=DATE(2024,6,13)),182,IF(AND(C9&gt;=DATE(2024,7,11),C9&lt;=DATE(2024,8,21)),290,IF(AND(C9&gt;=DATE(2024,9,6),C9&lt;=DATE(2024,10,16)),419,0))))))</f>
        <v>0</v>
      </c>
      <c r="AA9" s="16">
        <f>IF(AND(C9&gt;=DATE(2023,10,10),C9&lt;=DATE(2023,11,21)),576,
IF(AND(C9&gt;=DATE(2023,12,6),C9&lt;=DATE(2023,12,25)),709,
IF(AND(C9&gt;=DATE(2024,1,4),C9&lt;=DATE(2024,1,25)),798,
IF(AND(C9&gt;=DATE(2024,2,8),C9&lt;=DATE(2024,3,12)),27, IF(AND(C9&gt;=DATE(2024,4,2),C9&lt;=DATE(2024,5,7)),108, IF(AND(C9&gt;=DATE(2024,6,5),C9&lt;=DATE(2024,7,17)),248,  IF(AND(C9&gt;=DATE(2024,7,31),C9&lt;=DATE(2024,9,1)),290, IF(AND(C9&gt;=DATE(2024,10,8),C9&lt;=DATE(2024,11,1)),480,0))))))))</f>
        <v>576</v>
      </c>
      <c r="AC9" s="171">
        <f>C9</f>
        <v>45251</v>
      </c>
      <c r="AD9" s="171"/>
    </row>
    <row r="10" spans="1:30" ht="105.6" x14ac:dyDescent="0.25">
      <c r="A10" s="16">
        <v>2</v>
      </c>
      <c r="B10" s="18" t="s">
        <v>665</v>
      </c>
      <c r="C10" s="109">
        <f t="shared" ref="C10:C42" si="1">I10</f>
        <v>45251</v>
      </c>
      <c r="D10" s="192" t="s">
        <v>825</v>
      </c>
      <c r="E10" s="113" t="s">
        <v>737</v>
      </c>
      <c r="F10" s="196" t="s">
        <v>194</v>
      </c>
      <c r="G10" s="110" t="s">
        <v>837</v>
      </c>
      <c r="H10" s="153">
        <v>45245</v>
      </c>
      <c r="I10" s="153">
        <v>45251</v>
      </c>
      <c r="J10" s="151" t="s">
        <v>978</v>
      </c>
      <c r="K10" s="250" t="s">
        <v>210</v>
      </c>
      <c r="L10" s="97" t="str">
        <f t="shared" ref="L10:L42" si="2">G10</f>
        <v>Исп.схема № 61.17-АР-2 от 21.11.2024 Заполнение минеральной ватой монтажных швов ограждающих стеновых сэндвич-панелей в/о 1-10/А-В от отм. +0.300 до отм. +9.400; АОРПИ № АИР 1.2-61.17-АР/32 от 30.10.2023.</v>
      </c>
      <c r="M10" s="112" t="s">
        <v>248</v>
      </c>
      <c r="N10" s="6" t="s">
        <v>249</v>
      </c>
      <c r="O10" s="25" t="s">
        <v>196</v>
      </c>
      <c r="P10" s="111" t="s">
        <v>197</v>
      </c>
      <c r="Q10" s="111" t="s">
        <v>198</v>
      </c>
      <c r="R10" s="111" t="s">
        <v>199</v>
      </c>
      <c r="S10" s="27" t="s">
        <v>172</v>
      </c>
      <c r="T10" s="24" t="s">
        <v>82</v>
      </c>
      <c r="U10" s="150" t="s">
        <v>89</v>
      </c>
      <c r="V10" s="16">
        <f t="shared" si="0"/>
        <v>2</v>
      </c>
      <c r="W10" s="16">
        <f t="shared" ref="W10:W42" si="3">IF(AND(C10&gt;=DATE(2023,10,17),C10&lt;=DATE(2024,2,14)),775,
IF(AND(C10&gt;=DATE(2024,2,15),C10&lt;=DATE(2024,2,21)),125,
IF(AND(C10&gt;=DATE(2024,2,22),C10&lt;=DATE(2024,4,4)),127,
IF(AND(C10&gt;=DATE(2024,4,5),C10&lt;=DATE(2024,8,21)),298,IF(AND(C10&gt;=DATE(2024,8,22),C10&lt;=DATE(2024,12,30)),422,0)))))</f>
        <v>775</v>
      </c>
      <c r="Y10" s="172">
        <f t="shared" ref="Y10:Y42" si="4">IF(AND(C10&gt;=DATE(2024,1,25),C10&lt;=DATE(2024,2,25)),798,
IF(AND(C10&gt;=DATE(2024,3,12),C10&lt;=DATE(2024,4,14)),68,
IF(AND(C10&gt;=DATE(2024,4,25),C10&lt;=DATE(2024,5,2)),108,
IF(AND(C10&gt;=DATE(2024,5,14),C10&lt;=DATE(2024,5,29)),108, IF(AND(C10&gt;=DATE(2024,6,25),C10&lt;=DATE(2024,8,4)),248, IF(AND(C10&gt;=DATE(2024,8,21),C10&lt;=DATE(2024,9,22)),357, IF(AND(C10&gt;=DATE(2024,10,18),C10&lt;=DATE(2024,11,12)),480,0)))))))</f>
        <v>0</v>
      </c>
      <c r="Z10" s="172">
        <f t="shared" ref="Z10:Z42" si="5">IF(AND(C10&gt;=DATE(2023,11,24),C10&lt;=DATE(2023,12,21)),631,
IF(AND(C10&gt;=DATE(2024,1,10),C10&lt;=DATE(2024,2,15)),798,
IF(AND(C10&gt;=DATE(2024,2,29),C10&lt;=DATE(2024,4,11)),27,
IF(AND(C10&gt;=DATE(2024,5,7),C10&lt;=DATE(2024,6,13)),182,IF(AND(C10&gt;=DATE(2024,7,11),C10&lt;=DATE(2024,8,21)),290,IF(AND(C10&gt;=DATE(2024,9,6),C10&lt;=DATE(2024,10,16)),419,0))))))</f>
        <v>0</v>
      </c>
      <c r="AA10" s="16">
        <f t="shared" ref="AA10:AA42" si="6">IF(AND(C10&gt;=DATE(2023,10,10),C10&lt;=DATE(2023,11,21)),576,
IF(AND(C10&gt;=DATE(2023,12,6),C10&lt;=DATE(2023,12,25)),709,
IF(AND(C10&gt;=DATE(2024,1,4),C10&lt;=DATE(2024,1,25)),798,
IF(AND(C10&gt;=DATE(2024,2,8),C10&lt;=DATE(2024,3,12)),27, IF(AND(C10&gt;=DATE(2024,4,2),C10&lt;=DATE(2024,5,7)),108, IF(AND(C10&gt;=DATE(2024,6,5),C10&lt;=DATE(2024,7,17)),248,  IF(AND(C10&gt;=DATE(2024,7,31),C10&lt;=DATE(2024,9,1)),290, IF(AND(C10&gt;=DATE(2024,10,8),C10&lt;=DATE(2024,11,1)),480,0))))))))</f>
        <v>576</v>
      </c>
      <c r="AC10" s="171">
        <f t="shared" ref="AC10:AC23" si="7">C10</f>
        <v>45251</v>
      </c>
      <c r="AD10" s="171"/>
    </row>
    <row r="11" spans="1:30" s="25" customFormat="1" ht="132" x14ac:dyDescent="0.25">
      <c r="A11" s="16">
        <v>3</v>
      </c>
      <c r="B11" s="18" t="s">
        <v>666</v>
      </c>
      <c r="C11" s="264">
        <f t="shared" si="1"/>
        <v>45255</v>
      </c>
      <c r="D11" s="265" t="s">
        <v>824</v>
      </c>
      <c r="E11" s="266" t="s">
        <v>738</v>
      </c>
      <c r="F11" s="267" t="s">
        <v>329</v>
      </c>
      <c r="G11" s="268" t="s">
        <v>838</v>
      </c>
      <c r="H11" s="246">
        <v>45252</v>
      </c>
      <c r="I11" s="246">
        <v>45255</v>
      </c>
      <c r="J11" s="151" t="s">
        <v>978</v>
      </c>
      <c r="K11" s="265" t="s">
        <v>205</v>
      </c>
      <c r="L11" s="270" t="str">
        <f t="shared" si="2"/>
        <v>Исп. схема № 61.17-АР-3 от 25.11.2023. Монтаж фасонных элементов стеновых сэндвич-панелей и фасада в/о А-М/1-16 от отм. +0.300 до отм. +9.400; АОРПИ № АИР 1.2-61.17-АР/221 от 02.11.2023г., № АИР 1.2-61.17-АР/32 от 30.10.2023г.</v>
      </c>
      <c r="M11" s="271" t="s">
        <v>206</v>
      </c>
      <c r="N11" s="25" t="s">
        <v>177</v>
      </c>
      <c r="O11" s="25" t="s">
        <v>196</v>
      </c>
      <c r="P11" s="25" t="s">
        <v>197</v>
      </c>
      <c r="Q11" s="25" t="s">
        <v>198</v>
      </c>
      <c r="R11" s="25" t="s">
        <v>199</v>
      </c>
      <c r="S11" s="271" t="s">
        <v>172</v>
      </c>
      <c r="T11" s="25" t="s">
        <v>82</v>
      </c>
      <c r="U11" s="25" t="s">
        <v>89</v>
      </c>
      <c r="V11" s="25">
        <f t="shared" si="0"/>
        <v>2</v>
      </c>
      <c r="W11" s="25">
        <f t="shared" si="3"/>
        <v>775</v>
      </c>
      <c r="Y11" s="25">
        <f t="shared" si="4"/>
        <v>0</v>
      </c>
      <c r="Z11" s="25">
        <f t="shared" si="5"/>
        <v>631</v>
      </c>
      <c r="AA11" s="25">
        <f t="shared" si="6"/>
        <v>0</v>
      </c>
      <c r="AC11" s="272">
        <f t="shared" si="7"/>
        <v>45255</v>
      </c>
      <c r="AD11" s="272"/>
    </row>
    <row r="12" spans="1:30" s="25" customFormat="1" ht="132" x14ac:dyDescent="0.25">
      <c r="A12" s="16">
        <v>4</v>
      </c>
      <c r="B12" s="18" t="s">
        <v>667</v>
      </c>
      <c r="C12" s="264">
        <f t="shared" si="1"/>
        <v>45260</v>
      </c>
      <c r="D12" s="265" t="s">
        <v>823</v>
      </c>
      <c r="E12" s="266" t="s">
        <v>739</v>
      </c>
      <c r="F12" s="267" t="s">
        <v>335</v>
      </c>
      <c r="G12" s="268" t="s">
        <v>839</v>
      </c>
      <c r="H12" s="246">
        <v>45256</v>
      </c>
      <c r="I12" s="246">
        <v>45260</v>
      </c>
      <c r="J12" s="151" t="s">
        <v>978</v>
      </c>
      <c r="K12" s="265" t="s">
        <v>205</v>
      </c>
      <c r="L12" s="270" t="str">
        <f t="shared" si="2"/>
        <v>Исп. схема № 61.17-АР-4 от 30.11.2023. Монтаж внутренних фасонных элементов стеновых сэндвич-панелей в/о А-В/1-10; АОРПИ № АИР 1.2-61.17-АР/221 от 02.11.2023г., № АИР 1.2-61.17-АР/32 от 30.10.2023г.</v>
      </c>
      <c r="M12" s="271" t="s">
        <v>206</v>
      </c>
      <c r="N12" s="25" t="s">
        <v>177</v>
      </c>
      <c r="O12" s="25" t="s">
        <v>196</v>
      </c>
      <c r="P12" s="25" t="s">
        <v>197</v>
      </c>
      <c r="Q12" s="25" t="s">
        <v>198</v>
      </c>
      <c r="R12" s="25" t="s">
        <v>199</v>
      </c>
      <c r="S12" s="271" t="s">
        <v>172</v>
      </c>
      <c r="T12" s="25" t="s">
        <v>82</v>
      </c>
      <c r="U12" s="25" t="s">
        <v>89</v>
      </c>
      <c r="V12" s="25">
        <f t="shared" si="0"/>
        <v>2</v>
      </c>
      <c r="W12" s="25">
        <f t="shared" si="3"/>
        <v>775</v>
      </c>
      <c r="Y12" s="25">
        <f t="shared" si="4"/>
        <v>0</v>
      </c>
      <c r="Z12" s="25">
        <f t="shared" si="5"/>
        <v>631</v>
      </c>
      <c r="AA12" s="25">
        <f t="shared" si="6"/>
        <v>0</v>
      </c>
      <c r="AC12" s="272">
        <f t="shared" si="7"/>
        <v>45260</v>
      </c>
      <c r="AD12" s="272"/>
    </row>
    <row r="13" spans="1:30" ht="66" x14ac:dyDescent="0.25">
      <c r="A13" s="16">
        <v>5</v>
      </c>
      <c r="B13" s="18" t="s">
        <v>668</v>
      </c>
      <c r="C13" s="109">
        <f t="shared" si="1"/>
        <v>45258</v>
      </c>
      <c r="D13" s="193" t="s">
        <v>822</v>
      </c>
      <c r="E13" s="144" t="s">
        <v>740</v>
      </c>
      <c r="F13" s="197" t="s">
        <v>330</v>
      </c>
      <c r="G13" s="194" t="s">
        <v>840</v>
      </c>
      <c r="H13" s="153">
        <v>45256</v>
      </c>
      <c r="I13" s="153">
        <v>45258</v>
      </c>
      <c r="J13" s="151" t="s">
        <v>978</v>
      </c>
      <c r="K13" s="250" t="s">
        <v>211</v>
      </c>
      <c r="L13" s="97" t="str">
        <f t="shared" si="2"/>
        <v>Исп. схема № 61.17-АР-5 от 28.11.2023. Укладка рулонной битумной пароизоляции кровли в/о А-В/1-10; АОРПИ № АИР 1.2-61.17-АР/К2 от 10.11.2023г.</v>
      </c>
      <c r="M13" s="145" t="s">
        <v>206</v>
      </c>
      <c r="N13" s="146" t="s">
        <v>177</v>
      </c>
      <c r="O13" s="25" t="s">
        <v>196</v>
      </c>
      <c r="P13" s="111" t="s">
        <v>197</v>
      </c>
      <c r="Q13" s="111" t="s">
        <v>198</v>
      </c>
      <c r="R13" s="111" t="s">
        <v>199</v>
      </c>
      <c r="S13" s="27" t="s">
        <v>172</v>
      </c>
      <c r="T13" s="24" t="s">
        <v>82</v>
      </c>
      <c r="U13" s="150" t="s">
        <v>89</v>
      </c>
      <c r="V13" s="16">
        <f t="shared" si="0"/>
        <v>2</v>
      </c>
      <c r="W13" s="16">
        <f t="shared" si="3"/>
        <v>775</v>
      </c>
      <c r="Y13" s="172">
        <f t="shared" si="4"/>
        <v>0</v>
      </c>
      <c r="Z13" s="16">
        <f t="shared" si="5"/>
        <v>631</v>
      </c>
      <c r="AA13" s="172">
        <f t="shared" si="6"/>
        <v>0</v>
      </c>
      <c r="AC13" s="171">
        <f t="shared" si="7"/>
        <v>45258</v>
      </c>
      <c r="AD13" s="171"/>
    </row>
    <row r="14" spans="1:30" ht="66" x14ac:dyDescent="0.25">
      <c r="A14" s="16">
        <v>6</v>
      </c>
      <c r="B14" s="18" t="s">
        <v>669</v>
      </c>
      <c r="C14" s="109">
        <f t="shared" si="1"/>
        <v>45260</v>
      </c>
      <c r="D14" s="193" t="s">
        <v>821</v>
      </c>
      <c r="E14" s="144" t="s">
        <v>740</v>
      </c>
      <c r="F14" s="197" t="s">
        <v>328</v>
      </c>
      <c r="G14" s="194" t="s">
        <v>841</v>
      </c>
      <c r="H14" s="153">
        <v>45259</v>
      </c>
      <c r="I14" s="153">
        <v>45260</v>
      </c>
      <c r="J14" s="151" t="s">
        <v>978</v>
      </c>
      <c r="K14" s="250" t="s">
        <v>212</v>
      </c>
      <c r="L14" s="97" t="str">
        <f t="shared" si="2"/>
        <v>Исп. схема № 61.17-АР-6 от 30.11.2023. Укладка минераловатных плит кровли толщ. 100 мм в/о А-В/1-10; АОРПИ № АИР 1.2-61.17-АР/347 от 11.11.2023г.</v>
      </c>
      <c r="M14" s="145" t="s">
        <v>206</v>
      </c>
      <c r="N14" s="146" t="s">
        <v>177</v>
      </c>
      <c r="O14" s="25" t="s">
        <v>196</v>
      </c>
      <c r="P14" s="111" t="s">
        <v>197</v>
      </c>
      <c r="Q14" s="111" t="s">
        <v>198</v>
      </c>
      <c r="R14" s="111" t="s">
        <v>199</v>
      </c>
      <c r="S14" s="27" t="s">
        <v>172</v>
      </c>
      <c r="T14" s="24" t="s">
        <v>82</v>
      </c>
      <c r="U14" s="150" t="s">
        <v>89</v>
      </c>
      <c r="V14" s="16">
        <f t="shared" si="0"/>
        <v>2</v>
      </c>
      <c r="W14" s="16">
        <f t="shared" si="3"/>
        <v>775</v>
      </c>
      <c r="Y14" s="172">
        <f t="shared" si="4"/>
        <v>0</v>
      </c>
      <c r="Z14" s="16">
        <f t="shared" si="5"/>
        <v>631</v>
      </c>
      <c r="AA14" s="172">
        <f t="shared" si="6"/>
        <v>0</v>
      </c>
      <c r="AC14" s="171">
        <f t="shared" si="7"/>
        <v>45260</v>
      </c>
      <c r="AD14" s="171"/>
    </row>
    <row r="15" spans="1:30" ht="79.2" x14ac:dyDescent="0.25">
      <c r="A15" s="16">
        <v>7</v>
      </c>
      <c r="B15" s="18" t="s">
        <v>670</v>
      </c>
      <c r="C15" s="109">
        <f t="shared" si="1"/>
        <v>45267</v>
      </c>
      <c r="D15" s="193" t="s">
        <v>827</v>
      </c>
      <c r="E15" s="144" t="s">
        <v>740</v>
      </c>
      <c r="F15" s="204" t="str">
        <f>CONCATENATE("Материалы согласно реестру к п.3 № ",реестр!B15," от ",TEXT(реестр!C15,"ДД.ММ.ГГГГ"))</f>
        <v>Материалы согласно реестру к п.3 № АИР-М-1.2-61.17-АР-7 от 07.12.2023</v>
      </c>
      <c r="G15" s="194" t="s">
        <v>842</v>
      </c>
      <c r="H15" s="153">
        <v>45261</v>
      </c>
      <c r="I15" s="153">
        <v>45267</v>
      </c>
      <c r="J15" s="151" t="s">
        <v>978</v>
      </c>
      <c r="K15" s="250" t="s">
        <v>213</v>
      </c>
      <c r="L15" s="97" t="str">
        <f t="shared" si="2"/>
        <v>Исп. схема № 61.17-АР-7 от 07.12.2023. Устройство уклонообразующего слоя кровли в/о А-В/1-10; АОРПИ: № АИР 1.2-61.17-АР/321 от 11.10.2023г., № АИР 1.2-61.17-АР/346 от 10.10.2023г., АИР 1.2-61.17-АР/К5 от 10.11.2023г.</v>
      </c>
      <c r="M15" s="145" t="s">
        <v>206</v>
      </c>
      <c r="N15" s="146" t="s">
        <v>177</v>
      </c>
      <c r="O15" s="25" t="s">
        <v>196</v>
      </c>
      <c r="P15" s="111" t="s">
        <v>197</v>
      </c>
      <c r="Q15" s="111" t="s">
        <v>198</v>
      </c>
      <c r="R15" s="111" t="s">
        <v>199</v>
      </c>
      <c r="S15" s="27" t="s">
        <v>172</v>
      </c>
      <c r="T15" s="24" t="s">
        <v>82</v>
      </c>
      <c r="U15" s="150" t="s">
        <v>89</v>
      </c>
      <c r="V15" s="16">
        <f t="shared" si="0"/>
        <v>2</v>
      </c>
      <c r="W15" s="16">
        <f t="shared" si="3"/>
        <v>775</v>
      </c>
      <c r="Y15" s="172">
        <f t="shared" si="4"/>
        <v>0</v>
      </c>
      <c r="Z15" s="16">
        <f t="shared" si="5"/>
        <v>631</v>
      </c>
      <c r="AA15" s="16">
        <f t="shared" si="6"/>
        <v>709</v>
      </c>
      <c r="AC15" s="171">
        <f t="shared" si="7"/>
        <v>45267</v>
      </c>
      <c r="AD15" s="171"/>
    </row>
    <row r="16" spans="1:30" ht="66" x14ac:dyDescent="0.25">
      <c r="A16" s="16">
        <v>8</v>
      </c>
      <c r="B16" s="18" t="s">
        <v>671</v>
      </c>
      <c r="C16" s="109">
        <f t="shared" si="1"/>
        <v>45271</v>
      </c>
      <c r="D16" s="193" t="s">
        <v>828</v>
      </c>
      <c r="E16" s="144" t="s">
        <v>740</v>
      </c>
      <c r="F16" s="197" t="s">
        <v>325</v>
      </c>
      <c r="G16" s="194" t="s">
        <v>843</v>
      </c>
      <c r="H16" s="153">
        <v>45268</v>
      </c>
      <c r="I16" s="153">
        <v>45271</v>
      </c>
      <c r="J16" s="151" t="s">
        <v>978</v>
      </c>
      <c r="K16" s="250" t="s">
        <v>214</v>
      </c>
      <c r="L16" s="97" t="str">
        <f t="shared" si="2"/>
        <v>Исп. схема № 61.17-АР-8 от 11.12.2023. Укладка теплоизоляционных плит толщ. 50 мм в/о А-В/1-10; АОРПИ № АИР 1.2-61.17-АР/320 от 11.10.2023г.</v>
      </c>
      <c r="M16" s="145" t="s">
        <v>206</v>
      </c>
      <c r="N16" s="146" t="s">
        <v>177</v>
      </c>
      <c r="O16" s="25" t="s">
        <v>196</v>
      </c>
      <c r="P16" s="111" t="s">
        <v>197</v>
      </c>
      <c r="Q16" s="111" t="s">
        <v>198</v>
      </c>
      <c r="R16" s="111" t="s">
        <v>199</v>
      </c>
      <c r="S16" s="27" t="s">
        <v>172</v>
      </c>
      <c r="T16" s="24" t="s">
        <v>82</v>
      </c>
      <c r="U16" s="150" t="s">
        <v>89</v>
      </c>
      <c r="V16" s="16">
        <f t="shared" si="0"/>
        <v>2</v>
      </c>
      <c r="W16" s="16">
        <f t="shared" si="3"/>
        <v>775</v>
      </c>
      <c r="Y16" s="172">
        <f t="shared" si="4"/>
        <v>0</v>
      </c>
      <c r="Z16" s="16">
        <f t="shared" si="5"/>
        <v>631</v>
      </c>
      <c r="AA16" s="16">
        <f t="shared" si="6"/>
        <v>709</v>
      </c>
      <c r="AC16" s="171">
        <f t="shared" si="7"/>
        <v>45271</v>
      </c>
      <c r="AD16" s="171"/>
    </row>
    <row r="17" spans="1:30" ht="66" x14ac:dyDescent="0.25">
      <c r="A17" s="16">
        <v>9</v>
      </c>
      <c r="B17" s="18" t="s">
        <v>672</v>
      </c>
      <c r="C17" s="109">
        <f t="shared" si="1"/>
        <v>45276</v>
      </c>
      <c r="D17" s="193" t="s">
        <v>829</v>
      </c>
      <c r="E17" s="144" t="s">
        <v>740</v>
      </c>
      <c r="F17" s="197" t="s">
        <v>326</v>
      </c>
      <c r="G17" s="194" t="s">
        <v>844</v>
      </c>
      <c r="H17" s="153">
        <v>45272</v>
      </c>
      <c r="I17" s="153">
        <v>45276</v>
      </c>
      <c r="J17" s="151" t="s">
        <v>978</v>
      </c>
      <c r="K17" s="250" t="s">
        <v>215</v>
      </c>
      <c r="L17" s="97" t="str">
        <f t="shared" si="2"/>
        <v>Исп. схема № 61.17-АР-9 от 16.12.2023. Укладка кровельной ПВХ мембраны в/о А-В/1-10; АОРПИ № АИР 1.2-61.17-АР/319 от 11.10.2023г.</v>
      </c>
      <c r="M17" s="145" t="s">
        <v>206</v>
      </c>
      <c r="N17" s="146" t="s">
        <v>177</v>
      </c>
      <c r="O17" s="25" t="s">
        <v>196</v>
      </c>
      <c r="P17" s="111" t="s">
        <v>197</v>
      </c>
      <c r="Q17" s="111" t="s">
        <v>198</v>
      </c>
      <c r="R17" s="111" t="s">
        <v>199</v>
      </c>
      <c r="S17" s="27" t="s">
        <v>172</v>
      </c>
      <c r="T17" s="24" t="s">
        <v>82</v>
      </c>
      <c r="U17" s="150" t="s">
        <v>89</v>
      </c>
      <c r="V17" s="16">
        <f t="shared" si="0"/>
        <v>2</v>
      </c>
      <c r="W17" s="16">
        <f t="shared" si="3"/>
        <v>775</v>
      </c>
      <c r="Y17" s="172">
        <f t="shared" si="4"/>
        <v>0</v>
      </c>
      <c r="Z17" s="16">
        <f t="shared" si="5"/>
        <v>631</v>
      </c>
      <c r="AA17" s="16">
        <f t="shared" si="6"/>
        <v>709</v>
      </c>
      <c r="AC17" s="171">
        <f t="shared" si="7"/>
        <v>45276</v>
      </c>
      <c r="AD17" s="171"/>
    </row>
    <row r="18" spans="1:30" ht="132" x14ac:dyDescent="0.25">
      <c r="A18" s="16">
        <v>10</v>
      </c>
      <c r="B18" s="18" t="s">
        <v>673</v>
      </c>
      <c r="C18" s="109">
        <f t="shared" si="1"/>
        <v>45280</v>
      </c>
      <c r="D18" s="162" t="s">
        <v>830</v>
      </c>
      <c r="E18" s="180" t="s">
        <v>818</v>
      </c>
      <c r="F18" s="195" t="s">
        <v>329</v>
      </c>
      <c r="G18" s="230" t="s">
        <v>845</v>
      </c>
      <c r="H18" s="153">
        <v>45280</v>
      </c>
      <c r="I18" s="153">
        <v>45280</v>
      </c>
      <c r="J18" s="151" t="s">
        <v>978</v>
      </c>
      <c r="K18" s="250" t="s">
        <v>205</v>
      </c>
      <c r="L18" s="97" t="str">
        <f t="shared" si="2"/>
        <v>Исп. схема № 61.17-АР-10 от 20.12.2023. Монтаж фасонных элементов парапетов кровли в/о А-В/1-10; АОРПИ № АИР 1.2-61.17-АР/221 от 02.11.2023г., № АИР 1.2-61.17-АР/32 от 30.10.2023г.</v>
      </c>
      <c r="M18" s="145" t="s">
        <v>206</v>
      </c>
      <c r="N18" s="146" t="s">
        <v>177</v>
      </c>
      <c r="O18" s="25" t="s">
        <v>196</v>
      </c>
      <c r="P18" s="111" t="s">
        <v>197</v>
      </c>
      <c r="Q18" s="111" t="s">
        <v>198</v>
      </c>
      <c r="R18" s="111" t="s">
        <v>199</v>
      </c>
      <c r="S18" s="27" t="s">
        <v>172</v>
      </c>
      <c r="T18" s="24" t="s">
        <v>82</v>
      </c>
      <c r="U18" s="150" t="s">
        <v>89</v>
      </c>
      <c r="V18" s="16">
        <f t="shared" si="0"/>
        <v>2</v>
      </c>
      <c r="W18" s="16">
        <f t="shared" si="3"/>
        <v>775</v>
      </c>
      <c r="Y18" s="172">
        <f t="shared" si="4"/>
        <v>0</v>
      </c>
      <c r="Z18" s="16">
        <f t="shared" si="5"/>
        <v>631</v>
      </c>
      <c r="AA18" s="16">
        <f t="shared" si="6"/>
        <v>709</v>
      </c>
      <c r="AC18" s="171">
        <f t="shared" si="7"/>
        <v>45280</v>
      </c>
      <c r="AD18" s="171"/>
    </row>
    <row r="19" spans="1:30" ht="132" x14ac:dyDescent="0.25">
      <c r="A19" s="16">
        <v>11</v>
      </c>
      <c r="B19" s="18" t="s">
        <v>674</v>
      </c>
      <c r="C19" s="109">
        <f t="shared" ref="C19" si="8">I19</f>
        <v>45280</v>
      </c>
      <c r="D19" s="162" t="s">
        <v>816</v>
      </c>
      <c r="E19" s="180" t="s">
        <v>817</v>
      </c>
      <c r="F19" s="195" t="s">
        <v>329</v>
      </c>
      <c r="G19" s="230" t="s">
        <v>846</v>
      </c>
      <c r="H19" s="153">
        <v>45280</v>
      </c>
      <c r="I19" s="153">
        <v>45280</v>
      </c>
      <c r="J19" s="151" t="s">
        <v>978</v>
      </c>
      <c r="K19" s="250" t="s">
        <v>205</v>
      </c>
      <c r="L19" s="97" t="str">
        <f t="shared" ref="L19" si="9">G19</f>
        <v>Исп. схема № 61.17-АР-11 от 20.12.2023. Монтаж пешеходной дорожки в/о А-Б/1-10; АОРПИ № АИР 1.2-61.17-АР/221 от 02.11.2023г., № АИР 1.2-61.17-АР/32 от 30.10.2023г.</v>
      </c>
      <c r="M19" s="145" t="s">
        <v>206</v>
      </c>
      <c r="N19" s="146" t="s">
        <v>177</v>
      </c>
      <c r="O19" s="25" t="s">
        <v>196</v>
      </c>
      <c r="P19" s="111" t="s">
        <v>197</v>
      </c>
      <c r="Q19" s="111" t="s">
        <v>198</v>
      </c>
      <c r="R19" s="111" t="s">
        <v>199</v>
      </c>
      <c r="S19" s="27" t="s">
        <v>172</v>
      </c>
      <c r="T19" s="24" t="s">
        <v>82</v>
      </c>
      <c r="U19" s="150" t="s">
        <v>89</v>
      </c>
      <c r="V19" s="16">
        <f t="shared" ref="V19" si="10">IF(AND(C19&gt;=DATE(2023,1,9),C19&lt;=DATE(2024,5,31)),2,
IF(AND(C19&gt;=DATE(2024,6,1),C19&lt;=DATE(2024,12,30)),"25/2",0))</f>
        <v>2</v>
      </c>
      <c r="W19" s="16">
        <f t="shared" ref="W19" si="11">IF(AND(C19&gt;=DATE(2023,10,17),C19&lt;=DATE(2024,2,14)),775,
IF(AND(C19&gt;=DATE(2024,2,15),C19&lt;=DATE(2024,2,21)),125,
IF(AND(C19&gt;=DATE(2024,2,22),C19&lt;=DATE(2024,4,4)),127,
IF(AND(C19&gt;=DATE(2024,4,5),C19&lt;=DATE(2024,8,21)),298,IF(AND(C19&gt;=DATE(2024,8,22),C19&lt;=DATE(2024,12,30)),422,0)))))</f>
        <v>775</v>
      </c>
      <c r="Y19" s="172">
        <f t="shared" ref="Y19" si="12">IF(AND(C19&gt;=DATE(2024,1,25),C19&lt;=DATE(2024,2,25)),798,
IF(AND(C19&gt;=DATE(2024,3,12),C19&lt;=DATE(2024,4,14)),68,
IF(AND(C19&gt;=DATE(2024,4,25),C19&lt;=DATE(2024,5,2)),108,
IF(AND(C19&gt;=DATE(2024,5,14),C19&lt;=DATE(2024,5,29)),108, IF(AND(C19&gt;=DATE(2024,6,25),C19&lt;=DATE(2024,8,4)),248, IF(AND(C19&gt;=DATE(2024,8,21),C19&lt;=DATE(2024,9,22)),357, IF(AND(C19&gt;=DATE(2024,10,18),C19&lt;=DATE(2024,11,12)),480,0)))))))</f>
        <v>0</v>
      </c>
      <c r="Z19" s="16">
        <f t="shared" ref="Z19" si="13">IF(AND(C19&gt;=DATE(2023,11,24),C19&lt;=DATE(2023,12,21)),631,
IF(AND(C19&gt;=DATE(2024,1,10),C19&lt;=DATE(2024,2,15)),798,
IF(AND(C19&gt;=DATE(2024,2,29),C19&lt;=DATE(2024,4,11)),27,
IF(AND(C19&gt;=DATE(2024,5,7),C19&lt;=DATE(2024,6,13)),182,IF(AND(C19&gt;=DATE(2024,7,11),C19&lt;=DATE(2024,8,21)),290,IF(AND(C19&gt;=DATE(2024,9,6),C19&lt;=DATE(2024,10,16)),419,0))))))</f>
        <v>631</v>
      </c>
      <c r="AA19" s="16">
        <f t="shared" ref="AA19" si="14">IF(AND(C19&gt;=DATE(2023,10,10),C19&lt;=DATE(2023,11,21)),576,
IF(AND(C19&gt;=DATE(2023,12,6),C19&lt;=DATE(2023,12,25)),709,
IF(AND(C19&gt;=DATE(2024,1,4),C19&lt;=DATE(2024,1,25)),798,
IF(AND(C19&gt;=DATE(2024,2,8),C19&lt;=DATE(2024,3,12)),27, IF(AND(C19&gt;=DATE(2024,4,2),C19&lt;=DATE(2024,5,7)),108, IF(AND(C19&gt;=DATE(2024,6,5),C19&lt;=DATE(2024,7,17)),248,  IF(AND(C19&gt;=DATE(2024,7,31),C19&lt;=DATE(2024,9,1)),290, IF(AND(C19&gt;=DATE(2024,10,8),C19&lt;=DATE(2024,11,1)),480,0))))))))</f>
        <v>709</v>
      </c>
      <c r="AC19" s="171">
        <f t="shared" ref="AC19" si="15">C19</f>
        <v>45280</v>
      </c>
      <c r="AD19" s="171"/>
    </row>
    <row r="20" spans="1:30" ht="66" x14ac:dyDescent="0.25">
      <c r="A20" s="16">
        <v>12</v>
      </c>
      <c r="B20" s="18" t="s">
        <v>675</v>
      </c>
      <c r="C20" s="109">
        <f t="shared" si="1"/>
        <v>45272</v>
      </c>
      <c r="D20" s="193" t="s">
        <v>831</v>
      </c>
      <c r="E20" s="144" t="s">
        <v>741</v>
      </c>
      <c r="F20" s="203" t="s">
        <v>327</v>
      </c>
      <c r="G20" s="194" t="s">
        <v>847</v>
      </c>
      <c r="H20" s="153">
        <v>45268</v>
      </c>
      <c r="I20" s="153">
        <v>45272</v>
      </c>
      <c r="J20" s="202" t="s">
        <v>979</v>
      </c>
      <c r="K20" s="250" t="s">
        <v>216</v>
      </c>
      <c r="L20" s="97" t="str">
        <f t="shared" si="2"/>
        <v>Исп. схема № 61.17-АР-12 от 12.12.2023. Монтаж наружных оконных блоков в/о А-В/1-10; АОРПИ № АИР 1.2-61.17-АР/4 от 04.12.2023г.</v>
      </c>
      <c r="M20" s="145" t="s">
        <v>206</v>
      </c>
      <c r="N20" s="146" t="s">
        <v>177</v>
      </c>
      <c r="O20" s="25" t="s">
        <v>196</v>
      </c>
      <c r="P20" s="111" t="s">
        <v>197</v>
      </c>
      <c r="Q20" s="111" t="s">
        <v>198</v>
      </c>
      <c r="R20" s="111" t="s">
        <v>199</v>
      </c>
      <c r="S20" s="27" t="s">
        <v>172</v>
      </c>
      <c r="T20" s="24" t="s">
        <v>82</v>
      </c>
      <c r="U20" s="150" t="s">
        <v>89</v>
      </c>
      <c r="V20" s="16">
        <f t="shared" si="0"/>
        <v>2</v>
      </c>
      <c r="W20" s="16">
        <f t="shared" si="3"/>
        <v>775</v>
      </c>
      <c r="Y20" s="172">
        <f t="shared" si="4"/>
        <v>0</v>
      </c>
      <c r="Z20" s="16">
        <f t="shared" si="5"/>
        <v>631</v>
      </c>
      <c r="AA20" s="16">
        <f t="shared" si="6"/>
        <v>709</v>
      </c>
      <c r="AC20" s="171">
        <f t="shared" si="7"/>
        <v>45272</v>
      </c>
      <c r="AD20" s="171"/>
    </row>
    <row r="21" spans="1:30" ht="79.2" x14ac:dyDescent="0.25">
      <c r="A21" s="16">
        <v>13</v>
      </c>
      <c r="B21" s="18" t="s">
        <v>676</v>
      </c>
      <c r="C21" s="109">
        <f t="shared" si="1"/>
        <v>45273</v>
      </c>
      <c r="D21" s="193" t="s">
        <v>752</v>
      </c>
      <c r="E21" s="144" t="s">
        <v>741</v>
      </c>
      <c r="F21" s="200" t="s">
        <v>336</v>
      </c>
      <c r="G21" s="181" t="s">
        <v>832</v>
      </c>
      <c r="H21" s="155">
        <v>45273</v>
      </c>
      <c r="I21" s="155">
        <v>45273</v>
      </c>
      <c r="J21" s="152" t="s">
        <v>980</v>
      </c>
      <c r="K21" s="250" t="s">
        <v>217</v>
      </c>
      <c r="L21" s="97" t="str">
        <f t="shared" si="2"/>
        <v>Исп. схема № 61.17-АР-13 от 13.12.2023. Заполнение монтажных зазоров наружных оконных блоков в/о А-В/1-10</v>
      </c>
      <c r="M21" s="145" t="s">
        <v>206</v>
      </c>
      <c r="N21" s="146" t="s">
        <v>177</v>
      </c>
      <c r="O21" s="25" t="s">
        <v>196</v>
      </c>
      <c r="P21" s="111" t="s">
        <v>197</v>
      </c>
      <c r="Q21" s="111" t="s">
        <v>198</v>
      </c>
      <c r="R21" s="111" t="s">
        <v>199</v>
      </c>
      <c r="S21" s="27" t="s">
        <v>172</v>
      </c>
      <c r="T21" s="24" t="s">
        <v>82</v>
      </c>
      <c r="U21" s="150" t="s">
        <v>89</v>
      </c>
      <c r="V21" s="16">
        <f t="shared" si="0"/>
        <v>2</v>
      </c>
      <c r="W21" s="16">
        <f t="shared" si="3"/>
        <v>775</v>
      </c>
      <c r="Y21" s="172">
        <f t="shared" si="4"/>
        <v>0</v>
      </c>
      <c r="Z21" s="16">
        <f t="shared" si="5"/>
        <v>631</v>
      </c>
      <c r="AA21" s="16">
        <f t="shared" si="6"/>
        <v>709</v>
      </c>
      <c r="AC21" s="171">
        <f t="shared" si="7"/>
        <v>45273</v>
      </c>
      <c r="AD21" s="171"/>
    </row>
    <row r="22" spans="1:30" ht="132" x14ac:dyDescent="0.25">
      <c r="A22" s="16">
        <v>14</v>
      </c>
      <c r="B22" s="18" t="s">
        <v>677</v>
      </c>
      <c r="C22" s="109">
        <f t="shared" si="1"/>
        <v>45275</v>
      </c>
      <c r="D22" s="193" t="s">
        <v>751</v>
      </c>
      <c r="E22" s="144" t="s">
        <v>741</v>
      </c>
      <c r="F22" s="199" t="s">
        <v>331</v>
      </c>
      <c r="G22" s="181" t="s">
        <v>833</v>
      </c>
      <c r="H22" s="153">
        <v>45274</v>
      </c>
      <c r="I22" s="153">
        <v>45275</v>
      </c>
      <c r="J22" s="152" t="s">
        <v>980</v>
      </c>
      <c r="K22" s="250" t="s">
        <v>218</v>
      </c>
      <c r="L22" s="97" t="str">
        <f t="shared" si="2"/>
        <v>Исп. схема № 61.17-АР-14 от 15.12.2023. Герметизация и проклейка диффузионной лентой монтажного стыка оконных блоков в/о А-В/1-10</v>
      </c>
      <c r="M22" s="145" t="s">
        <v>206</v>
      </c>
      <c r="N22" s="146" t="s">
        <v>177</v>
      </c>
      <c r="O22" s="25" t="s">
        <v>196</v>
      </c>
      <c r="P22" s="111" t="s">
        <v>197</v>
      </c>
      <c r="Q22" s="111" t="s">
        <v>198</v>
      </c>
      <c r="R22" s="111" t="s">
        <v>199</v>
      </c>
      <c r="S22" s="27" t="s">
        <v>172</v>
      </c>
      <c r="T22" s="24" t="s">
        <v>82</v>
      </c>
      <c r="U22" s="150" t="s">
        <v>89</v>
      </c>
      <c r="V22" s="16">
        <f t="shared" si="0"/>
        <v>2</v>
      </c>
      <c r="W22" s="16">
        <f t="shared" si="3"/>
        <v>775</v>
      </c>
      <c r="Y22" s="172">
        <f t="shared" si="4"/>
        <v>0</v>
      </c>
      <c r="Z22" s="16">
        <f t="shared" si="5"/>
        <v>631</v>
      </c>
      <c r="AA22" s="16">
        <f t="shared" si="6"/>
        <v>709</v>
      </c>
      <c r="AC22" s="171">
        <f t="shared" si="7"/>
        <v>45275</v>
      </c>
      <c r="AD22" s="171"/>
    </row>
    <row r="23" spans="1:30" ht="66" x14ac:dyDescent="0.25">
      <c r="A23" s="16">
        <v>15</v>
      </c>
      <c r="B23" s="18" t="s">
        <v>678</v>
      </c>
      <c r="C23" s="109">
        <f t="shared" si="1"/>
        <v>45276</v>
      </c>
      <c r="D23" s="193" t="s">
        <v>750</v>
      </c>
      <c r="E23" s="213" t="s">
        <v>742</v>
      </c>
      <c r="F23" s="204" t="str">
        <f>CONCATENATE("Материалы согласно реестру к п.3 № ",реестр!B23," от ",TEXT(реестр!C23,"ДД.ММ.ГГГГ"))</f>
        <v>Материалы согласно реестру к п.3 № АИР-М-1.2-61.17-АР-15 от 16.12.2023</v>
      </c>
      <c r="G23" s="212" t="s">
        <v>848</v>
      </c>
      <c r="H23" s="153">
        <v>45272</v>
      </c>
      <c r="I23" s="153">
        <v>45276</v>
      </c>
      <c r="J23" s="202" t="s">
        <v>979</v>
      </c>
      <c r="K23" s="250" t="s">
        <v>219</v>
      </c>
      <c r="L23" s="97" t="str">
        <f t="shared" si="2"/>
        <v>Исп. схема № 61.17-АР-15 от 16.12.2023.  Монтаж ворот в/о А/1-4; АОРПИ № АИР 1.2-61.17-АР/6 от 10.12.2023г.</v>
      </c>
      <c r="M23" s="145" t="s">
        <v>206</v>
      </c>
      <c r="N23" s="146" t="s">
        <v>177</v>
      </c>
      <c r="O23" s="25" t="s">
        <v>196</v>
      </c>
      <c r="P23" s="111" t="s">
        <v>197</v>
      </c>
      <c r="Q23" s="111" t="s">
        <v>198</v>
      </c>
      <c r="R23" s="111" t="s">
        <v>199</v>
      </c>
      <c r="S23" s="27" t="s">
        <v>172</v>
      </c>
      <c r="T23" s="24" t="s">
        <v>82</v>
      </c>
      <c r="U23" s="150" t="s">
        <v>89</v>
      </c>
      <c r="V23" s="16">
        <f t="shared" si="0"/>
        <v>2</v>
      </c>
      <c r="W23" s="16">
        <f t="shared" si="3"/>
        <v>775</v>
      </c>
      <c r="Y23" s="172">
        <f t="shared" si="4"/>
        <v>0</v>
      </c>
      <c r="Z23" s="16">
        <f t="shared" si="5"/>
        <v>631</v>
      </c>
      <c r="AA23" s="16">
        <f t="shared" si="6"/>
        <v>709</v>
      </c>
      <c r="AC23" s="171">
        <f t="shared" si="7"/>
        <v>45276</v>
      </c>
      <c r="AD23" s="171"/>
    </row>
    <row r="24" spans="1:30" ht="66" x14ac:dyDescent="0.25">
      <c r="A24" s="16">
        <v>16</v>
      </c>
      <c r="B24" s="18" t="s">
        <v>679</v>
      </c>
      <c r="C24" s="109">
        <f t="shared" si="1"/>
        <v>45273</v>
      </c>
      <c r="D24" s="193" t="s">
        <v>749</v>
      </c>
      <c r="E24" s="235" t="s">
        <v>743</v>
      </c>
      <c r="F24" s="204" t="str">
        <f>CONCATENATE("Материалы согласно реестру к п.3 № ",реестр!B24," от ",TEXT(реестр!C24,"ДД.ММ.ГГГГ"))</f>
        <v>Материалы согласно реестру к п.3 № АИР-М-1.2-61.17-АР-16 от 13.12.2023</v>
      </c>
      <c r="G24" s="233" t="s">
        <v>849</v>
      </c>
      <c r="H24" s="157">
        <v>45272</v>
      </c>
      <c r="I24" s="157">
        <v>45273</v>
      </c>
      <c r="J24" s="202" t="s">
        <v>979</v>
      </c>
      <c r="K24" s="250" t="s">
        <v>220</v>
      </c>
      <c r="L24" s="97" t="str">
        <f t="shared" si="2"/>
        <v xml:space="preserve">Исп. схема № 61.17-АР-16 от 13.12.2023. Монтаж наружных дверных блоков в/о А-М/1-16; АОРПИ: № АИР 1.2-61.17-АР/59 от 23.11.2023г., АИР 1.2-61.17-АР/61 от 14.11.2023г. </v>
      </c>
      <c r="M24" s="145" t="s">
        <v>206</v>
      </c>
      <c r="N24" s="146" t="s">
        <v>177</v>
      </c>
      <c r="O24" s="25" t="s">
        <v>196</v>
      </c>
      <c r="P24" s="111" t="s">
        <v>197</v>
      </c>
      <c r="Q24" s="111" t="s">
        <v>198</v>
      </c>
      <c r="R24" s="111" t="s">
        <v>199</v>
      </c>
      <c r="S24" s="27" t="s">
        <v>172</v>
      </c>
      <c r="T24" s="24" t="s">
        <v>82</v>
      </c>
      <c r="U24" s="150" t="s">
        <v>89</v>
      </c>
      <c r="V24" s="16">
        <f t="shared" si="0"/>
        <v>2</v>
      </c>
      <c r="W24" s="16">
        <f t="shared" si="3"/>
        <v>775</v>
      </c>
      <c r="Y24" s="172">
        <f t="shared" si="4"/>
        <v>0</v>
      </c>
      <c r="Z24" s="16">
        <f t="shared" si="5"/>
        <v>631</v>
      </c>
      <c r="AA24" s="16">
        <f t="shared" si="6"/>
        <v>709</v>
      </c>
      <c r="AC24" s="171">
        <f t="shared" ref="AC24:AC42" si="16">C24</f>
        <v>45273</v>
      </c>
      <c r="AD24" s="171"/>
    </row>
    <row r="25" spans="1:30" ht="79.2" x14ac:dyDescent="0.25">
      <c r="A25" s="16">
        <v>17</v>
      </c>
      <c r="B25" s="18" t="s">
        <v>680</v>
      </c>
      <c r="C25" s="109">
        <f t="shared" si="1"/>
        <v>45274</v>
      </c>
      <c r="D25" s="193" t="s">
        <v>748</v>
      </c>
      <c r="E25" s="144" t="s">
        <v>743</v>
      </c>
      <c r="F25" s="204" t="str">
        <f>CONCATENATE("Материалы согласно реестру к п.3 № ",реестр!B25," от ",TEXT(реестр!C25,"ДД.ММ.ГГГГ"))</f>
        <v>Материалы согласно реестру к п.3 № АИР-М-1.2-61.17-АР-17 от 14.12.2023</v>
      </c>
      <c r="G25" s="181" t="s">
        <v>850</v>
      </c>
      <c r="H25" s="157">
        <v>45274</v>
      </c>
      <c r="I25" s="157">
        <v>45274</v>
      </c>
      <c r="J25" s="152" t="s">
        <v>980</v>
      </c>
      <c r="K25" s="250" t="s">
        <v>221</v>
      </c>
      <c r="L25" s="97" t="str">
        <f t="shared" si="2"/>
        <v>Исп. схема № 61.17-АР-17 от 14.12.2023. Заполнение монтажных зазоров наружных дверных блоков в/о А-В/1-10</v>
      </c>
      <c r="M25" s="145" t="s">
        <v>206</v>
      </c>
      <c r="N25" s="146" t="s">
        <v>177</v>
      </c>
      <c r="O25" s="25" t="s">
        <v>196</v>
      </c>
      <c r="P25" s="111" t="s">
        <v>197</v>
      </c>
      <c r="Q25" s="111" t="s">
        <v>198</v>
      </c>
      <c r="R25" s="111" t="s">
        <v>199</v>
      </c>
      <c r="S25" s="27" t="s">
        <v>172</v>
      </c>
      <c r="T25" s="24" t="s">
        <v>82</v>
      </c>
      <c r="U25" s="150" t="s">
        <v>89</v>
      </c>
      <c r="V25" s="16">
        <f t="shared" si="0"/>
        <v>2</v>
      </c>
      <c r="W25" s="16">
        <f t="shared" si="3"/>
        <v>775</v>
      </c>
      <c r="Y25" s="172">
        <f t="shared" si="4"/>
        <v>0</v>
      </c>
      <c r="Z25" s="16">
        <f t="shared" si="5"/>
        <v>631</v>
      </c>
      <c r="AA25" s="16">
        <f t="shared" si="6"/>
        <v>709</v>
      </c>
      <c r="AC25" s="171">
        <f t="shared" si="16"/>
        <v>45274</v>
      </c>
      <c r="AD25" s="171"/>
    </row>
    <row r="26" spans="1:30" ht="79.2" x14ac:dyDescent="0.25">
      <c r="A26" s="16">
        <v>18</v>
      </c>
      <c r="B26" s="18" t="s">
        <v>681</v>
      </c>
      <c r="C26" s="109">
        <f t="shared" si="1"/>
        <v>45275</v>
      </c>
      <c r="D26" s="193" t="s">
        <v>747</v>
      </c>
      <c r="E26" s="144" t="s">
        <v>743</v>
      </c>
      <c r="F26" s="204" t="str">
        <f>CONCATENATE("Материалы согласно реестру к п.3 № ",реестр!B26," от ",TEXT(реестр!C26,"ДД.ММ.ГГГГ"))</f>
        <v>Материалы согласно реестру к п.3 № АИР-М-1.2-61.17-АР-18 от 15.12.2023</v>
      </c>
      <c r="G26" s="181" t="s">
        <v>851</v>
      </c>
      <c r="H26" s="157">
        <v>45275</v>
      </c>
      <c r="I26" s="157">
        <v>45275</v>
      </c>
      <c r="J26" s="152" t="s">
        <v>980</v>
      </c>
      <c r="K26" s="250" t="s">
        <v>222</v>
      </c>
      <c r="L26" s="97" t="str">
        <f t="shared" si="2"/>
        <v>Исп. схема № 61.17-АР-18 от 15.12.2023. Герметизация монтажных зазоров наружных дверных блоков в/о А-В/1-10</v>
      </c>
      <c r="M26" s="145" t="s">
        <v>206</v>
      </c>
      <c r="N26" s="146" t="s">
        <v>177</v>
      </c>
      <c r="O26" s="25" t="s">
        <v>196</v>
      </c>
      <c r="P26" s="111" t="s">
        <v>197</v>
      </c>
      <c r="Q26" s="111" t="s">
        <v>198</v>
      </c>
      <c r="R26" s="111" t="s">
        <v>199</v>
      </c>
      <c r="S26" s="27" t="s">
        <v>172</v>
      </c>
      <c r="T26" s="24" t="s">
        <v>82</v>
      </c>
      <c r="U26" s="150" t="s">
        <v>89</v>
      </c>
      <c r="V26" s="16">
        <f t="shared" si="0"/>
        <v>2</v>
      </c>
      <c r="W26" s="16">
        <f t="shared" si="3"/>
        <v>775</v>
      </c>
      <c r="Y26" s="172">
        <f t="shared" si="4"/>
        <v>0</v>
      </c>
      <c r="Z26" s="16">
        <f t="shared" si="5"/>
        <v>631</v>
      </c>
      <c r="AA26" s="16">
        <f t="shared" si="6"/>
        <v>709</v>
      </c>
      <c r="AC26" s="171">
        <f t="shared" si="16"/>
        <v>45275</v>
      </c>
      <c r="AD26" s="171"/>
    </row>
    <row r="27" spans="1:30" ht="66" x14ac:dyDescent="0.25">
      <c r="A27" s="16">
        <v>19</v>
      </c>
      <c r="B27" s="18" t="s">
        <v>682</v>
      </c>
      <c r="C27" s="109">
        <f t="shared" si="1"/>
        <v>45279</v>
      </c>
      <c r="D27" s="193" t="s">
        <v>853</v>
      </c>
      <c r="E27" s="180" t="s">
        <v>744</v>
      </c>
      <c r="F27" s="204" t="str">
        <f>CONCATENATE("Материалы согласно реестру к п.3 № ",реестр!B27," от ",TEXT(реестр!C27,"ДД.ММ.ГГГГ"))</f>
        <v>Материалы согласно реестру к п.3 № АИР-М-1.2-61.17-АР-19 от 19.12.2023</v>
      </c>
      <c r="G27" s="229" t="s">
        <v>854</v>
      </c>
      <c r="H27" s="157">
        <v>45276</v>
      </c>
      <c r="I27" s="157">
        <v>45279</v>
      </c>
      <c r="J27" s="202" t="s">
        <v>979</v>
      </c>
      <c r="K27" s="162" t="s">
        <v>205</v>
      </c>
      <c r="L27" s="97" t="str">
        <f t="shared" si="2"/>
        <v>Исп. схема № 61.17-АР-19 от 19.12.2023. Монтаж фасонных элементов ворот, оконных и наружных дверных блоков 1 и 2 этажа в/о А-В/1-10; АОРПИ: № АИР 1.2-61.17-АР/10Н от 01.12.2023г.,  № АИР 1.2-61.17-АР/221 от 02.11.2023г.</v>
      </c>
      <c r="M27" s="145" t="s">
        <v>206</v>
      </c>
      <c r="N27" s="146" t="s">
        <v>177</v>
      </c>
      <c r="O27" s="25" t="s">
        <v>196</v>
      </c>
      <c r="P27" s="111" t="s">
        <v>197</v>
      </c>
      <c r="Q27" s="111" t="s">
        <v>198</v>
      </c>
      <c r="R27" s="111" t="s">
        <v>199</v>
      </c>
      <c r="S27" s="27" t="s">
        <v>172</v>
      </c>
      <c r="T27" s="24" t="s">
        <v>82</v>
      </c>
      <c r="U27" s="150" t="s">
        <v>89</v>
      </c>
      <c r="V27" s="16">
        <f t="shared" si="0"/>
        <v>2</v>
      </c>
      <c r="W27" s="16">
        <f t="shared" si="3"/>
        <v>775</v>
      </c>
      <c r="Y27" s="172">
        <f t="shared" si="4"/>
        <v>0</v>
      </c>
      <c r="Z27" s="16">
        <f t="shared" si="5"/>
        <v>631</v>
      </c>
      <c r="AA27" s="16">
        <f t="shared" si="6"/>
        <v>709</v>
      </c>
      <c r="AC27" s="171">
        <f t="shared" si="16"/>
        <v>45279</v>
      </c>
      <c r="AD27" s="171"/>
    </row>
    <row r="28" spans="1:30" ht="66" x14ac:dyDescent="0.25">
      <c r="A28" s="16">
        <v>20</v>
      </c>
      <c r="B28" s="18" t="s">
        <v>683</v>
      </c>
      <c r="C28" s="109">
        <f t="shared" si="1"/>
        <v>45327</v>
      </c>
      <c r="D28" s="162" t="s">
        <v>852</v>
      </c>
      <c r="E28" s="144" t="s">
        <v>745</v>
      </c>
      <c r="F28" s="204" t="str">
        <f>CONCATENATE("Материалы согласно реестру к п.3 № ",реестр!B28," от ",TEXT(реестр!C28,"ДД.ММ.ГГГГ"))</f>
        <v>Материалы согласно реестру к п.3 № АИР-М-1.2-61.17-АР-20 от 05.02.2024</v>
      </c>
      <c r="G28" s="210" t="s">
        <v>855</v>
      </c>
      <c r="H28" s="156">
        <v>45325</v>
      </c>
      <c r="I28" s="156">
        <v>45327</v>
      </c>
      <c r="J28" s="202" t="s">
        <v>979</v>
      </c>
      <c r="K28" s="162" t="s">
        <v>225</v>
      </c>
      <c r="L28" s="97" t="str">
        <f t="shared" si="2"/>
        <v>Исп. схема № 61.17-АР-20 от 05.02.2024. Монтаж перекрытия лотков ВК из листового металла по уголкам в ж/б конструкциях ФП в/о А-В/2-9; АОРПИ № АИР 1.2-61.17-АР/46 от 27.10.2023г.</v>
      </c>
      <c r="M28" s="147" t="s">
        <v>245</v>
      </c>
      <c r="N28" s="148" t="s">
        <v>207</v>
      </c>
      <c r="O28" s="25" t="s">
        <v>196</v>
      </c>
      <c r="P28" s="111" t="s">
        <v>197</v>
      </c>
      <c r="Q28" s="111" t="s">
        <v>198</v>
      </c>
      <c r="R28" s="111" t="s">
        <v>199</v>
      </c>
      <c r="S28" s="27" t="s">
        <v>172</v>
      </c>
      <c r="T28" s="24" t="s">
        <v>82</v>
      </c>
      <c r="U28" s="150" t="s">
        <v>89</v>
      </c>
      <c r="V28" s="16">
        <f t="shared" si="0"/>
        <v>2</v>
      </c>
      <c r="W28" s="16">
        <f t="shared" si="3"/>
        <v>775</v>
      </c>
      <c r="Y28" s="16">
        <f t="shared" si="4"/>
        <v>798</v>
      </c>
      <c r="Z28" s="16">
        <f t="shared" si="5"/>
        <v>798</v>
      </c>
      <c r="AA28" s="172">
        <f t="shared" si="6"/>
        <v>0</v>
      </c>
      <c r="AC28" s="171">
        <f t="shared" si="16"/>
        <v>45327</v>
      </c>
      <c r="AD28" s="171"/>
    </row>
    <row r="29" spans="1:30" s="236" customFormat="1" ht="66" x14ac:dyDescent="0.25">
      <c r="A29" s="16">
        <v>21</v>
      </c>
      <c r="B29" s="18" t="s">
        <v>684</v>
      </c>
      <c r="C29" s="109">
        <f t="shared" ref="C29:C37" si="17">I29</f>
        <v>45351</v>
      </c>
      <c r="D29" s="198" t="s">
        <v>856</v>
      </c>
      <c r="E29" s="215" t="s">
        <v>754</v>
      </c>
      <c r="F29" s="204" t="s">
        <v>355</v>
      </c>
      <c r="G29" s="239" t="s">
        <v>857</v>
      </c>
      <c r="H29" s="238">
        <v>45351</v>
      </c>
      <c r="I29" s="238">
        <v>45351</v>
      </c>
      <c r="J29" s="151" t="s">
        <v>978</v>
      </c>
      <c r="K29" s="250" t="s">
        <v>985</v>
      </c>
      <c r="L29" s="97" t="str">
        <f t="shared" ref="L29:L37" si="18">G29</f>
        <v>Исп. схема № 61.17-АР-21 от 29.02.2024. Укладка пленки 200 мкм под стяжки пола 1 этажа на отм. 0.000 в/о А-В/1-10; АОРПИ: № АИР 1.2-61.17-АР/16 от 10.09.2023г.</v>
      </c>
      <c r="M29" s="174" t="s">
        <v>247</v>
      </c>
      <c r="N29" s="114" t="s">
        <v>177</v>
      </c>
      <c r="O29" s="168" t="s">
        <v>239</v>
      </c>
      <c r="P29" s="111" t="s">
        <v>197</v>
      </c>
      <c r="Q29" s="111" t="s">
        <v>198</v>
      </c>
      <c r="R29" s="111" t="s">
        <v>199</v>
      </c>
      <c r="S29" s="27" t="s">
        <v>172</v>
      </c>
      <c r="T29" s="24" t="s">
        <v>82</v>
      </c>
      <c r="U29" s="150" t="s">
        <v>89</v>
      </c>
      <c r="V29" s="16">
        <f t="shared" ref="V29:V37" si="19">IF(AND(C29&gt;=DATE(2023,1,9),C29&lt;=DATE(2024,5,31)),2,
IF(AND(C29&gt;=DATE(2024,6,1),C29&lt;=DATE(2024,12,30)),"25/2",0))</f>
        <v>2</v>
      </c>
      <c r="W29" s="16">
        <f t="shared" ref="W29:W37" si="20">IF(AND(C29&gt;=DATE(2023,10,17),C29&lt;=DATE(2024,2,14)),775,
IF(AND(C29&gt;=DATE(2024,2,15),C29&lt;=DATE(2024,2,21)),125,
IF(AND(C29&gt;=DATE(2024,2,22),C29&lt;=DATE(2024,4,4)),127,
IF(AND(C29&gt;=DATE(2024,4,5),C29&lt;=DATE(2024,8,21)),298,IF(AND(C29&gt;=DATE(2024,8,22),C29&lt;=DATE(2024,12,30)),422,0)))))</f>
        <v>127</v>
      </c>
      <c r="X29" s="184"/>
      <c r="Y29" s="16">
        <f t="shared" ref="Y29:Y37" si="21">IF(AND(C29&gt;=DATE(2024,1,25),C29&lt;=DATE(2024,2,25)),798,
IF(AND(C29&gt;=DATE(2024,3,12),C29&lt;=DATE(2024,4,14)),68,
IF(AND(C29&gt;=DATE(2024,4,25),C29&lt;=DATE(2024,5,2)),108,
IF(AND(C29&gt;=DATE(2024,5,14),C29&lt;=DATE(2024,5,29)),108, IF(AND(C29&gt;=DATE(2024,6,25),C29&lt;=DATE(2024,8,4)),248, IF(AND(C29&gt;=DATE(2024,8,21),C29&lt;=DATE(2024,9,22)),357, IF(AND(C29&gt;=DATE(2024,10,18),C29&lt;=DATE(2024,11,12)),480,0)))))))</f>
        <v>0</v>
      </c>
      <c r="Z29" s="16">
        <f t="shared" ref="Z29:Z37" si="22">IF(AND(C29&gt;=DATE(2023,11,24),C29&lt;=DATE(2023,12,21)),631,
IF(AND(C29&gt;=DATE(2024,1,10),C29&lt;=DATE(2024,2,15)),798,
IF(AND(C29&gt;=DATE(2024,2,29),C29&lt;=DATE(2024,4,11)),27,
IF(AND(C29&gt;=DATE(2024,5,7),C29&lt;=DATE(2024,6,13)),182,IF(AND(C29&gt;=DATE(2024,7,11),C29&lt;=DATE(2024,8,21)),290,IF(AND(C29&gt;=DATE(2024,9,6),C29&lt;=DATE(2024,10,16)),419,0))))))</f>
        <v>27</v>
      </c>
      <c r="AA29" s="205">
        <f t="shared" ref="AA29:AA37" si="23">IF(AND(C29&gt;=DATE(2023,10,10),C29&lt;=DATE(2023,11,21)),576,
IF(AND(C29&gt;=DATE(2023,12,6),C29&lt;=DATE(2023,12,25)),709,
IF(AND(C29&gt;=DATE(2024,1,4),C29&lt;=DATE(2024,1,25)),798,
IF(AND(C29&gt;=DATE(2024,2,8),C29&lt;=DATE(2024,3,12)),27, IF(AND(C29&gt;=DATE(2024,4,2),C29&lt;=DATE(2024,5,7)),108, IF(AND(C29&gt;=DATE(2024,6,5),C29&lt;=DATE(2024,7,17)),248,  IF(AND(C29&gt;=DATE(2024,7,31),C29&lt;=DATE(2024,9,1)),290, IF(AND(C29&gt;=DATE(2024,10,8),C29&lt;=DATE(2024,11,1)),480,0))))))))</f>
        <v>27</v>
      </c>
      <c r="AB29" s="184"/>
      <c r="AC29" s="171">
        <f t="shared" ref="AC29:AC37" si="24">C29</f>
        <v>45351</v>
      </c>
      <c r="AD29" s="237"/>
    </row>
    <row r="30" spans="1:30" ht="66" x14ac:dyDescent="0.25">
      <c r="A30" s="16">
        <v>22</v>
      </c>
      <c r="B30" s="18" t="s">
        <v>756</v>
      </c>
      <c r="C30" s="109">
        <f t="shared" si="17"/>
        <v>45354</v>
      </c>
      <c r="D30" s="198" t="s">
        <v>858</v>
      </c>
      <c r="E30" s="215" t="s">
        <v>755</v>
      </c>
      <c r="F30" s="204" t="s">
        <v>355</v>
      </c>
      <c r="G30" s="211" t="s">
        <v>859</v>
      </c>
      <c r="H30" s="238">
        <v>45354</v>
      </c>
      <c r="I30" s="238">
        <v>45354</v>
      </c>
      <c r="J30" s="151" t="s">
        <v>978</v>
      </c>
      <c r="K30" s="250" t="s">
        <v>986</v>
      </c>
      <c r="L30" s="97" t="str">
        <f t="shared" si="18"/>
        <v>Исп. схема № 61.17-АР-22 от 03.03.2024. Укладка пленки 200 мкм под стяжки пола 2 этажа в/о А-В/5-10; АОРПИ: № АИР 1.2-61.17-АР/16 от 10.09.2023 г.</v>
      </c>
      <c r="M30" s="174" t="s">
        <v>247</v>
      </c>
      <c r="N30" s="114" t="s">
        <v>177</v>
      </c>
      <c r="O30" s="168" t="s">
        <v>239</v>
      </c>
      <c r="P30" s="111" t="s">
        <v>197</v>
      </c>
      <c r="Q30" s="111" t="s">
        <v>198</v>
      </c>
      <c r="R30" s="111" t="s">
        <v>199</v>
      </c>
      <c r="S30" s="27" t="s">
        <v>172</v>
      </c>
      <c r="T30" s="24" t="s">
        <v>82</v>
      </c>
      <c r="U30" s="150" t="s">
        <v>89</v>
      </c>
      <c r="V30" s="16">
        <f t="shared" si="19"/>
        <v>2</v>
      </c>
      <c r="W30" s="16">
        <f t="shared" si="20"/>
        <v>127</v>
      </c>
      <c r="Y30" s="16">
        <f t="shared" si="21"/>
        <v>0</v>
      </c>
      <c r="Z30" s="16">
        <f t="shared" si="22"/>
        <v>27</v>
      </c>
      <c r="AA30" s="172">
        <f t="shared" si="23"/>
        <v>27</v>
      </c>
      <c r="AC30" s="171">
        <f t="shared" si="24"/>
        <v>45354</v>
      </c>
      <c r="AD30" s="171"/>
    </row>
    <row r="31" spans="1:30" ht="105.6" x14ac:dyDescent="0.25">
      <c r="A31" s="16">
        <v>23</v>
      </c>
      <c r="B31" s="18" t="s">
        <v>757</v>
      </c>
      <c r="C31" s="109">
        <f t="shared" si="17"/>
        <v>45386</v>
      </c>
      <c r="D31" s="198" t="s">
        <v>860</v>
      </c>
      <c r="E31" s="215" t="s">
        <v>754</v>
      </c>
      <c r="F31" s="204" t="str">
        <f>CONCATENATE("Материалы согласно реестру к п.3 № ",реестр!B31," от ",TEXT(реестр!C31,"ДД.ММ.ГГГГ"))</f>
        <v>Материалы согласно реестру к п.3 № АИР-М-1.2-61.17-АР-23 от 04.04.2024</v>
      </c>
      <c r="G31" s="211" t="s">
        <v>861</v>
      </c>
      <c r="H31" s="238">
        <v>45386</v>
      </c>
      <c r="I31" s="238">
        <v>45386</v>
      </c>
      <c r="J31" s="151" t="s">
        <v>978</v>
      </c>
      <c r="K31" s="250" t="s">
        <v>373</v>
      </c>
      <c r="L31" s="97" t="str">
        <f t="shared" si="18"/>
        <v>Исп. схема № 61.17-АР-23 от 04.04.2024.Устройство стяжкек пола 1 этажа в/о А-В/5-10; АОРПИ: № АИР 1.2-61.17-АР/15 от 27.03.2024 г., № АИР 1.2-61.17-АР/33 от 15.09.2023 г., АИР 1.2-61.17-АР/17 от 30.10.2023 г., АИР 1.2-61.17-АР/19Г от 23.10.2023 г.
Акт отбора проб № Р 1-04/04 от 04.04.2024 г., Протокол № Р2-11/04 от 11.04.2024 г.</v>
      </c>
      <c r="M31" s="173" t="s">
        <v>246</v>
      </c>
      <c r="N31" s="120" t="s">
        <v>207</v>
      </c>
      <c r="O31" s="168" t="s">
        <v>239</v>
      </c>
      <c r="P31" s="111" t="s">
        <v>197</v>
      </c>
      <c r="Q31" s="111" t="s">
        <v>198</v>
      </c>
      <c r="R31" s="111" t="s">
        <v>199</v>
      </c>
      <c r="S31" s="27" t="s">
        <v>172</v>
      </c>
      <c r="T31" s="24" t="s">
        <v>82</v>
      </c>
      <c r="U31" s="150" t="s">
        <v>89</v>
      </c>
      <c r="V31" s="16">
        <f t="shared" si="19"/>
        <v>2</v>
      </c>
      <c r="W31" s="16">
        <f t="shared" si="20"/>
        <v>127</v>
      </c>
      <c r="Y31" s="16">
        <f t="shared" si="21"/>
        <v>68</v>
      </c>
      <c r="Z31" s="16">
        <f t="shared" si="22"/>
        <v>27</v>
      </c>
      <c r="AA31" s="172">
        <f t="shared" si="23"/>
        <v>108</v>
      </c>
      <c r="AC31" s="171">
        <f t="shared" si="24"/>
        <v>45386</v>
      </c>
      <c r="AD31" s="171"/>
    </row>
    <row r="32" spans="1:30" ht="79.2" x14ac:dyDescent="0.25">
      <c r="A32" s="16">
        <v>24</v>
      </c>
      <c r="B32" s="18" t="s">
        <v>758</v>
      </c>
      <c r="C32" s="109">
        <f t="shared" si="17"/>
        <v>45388</v>
      </c>
      <c r="D32" s="198" t="s">
        <v>862</v>
      </c>
      <c r="E32" s="215" t="s">
        <v>755</v>
      </c>
      <c r="F32" s="204" t="str">
        <f>CONCATENATE("Материалы согласно реестру к п.3 № ",реестр!B32," от ",TEXT(реестр!C32,"ДД.ММ.ГГГГ"))</f>
        <v>Материалы согласно реестру к п.3 № АИР-М-1.2-61.17-АР-24 от 06.04.2024</v>
      </c>
      <c r="G32" s="211" t="s">
        <v>863</v>
      </c>
      <c r="H32" s="238">
        <v>45388</v>
      </c>
      <c r="I32" s="238">
        <v>45388</v>
      </c>
      <c r="J32" s="151" t="s">
        <v>978</v>
      </c>
      <c r="K32" s="250" t="s">
        <v>986</v>
      </c>
      <c r="L32" s="97" t="str">
        <f t="shared" si="18"/>
        <v>Исп. схема № 61.17-АР-24 от 06.04.2024. Устройство стяжек пола 2 этажа в/о А-В/1-10; АОРПИ: № АИР 1.2-61.17-АР/16 от 10.09.2023 г.</v>
      </c>
      <c r="M32" s="173" t="s">
        <v>246</v>
      </c>
      <c r="N32" s="120" t="s">
        <v>207</v>
      </c>
      <c r="O32" s="6" t="s">
        <v>240</v>
      </c>
      <c r="P32" s="111" t="s">
        <v>197</v>
      </c>
      <c r="Q32" s="111" t="s">
        <v>198</v>
      </c>
      <c r="R32" s="111" t="s">
        <v>199</v>
      </c>
      <c r="S32" s="27" t="s">
        <v>172</v>
      </c>
      <c r="T32" s="24" t="s">
        <v>82</v>
      </c>
      <c r="U32" s="150" t="s">
        <v>89</v>
      </c>
      <c r="V32" s="16">
        <f t="shared" si="19"/>
        <v>2</v>
      </c>
      <c r="W32" s="16">
        <f t="shared" si="20"/>
        <v>298</v>
      </c>
      <c r="Y32" s="16">
        <f t="shared" si="21"/>
        <v>68</v>
      </c>
      <c r="Z32" s="16">
        <f t="shared" si="22"/>
        <v>27</v>
      </c>
      <c r="AA32" s="172">
        <f t="shared" si="23"/>
        <v>108</v>
      </c>
      <c r="AC32" s="171">
        <f t="shared" si="24"/>
        <v>45388</v>
      </c>
      <c r="AD32" s="171"/>
    </row>
    <row r="33" spans="1:30" ht="79.2" x14ac:dyDescent="0.25">
      <c r="A33" s="16">
        <v>25</v>
      </c>
      <c r="B33" s="18" t="s">
        <v>759</v>
      </c>
      <c r="C33" s="109">
        <f t="shared" si="17"/>
        <v>45389</v>
      </c>
      <c r="D33" s="198" t="s">
        <v>864</v>
      </c>
      <c r="E33" s="215" t="s">
        <v>754</v>
      </c>
      <c r="F33" s="208" t="s">
        <v>660</v>
      </c>
      <c r="G33" s="211" t="s">
        <v>865</v>
      </c>
      <c r="H33" s="159">
        <v>45383</v>
      </c>
      <c r="I33" s="159">
        <v>45389</v>
      </c>
      <c r="J33" s="151" t="s">
        <v>978</v>
      </c>
      <c r="K33" s="250" t="s">
        <v>205</v>
      </c>
      <c r="L33" s="97" t="str">
        <f t="shared" si="18"/>
        <v>Исп. схема № 61.17-АР-25 от 07.04.2024.  Грунтование пола 1 этажа в пом. 1.02-1.04, 1.13, 1.28 в/о А-В/1-9; АОРПИ: № АИР 1.2-61.17-АР/64 от 29.03.2024 г.</v>
      </c>
      <c r="M33" s="173" t="s">
        <v>246</v>
      </c>
      <c r="N33" s="120" t="s">
        <v>207</v>
      </c>
      <c r="O33" s="6" t="s">
        <v>240</v>
      </c>
      <c r="P33" s="111" t="s">
        <v>197</v>
      </c>
      <c r="Q33" s="111" t="s">
        <v>198</v>
      </c>
      <c r="R33" s="111" t="s">
        <v>199</v>
      </c>
      <c r="S33" s="27" t="s">
        <v>172</v>
      </c>
      <c r="T33" s="24" t="s">
        <v>82</v>
      </c>
      <c r="U33" s="150" t="s">
        <v>89</v>
      </c>
      <c r="V33" s="16">
        <f t="shared" si="19"/>
        <v>2</v>
      </c>
      <c r="W33" s="16">
        <f t="shared" si="20"/>
        <v>298</v>
      </c>
      <c r="Y33" s="16">
        <f t="shared" si="21"/>
        <v>68</v>
      </c>
      <c r="Z33" s="16">
        <f t="shared" si="22"/>
        <v>27</v>
      </c>
      <c r="AA33" s="172">
        <f t="shared" si="23"/>
        <v>108</v>
      </c>
      <c r="AC33" s="171">
        <f t="shared" si="24"/>
        <v>45389</v>
      </c>
      <c r="AD33" s="171"/>
    </row>
    <row r="34" spans="1:30" ht="132" x14ac:dyDescent="0.25">
      <c r="A34" s="16">
        <v>26</v>
      </c>
      <c r="B34" s="18" t="s">
        <v>760</v>
      </c>
      <c r="C34" s="109">
        <f t="shared" si="17"/>
        <v>45389</v>
      </c>
      <c r="D34" s="198" t="s">
        <v>866</v>
      </c>
      <c r="E34" s="215" t="s">
        <v>754</v>
      </c>
      <c r="F34" s="204" t="s">
        <v>366</v>
      </c>
      <c r="G34" s="211" t="s">
        <v>867</v>
      </c>
      <c r="H34" s="238">
        <v>45389</v>
      </c>
      <c r="I34" s="238">
        <v>45389</v>
      </c>
      <c r="J34" s="151" t="s">
        <v>978</v>
      </c>
      <c r="K34" s="250" t="s">
        <v>373</v>
      </c>
      <c r="L34" s="97" t="str">
        <f t="shared" si="18"/>
        <v>Исп. схема № 61.17-АР-26 от 07.04.2024. Устройство стяжки пола самовыравнивающейся 1 этажа в/о А-В/2-10; АОРПИ: № АИР 1.2-61.17-АР/15 от 27.03.2024 г., № АИР 1.2-61.17-АР/33 от 15.09.2023 г., АИР 1.2-61.17-АР/17 от 30.10.2023 г., АИР 1.2-61.17-АР/19Г от 23.10.2023 г.
Акт отбора проб № Р 1-07/04 от 07.04.2024г., Протокол № Р2-14/04 от 14.04.2024г.</v>
      </c>
      <c r="M34" s="173" t="s">
        <v>246</v>
      </c>
      <c r="N34" s="120" t="s">
        <v>207</v>
      </c>
      <c r="O34" s="6" t="s">
        <v>240</v>
      </c>
      <c r="P34" s="111" t="s">
        <v>197</v>
      </c>
      <c r="Q34" s="111" t="s">
        <v>198</v>
      </c>
      <c r="R34" s="111" t="s">
        <v>199</v>
      </c>
      <c r="S34" s="27" t="s">
        <v>172</v>
      </c>
      <c r="T34" s="24" t="s">
        <v>82</v>
      </c>
      <c r="U34" s="150" t="s">
        <v>89</v>
      </c>
      <c r="V34" s="16">
        <f t="shared" si="19"/>
        <v>2</v>
      </c>
      <c r="W34" s="16">
        <f t="shared" si="20"/>
        <v>298</v>
      </c>
      <c r="Y34" s="16">
        <f t="shared" si="21"/>
        <v>68</v>
      </c>
      <c r="Z34" s="16">
        <f t="shared" si="22"/>
        <v>27</v>
      </c>
      <c r="AA34" s="172">
        <f t="shared" si="23"/>
        <v>108</v>
      </c>
      <c r="AC34" s="171">
        <f t="shared" si="24"/>
        <v>45389</v>
      </c>
      <c r="AD34" s="171"/>
    </row>
    <row r="35" spans="1:30" ht="66" x14ac:dyDescent="0.25">
      <c r="A35" s="16">
        <v>27</v>
      </c>
      <c r="B35" s="18" t="s">
        <v>761</v>
      </c>
      <c r="C35" s="109">
        <f t="shared" si="17"/>
        <v>45397</v>
      </c>
      <c r="D35" s="198" t="s">
        <v>868</v>
      </c>
      <c r="E35" s="215" t="s">
        <v>774</v>
      </c>
      <c r="F35" s="204" t="str">
        <f>CONCATENATE("Материалы согласно реестру к п.3 № ",реестр!B35," от ",TEXT(реестр!C35,"ДД.ММ.ГГГГ"))</f>
        <v>Материалы согласно реестру к п.3 № АИР-М-1.2-61.17-АР-27 от 15.04.2024</v>
      </c>
      <c r="G35" s="211" t="s">
        <v>871</v>
      </c>
      <c r="H35" s="238">
        <v>45391</v>
      </c>
      <c r="I35" s="238">
        <v>45397</v>
      </c>
      <c r="J35" s="151" t="s">
        <v>978</v>
      </c>
      <c r="K35" s="250" t="s">
        <v>205</v>
      </c>
      <c r="L35" s="97" t="str">
        <f t="shared" si="18"/>
        <v>Исп. схема № 61.17-АР-27 от 15.04.2024. Устройство наливного полиуретанового пола 1 этажа в пом. 1.04, 1.28 в/о А-В/1-5; АОРПИ: № АИР 1.2-61.17-АР/16 от 10.09.2023 г.</v>
      </c>
      <c r="M35" s="190" t="s">
        <v>250</v>
      </c>
      <c r="N35" s="191" t="s">
        <v>249</v>
      </c>
      <c r="O35" s="6" t="s">
        <v>240</v>
      </c>
      <c r="P35" s="111" t="s">
        <v>197</v>
      </c>
      <c r="Q35" s="111" t="s">
        <v>198</v>
      </c>
      <c r="R35" s="111" t="s">
        <v>199</v>
      </c>
      <c r="S35" s="27" t="s">
        <v>172</v>
      </c>
      <c r="T35" s="24" t="s">
        <v>82</v>
      </c>
      <c r="U35" s="150" t="s">
        <v>89</v>
      </c>
      <c r="V35" s="16">
        <f t="shared" si="19"/>
        <v>2</v>
      </c>
      <c r="W35" s="16">
        <f t="shared" si="20"/>
        <v>298</v>
      </c>
      <c r="Y35" s="16">
        <f t="shared" si="21"/>
        <v>0</v>
      </c>
      <c r="Z35" s="16">
        <f t="shared" si="22"/>
        <v>0</v>
      </c>
      <c r="AA35" s="172">
        <f t="shared" si="23"/>
        <v>108</v>
      </c>
      <c r="AC35" s="171">
        <f t="shared" si="24"/>
        <v>45397</v>
      </c>
      <c r="AD35" s="171"/>
    </row>
    <row r="36" spans="1:30" ht="92.4" x14ac:dyDescent="0.25">
      <c r="A36" s="16">
        <v>28</v>
      </c>
      <c r="B36" s="18" t="s">
        <v>762</v>
      </c>
      <c r="C36" s="109">
        <f t="shared" si="17"/>
        <v>45398</v>
      </c>
      <c r="D36" s="198" t="s">
        <v>869</v>
      </c>
      <c r="E36" s="215" t="s">
        <v>775</v>
      </c>
      <c r="F36" s="204" t="str">
        <f>CONCATENATE("Материалы согласно реестру к п.3 № ",реестр!B36," от ",TEXT(реестр!C36,"ДД.ММ.ГГГГ"))</f>
        <v>Материалы согласно реестру к п.3 № АИР-М-1.2-61.17-АР-28 от 16.04.2024</v>
      </c>
      <c r="G36" s="211" t="s">
        <v>870</v>
      </c>
      <c r="H36" s="238">
        <v>45392</v>
      </c>
      <c r="I36" s="238">
        <v>45398</v>
      </c>
      <c r="J36" s="151" t="s">
        <v>978</v>
      </c>
      <c r="K36" s="250" t="s">
        <v>365</v>
      </c>
      <c r="L36" s="97" t="str">
        <f t="shared" si="18"/>
        <v>Исп. схема № 61.17-АР-28 от 16.04.2024 Укладка напольного ПВХ покрытия на клею и монтаж ПВХ плинтусов в помещениях 1 этажа в/о А-В/6-10; АОРПИ: № АИР 1.2-61.17-АР/15 от 27.03.2024 г., № АИР 1.2-61.17-АР/33 от 15.09.2023 г., АИР 1.2-61.17-АР/17 от 30.10.2023 г., АИР 1.2-61.17-АР/19Г от 23.10.2023 г.</v>
      </c>
      <c r="M36" s="190" t="s">
        <v>250</v>
      </c>
      <c r="N36" s="191" t="s">
        <v>249</v>
      </c>
      <c r="O36" s="6" t="s">
        <v>240</v>
      </c>
      <c r="P36" s="111" t="s">
        <v>197</v>
      </c>
      <c r="Q36" s="111" t="s">
        <v>198</v>
      </c>
      <c r="R36" s="111" t="s">
        <v>199</v>
      </c>
      <c r="S36" s="27" t="s">
        <v>172</v>
      </c>
      <c r="T36" s="24" t="s">
        <v>82</v>
      </c>
      <c r="U36" s="150" t="s">
        <v>89</v>
      </c>
      <c r="V36" s="16">
        <f t="shared" si="19"/>
        <v>2</v>
      </c>
      <c r="W36" s="16">
        <f t="shared" si="20"/>
        <v>298</v>
      </c>
      <c r="Y36" s="16">
        <f t="shared" si="21"/>
        <v>0</v>
      </c>
      <c r="Z36" s="16">
        <f t="shared" si="22"/>
        <v>0</v>
      </c>
      <c r="AA36" s="172">
        <f t="shared" si="23"/>
        <v>108</v>
      </c>
      <c r="AC36" s="171">
        <f t="shared" si="24"/>
        <v>45398</v>
      </c>
      <c r="AD36" s="171"/>
    </row>
    <row r="37" spans="1:30" s="236" customFormat="1" ht="158.4" x14ac:dyDescent="0.25">
      <c r="A37" s="16">
        <v>29</v>
      </c>
      <c r="B37" s="18" t="s">
        <v>763</v>
      </c>
      <c r="C37" s="109">
        <f t="shared" si="17"/>
        <v>45401</v>
      </c>
      <c r="D37" s="198" t="s">
        <v>872</v>
      </c>
      <c r="E37" s="215" t="s">
        <v>754</v>
      </c>
      <c r="F37" s="204" t="s">
        <v>371</v>
      </c>
      <c r="G37" s="239" t="s">
        <v>873</v>
      </c>
      <c r="H37" s="238">
        <v>45399</v>
      </c>
      <c r="I37" s="238">
        <v>45401</v>
      </c>
      <c r="J37" s="151" t="s">
        <v>978</v>
      </c>
      <c r="K37" s="250" t="s">
        <v>987</v>
      </c>
      <c r="L37" s="97" t="str">
        <f t="shared" si="18"/>
        <v>Исп. схема № 61.17-АР-29 от 19.04.2024.  Нанесение обмазочной гидроизоляции по стяжке с заведением на стены 1 этажа в/о Б-В/5-8; АОРПИ: № АИР 1.2-61.17-АР/16 от 10.09.2023г.</v>
      </c>
      <c r="M37" s="190" t="s">
        <v>250</v>
      </c>
      <c r="N37" s="191" t="s">
        <v>249</v>
      </c>
      <c r="O37" s="6" t="s">
        <v>240</v>
      </c>
      <c r="P37" s="111" t="s">
        <v>197</v>
      </c>
      <c r="Q37" s="111" t="s">
        <v>198</v>
      </c>
      <c r="R37" s="111" t="s">
        <v>199</v>
      </c>
      <c r="S37" s="27" t="s">
        <v>172</v>
      </c>
      <c r="T37" s="24" t="s">
        <v>82</v>
      </c>
      <c r="U37" s="150" t="s">
        <v>89</v>
      </c>
      <c r="V37" s="16">
        <f t="shared" si="19"/>
        <v>2</v>
      </c>
      <c r="W37" s="16">
        <f t="shared" si="20"/>
        <v>298</v>
      </c>
      <c r="X37" s="184"/>
      <c r="Y37" s="16">
        <f t="shared" si="21"/>
        <v>0</v>
      </c>
      <c r="Z37" s="16">
        <f t="shared" si="22"/>
        <v>0</v>
      </c>
      <c r="AA37" s="205">
        <f t="shared" si="23"/>
        <v>108</v>
      </c>
      <c r="AB37" s="184"/>
      <c r="AC37" s="171">
        <f t="shared" si="24"/>
        <v>45401</v>
      </c>
      <c r="AD37" s="237"/>
    </row>
    <row r="38" spans="1:30" ht="92.4" x14ac:dyDescent="0.25">
      <c r="A38" s="16">
        <v>30</v>
      </c>
      <c r="B38" s="18" t="s">
        <v>764</v>
      </c>
      <c r="C38" s="109">
        <f t="shared" si="1"/>
        <v>45407</v>
      </c>
      <c r="D38" s="198" t="s">
        <v>874</v>
      </c>
      <c r="E38" s="215" t="s">
        <v>754</v>
      </c>
      <c r="F38" s="204" t="str">
        <f>CONCATENATE("Материалы согласно реестру к п.3 № ",реестр!B38," от ",TEXT(реестр!C38,"ДД.ММ.ГГГГ"))</f>
        <v>Материалы согласно реестру к п.3 № АИР-М-1.2-61.17-АР-30 от 25.04.2024</v>
      </c>
      <c r="G38" s="211" t="s">
        <v>875</v>
      </c>
      <c r="H38" s="159">
        <v>45400</v>
      </c>
      <c r="I38" s="159">
        <v>45407</v>
      </c>
      <c r="J38" s="151" t="s">
        <v>978</v>
      </c>
      <c r="K38" s="250" t="s">
        <v>365</v>
      </c>
      <c r="L38" s="97" t="str">
        <f t="shared" si="2"/>
        <v>Исп. схема № 61.17-АР-30 от 25.04.2024.Укладка плитки из керамогранита с затиркой швов по полу в помещениях 1 этажа в/о А-В/5-10; АОРПИ: № АИР 1.2-61.17-АР/15 от 27.03.2024 г., № АИР 1.2-61.17-АР/33 от 15.09.2023 г., АИР 1.2-61.17-АР/17 от 30.10.2023 г., АИР 1.2-61.17-АР/19Г от 23.10.2023 г.</v>
      </c>
      <c r="M38" s="188" t="s">
        <v>252</v>
      </c>
      <c r="N38" s="189" t="s">
        <v>207</v>
      </c>
      <c r="O38" s="6" t="s">
        <v>240</v>
      </c>
      <c r="P38" s="111" t="s">
        <v>197</v>
      </c>
      <c r="Q38" s="111" t="s">
        <v>198</v>
      </c>
      <c r="R38" s="111" t="s">
        <v>199</v>
      </c>
      <c r="S38" s="27" t="s">
        <v>172</v>
      </c>
      <c r="T38" s="24" t="s">
        <v>82</v>
      </c>
      <c r="U38" s="150" t="s">
        <v>89</v>
      </c>
      <c r="V38" s="16">
        <f t="shared" si="0"/>
        <v>2</v>
      </c>
      <c r="W38" s="16">
        <f t="shared" si="3"/>
        <v>298</v>
      </c>
      <c r="Y38" s="16">
        <f t="shared" si="4"/>
        <v>108</v>
      </c>
      <c r="Z38" s="16">
        <f t="shared" si="5"/>
        <v>0</v>
      </c>
      <c r="AA38" s="172">
        <f t="shared" si="6"/>
        <v>108</v>
      </c>
      <c r="AC38" s="171">
        <f t="shared" si="16"/>
        <v>45407</v>
      </c>
      <c r="AD38" s="171"/>
    </row>
    <row r="39" spans="1:30" ht="158.4" x14ac:dyDescent="0.25">
      <c r="A39" s="16">
        <v>31</v>
      </c>
      <c r="B39" s="18" t="s">
        <v>765</v>
      </c>
      <c r="C39" s="109">
        <f t="shared" si="1"/>
        <v>45421</v>
      </c>
      <c r="D39" s="198" t="s">
        <v>876</v>
      </c>
      <c r="E39" s="215" t="s">
        <v>755</v>
      </c>
      <c r="F39" s="204" t="s">
        <v>371</v>
      </c>
      <c r="G39" s="211" t="s">
        <v>877</v>
      </c>
      <c r="H39" s="159">
        <v>45421</v>
      </c>
      <c r="I39" s="159">
        <v>45421</v>
      </c>
      <c r="J39" s="151" t="s">
        <v>978</v>
      </c>
      <c r="K39" s="250" t="s">
        <v>364</v>
      </c>
      <c r="L39" s="97" t="str">
        <f>G39</f>
        <v>Исп. схема № 61.17-АР-31 от 09.05.2024. Нанесение обмазочной гидроизоляции по стяжке с заведением на стены 2 этажа в/о Б-В/7-9; АОРПИ: № АИР 1.2-61.17-АР/47 от 16.02.2024 г., № АИР 1.2-61.17-АР/19Г от 23.10.2023 г.</v>
      </c>
      <c r="M39" s="175" t="s">
        <v>251</v>
      </c>
      <c r="N39" s="161" t="s">
        <v>177</v>
      </c>
      <c r="O39" s="6" t="s">
        <v>240</v>
      </c>
      <c r="P39" s="111" t="s">
        <v>197</v>
      </c>
      <c r="Q39" s="111" t="s">
        <v>198</v>
      </c>
      <c r="R39" s="111" t="s">
        <v>199</v>
      </c>
      <c r="S39" s="27" t="s">
        <v>172</v>
      </c>
      <c r="T39" s="24" t="s">
        <v>82</v>
      </c>
      <c r="U39" s="150" t="s">
        <v>89</v>
      </c>
      <c r="V39" s="16">
        <f t="shared" si="0"/>
        <v>2</v>
      </c>
      <c r="W39" s="16">
        <f t="shared" si="3"/>
        <v>298</v>
      </c>
      <c r="Y39" s="16">
        <f t="shared" si="4"/>
        <v>0</v>
      </c>
      <c r="Z39" s="16">
        <f t="shared" si="5"/>
        <v>182</v>
      </c>
      <c r="AA39" s="172">
        <f t="shared" si="6"/>
        <v>0</v>
      </c>
      <c r="AC39" s="171">
        <f t="shared" si="16"/>
        <v>45421</v>
      </c>
      <c r="AD39" s="171"/>
    </row>
    <row r="40" spans="1:30" ht="79.2" x14ac:dyDescent="0.25">
      <c r="A40" s="16">
        <v>32</v>
      </c>
      <c r="B40" s="18" t="s">
        <v>766</v>
      </c>
      <c r="C40" s="109">
        <f>I40</f>
        <v>45424</v>
      </c>
      <c r="D40" s="198" t="s">
        <v>878</v>
      </c>
      <c r="E40" s="215" t="s">
        <v>755</v>
      </c>
      <c r="F40" s="208" t="s">
        <v>660</v>
      </c>
      <c r="G40" s="211" t="s">
        <v>879</v>
      </c>
      <c r="H40" s="238">
        <v>45424</v>
      </c>
      <c r="I40" s="238">
        <v>45424</v>
      </c>
      <c r="J40" s="151" t="s">
        <v>978</v>
      </c>
      <c r="K40" s="250" t="s">
        <v>561</v>
      </c>
      <c r="L40" s="97" t="str">
        <f>G40</f>
        <v>Исп. схема № 61.17-АР-32 от 12.05.2024.  Грунтование поверхности перед укладкой керамогранита по полу в помещениях 2 этажа в/о Б-В/5-10; АОРПИ: № АИР 1.2-61.17-АР/47 от 16.02.2024 г., № АИР 1.2-61.17-АР/19Г от 23.10.2023 г.</v>
      </c>
      <c r="M40" s="173" t="s">
        <v>246</v>
      </c>
      <c r="N40" s="120" t="s">
        <v>207</v>
      </c>
      <c r="O40" s="6" t="s">
        <v>240</v>
      </c>
      <c r="P40" s="111" t="s">
        <v>197</v>
      </c>
      <c r="Q40" s="111" t="s">
        <v>198</v>
      </c>
      <c r="R40" s="111" t="s">
        <v>199</v>
      </c>
      <c r="S40" s="27" t="s">
        <v>172</v>
      </c>
      <c r="T40" s="24" t="s">
        <v>82</v>
      </c>
      <c r="U40" s="150" t="s">
        <v>89</v>
      </c>
      <c r="V40" s="16">
        <f>IF(AND(C40&gt;=DATE(2023,1,9),C40&lt;=DATE(2024,5,31)),2,
IF(AND(C40&gt;=DATE(2024,6,1),C40&lt;=DATE(2024,12,30)),"25/2",0))</f>
        <v>2</v>
      </c>
      <c r="W40" s="16">
        <f>IF(AND(C40&gt;=DATE(2023,10,17),C40&lt;=DATE(2024,2,14)),775,
IF(AND(C40&gt;=DATE(2024,2,15),C40&lt;=DATE(2024,2,21)),125,
IF(AND(C40&gt;=DATE(2024,2,22),C40&lt;=DATE(2024,4,4)),127,
IF(AND(C40&gt;=DATE(2024,4,5),C40&lt;=DATE(2024,8,21)),298,IF(AND(C40&gt;=DATE(2024,8,22),C40&lt;=DATE(2024,12,30)),422,0)))))</f>
        <v>298</v>
      </c>
      <c r="Y40" s="16">
        <f>IF(AND(C40&gt;=DATE(2024,1,25),C40&lt;=DATE(2024,2,25)),798,
IF(AND(C40&gt;=DATE(2024,3,12),C40&lt;=DATE(2024,4,14)),68,
IF(AND(C40&gt;=DATE(2024,4,25),C40&lt;=DATE(2024,5,2)),108,
IF(AND(C40&gt;=DATE(2024,5,14),C40&lt;=DATE(2024,5,29)),108, IF(AND(C40&gt;=DATE(2024,6,25),C40&lt;=DATE(2024,8,4)),248, IF(AND(C40&gt;=DATE(2024,8,21),C40&lt;=DATE(2024,9,22)),357, IF(AND(C40&gt;=DATE(2024,10,18),C40&lt;=DATE(2024,11,12)),480,0)))))))</f>
        <v>0</v>
      </c>
      <c r="Z40" s="16">
        <f>IF(AND(C40&gt;=DATE(2023,11,24),C40&lt;=DATE(2023,12,21)),631,
IF(AND(C40&gt;=DATE(2024,1,10),C40&lt;=DATE(2024,2,15)),798,
IF(AND(C40&gt;=DATE(2024,2,29),C40&lt;=DATE(2024,4,11)),27,
IF(AND(C40&gt;=DATE(2024,5,7),C40&lt;=DATE(2024,6,13)),182,IF(AND(C40&gt;=DATE(2024,7,11),C40&lt;=DATE(2024,8,21)),290,IF(AND(C40&gt;=DATE(2024,9,6),C40&lt;=DATE(2024,10,16)),419,0))))))</f>
        <v>182</v>
      </c>
      <c r="AA40" s="172">
        <f>IF(AND(C40&gt;=DATE(2023,10,10),C40&lt;=DATE(2023,11,21)),576,
IF(AND(C40&gt;=DATE(2023,12,6),C40&lt;=DATE(2023,12,25)),709,
IF(AND(C40&gt;=DATE(2024,1,4),C40&lt;=DATE(2024,1,25)),798,
IF(AND(C40&gt;=DATE(2024,2,8),C40&lt;=DATE(2024,3,12)),27, IF(AND(C40&gt;=DATE(2024,4,2),C40&lt;=DATE(2024,5,7)),108, IF(AND(C40&gt;=DATE(2024,6,5),C40&lt;=DATE(2024,7,17)),248,  IF(AND(C40&gt;=DATE(2024,7,31),C40&lt;=DATE(2024,9,1)),290, IF(AND(C40&gt;=DATE(2024,10,8),C40&lt;=DATE(2024,11,1)),480,0))))))))</f>
        <v>0</v>
      </c>
      <c r="AC40" s="171">
        <f>C40</f>
        <v>45424</v>
      </c>
      <c r="AD40" s="171"/>
    </row>
    <row r="41" spans="1:30" ht="66" x14ac:dyDescent="0.25">
      <c r="A41" s="16">
        <v>33</v>
      </c>
      <c r="B41" s="18" t="s">
        <v>767</v>
      </c>
      <c r="C41" s="109">
        <f>I41</f>
        <v>45426</v>
      </c>
      <c r="D41" s="198" t="s">
        <v>880</v>
      </c>
      <c r="E41" s="215" t="s">
        <v>755</v>
      </c>
      <c r="F41" s="204" t="str">
        <f>CONCATENATE("Материалы согласно реестру к п.3 № ",реестр!B41," от ",TEXT(реестр!C41,"ДД.ММ.ГГГГ"))</f>
        <v>Материалы согласно реестру к п.3 № АИР-М-1.2-61.17-АР-33 от 14.05.2024</v>
      </c>
      <c r="G41" s="211" t="s">
        <v>881</v>
      </c>
      <c r="H41" s="238">
        <v>45420</v>
      </c>
      <c r="I41" s="238">
        <v>45426</v>
      </c>
      <c r="J41" s="151" t="s">
        <v>978</v>
      </c>
      <c r="K41" s="250" t="s">
        <v>364</v>
      </c>
      <c r="L41" s="97" t="str">
        <f>G41</f>
        <v>Исп. схема № 61.17-АР-33 от 14.05.2024. Укладка плитки из керамогранита с затиркой швов по полу в помещениях 2 этажа в/о Б-В/5-10; АОРПИ: № АИР 1.2-61.17-АР/47 от 16.02.2024 г., № АИР 1.2-61.17-АР/19Г от 23.10.2023 г.</v>
      </c>
      <c r="M41" s="175" t="s">
        <v>251</v>
      </c>
      <c r="N41" s="161" t="s">
        <v>177</v>
      </c>
      <c r="O41" s="6" t="s">
        <v>240</v>
      </c>
      <c r="P41" s="111" t="s">
        <v>197</v>
      </c>
      <c r="Q41" s="111" t="s">
        <v>198</v>
      </c>
      <c r="R41" s="111" t="s">
        <v>199</v>
      </c>
      <c r="S41" s="27" t="s">
        <v>172</v>
      </c>
      <c r="T41" s="24" t="s">
        <v>82</v>
      </c>
      <c r="U41" s="150" t="s">
        <v>89</v>
      </c>
      <c r="V41" s="16">
        <f>IF(AND(C41&gt;=DATE(2023,1,9),C41&lt;=DATE(2024,5,31)),2,
IF(AND(C41&gt;=DATE(2024,6,1),C41&lt;=DATE(2024,12,30)),"25/2",0))</f>
        <v>2</v>
      </c>
      <c r="W41" s="16">
        <f>IF(AND(C41&gt;=DATE(2023,10,17),C41&lt;=DATE(2024,2,14)),775,
IF(AND(C41&gt;=DATE(2024,2,15),C41&lt;=DATE(2024,2,21)),125,
IF(AND(C41&gt;=DATE(2024,2,22),C41&lt;=DATE(2024,4,4)),127,
IF(AND(C41&gt;=DATE(2024,4,5),C41&lt;=DATE(2024,8,21)),298,IF(AND(C41&gt;=DATE(2024,8,22),C41&lt;=DATE(2024,12,30)),422,0)))))</f>
        <v>298</v>
      </c>
      <c r="Y41" s="16">
        <f>IF(AND(C41&gt;=DATE(2024,1,25),C41&lt;=DATE(2024,2,25)),798,
IF(AND(C41&gt;=DATE(2024,3,12),C41&lt;=DATE(2024,4,14)),68,
IF(AND(C41&gt;=DATE(2024,4,25),C41&lt;=DATE(2024,5,2)),108,
IF(AND(C41&gt;=DATE(2024,5,14),C41&lt;=DATE(2024,5,29)),108, IF(AND(C41&gt;=DATE(2024,6,25),C41&lt;=DATE(2024,8,4)),248, IF(AND(C41&gt;=DATE(2024,8,21),C41&lt;=DATE(2024,9,22)),357, IF(AND(C41&gt;=DATE(2024,10,18),C41&lt;=DATE(2024,11,12)),480,0)))))))</f>
        <v>108</v>
      </c>
      <c r="Z41" s="16">
        <f>IF(AND(C41&gt;=DATE(2023,11,24),C41&lt;=DATE(2023,12,21)),631,
IF(AND(C41&gt;=DATE(2024,1,10),C41&lt;=DATE(2024,2,15)),798,
IF(AND(C41&gt;=DATE(2024,2,29),C41&lt;=DATE(2024,4,11)),27,
IF(AND(C41&gt;=DATE(2024,5,7),C41&lt;=DATE(2024,6,13)),182,IF(AND(C41&gt;=DATE(2024,7,11),C41&lt;=DATE(2024,8,21)),290,IF(AND(C41&gt;=DATE(2024,9,6),C41&lt;=DATE(2024,10,16)),419,0))))))</f>
        <v>182</v>
      </c>
      <c r="AA41" s="172">
        <f>IF(AND(C41&gt;=DATE(2023,10,10),C41&lt;=DATE(2023,11,21)),576,
IF(AND(C41&gt;=DATE(2023,12,6),C41&lt;=DATE(2023,12,25)),709,
IF(AND(C41&gt;=DATE(2024,1,4),C41&lt;=DATE(2024,1,25)),798,
IF(AND(C41&gt;=DATE(2024,2,8),C41&lt;=DATE(2024,3,12)),27, IF(AND(C41&gt;=DATE(2024,4,2),C41&lt;=DATE(2024,5,7)),108, IF(AND(C41&gt;=DATE(2024,6,5),C41&lt;=DATE(2024,7,17)),248,  IF(AND(C41&gt;=DATE(2024,7,31),C41&lt;=DATE(2024,9,1)),290, IF(AND(C41&gt;=DATE(2024,10,8),C41&lt;=DATE(2024,11,1)),480,0))))))))</f>
        <v>0</v>
      </c>
      <c r="AC41" s="171">
        <f>C41</f>
        <v>45426</v>
      </c>
      <c r="AD41" s="171"/>
    </row>
    <row r="42" spans="1:30" ht="79.2" x14ac:dyDescent="0.25">
      <c r="A42" s="16">
        <v>34</v>
      </c>
      <c r="B42" s="18" t="s">
        <v>768</v>
      </c>
      <c r="C42" s="109">
        <f t="shared" si="1"/>
        <v>45441</v>
      </c>
      <c r="D42" s="198" t="s">
        <v>882</v>
      </c>
      <c r="E42" s="215" t="s">
        <v>755</v>
      </c>
      <c r="F42" s="208" t="s">
        <v>660</v>
      </c>
      <c r="G42" s="211" t="s">
        <v>883</v>
      </c>
      <c r="H42" s="159">
        <v>45439</v>
      </c>
      <c r="I42" s="159">
        <v>45441</v>
      </c>
      <c r="J42" s="151" t="s">
        <v>978</v>
      </c>
      <c r="K42" s="250" t="s">
        <v>561</v>
      </c>
      <c r="L42" s="97" t="str">
        <f t="shared" si="2"/>
        <v>Исп. схема № 61.17-АР-34 от 29.05.2024. Грунтование пола 2 этажа в пом. 2.08 в/о Б-В/5-10; АОРПИ: № АИР 1.2-61.17-АР/27 от 16.02.2024 г.</v>
      </c>
      <c r="M42" s="188" t="s">
        <v>252</v>
      </c>
      <c r="N42" s="189" t="s">
        <v>207</v>
      </c>
      <c r="O42" s="6" t="s">
        <v>240</v>
      </c>
      <c r="P42" s="111" t="s">
        <v>197</v>
      </c>
      <c r="Q42" s="111" t="s">
        <v>198</v>
      </c>
      <c r="R42" s="111" t="s">
        <v>199</v>
      </c>
      <c r="S42" s="27" t="s">
        <v>172</v>
      </c>
      <c r="T42" s="24" t="s">
        <v>82</v>
      </c>
      <c r="U42" s="150" t="s">
        <v>89</v>
      </c>
      <c r="V42" s="16">
        <f t="shared" si="0"/>
        <v>2</v>
      </c>
      <c r="W42" s="16">
        <f t="shared" si="3"/>
        <v>298</v>
      </c>
      <c r="Y42" s="16">
        <f t="shared" si="4"/>
        <v>108</v>
      </c>
      <c r="Z42" s="16">
        <f t="shared" si="5"/>
        <v>182</v>
      </c>
      <c r="AA42" s="172">
        <f t="shared" si="6"/>
        <v>0</v>
      </c>
      <c r="AC42" s="171">
        <f t="shared" si="16"/>
        <v>45441</v>
      </c>
      <c r="AD42" s="171"/>
    </row>
    <row r="43" spans="1:30" ht="132" x14ac:dyDescent="0.25">
      <c r="A43" s="16">
        <v>35</v>
      </c>
      <c r="B43" s="18" t="s">
        <v>769</v>
      </c>
      <c r="C43" s="109">
        <f t="shared" ref="C43:C65" si="25">I43</f>
        <v>45444</v>
      </c>
      <c r="D43" s="198" t="s">
        <v>884</v>
      </c>
      <c r="E43" s="215" t="s">
        <v>755</v>
      </c>
      <c r="F43" s="204" t="s">
        <v>366</v>
      </c>
      <c r="G43" s="211" t="s">
        <v>885</v>
      </c>
      <c r="H43" s="238">
        <v>45443</v>
      </c>
      <c r="I43" s="238">
        <v>45444</v>
      </c>
      <c r="J43" s="151" t="s">
        <v>978</v>
      </c>
      <c r="K43" s="250" t="s">
        <v>561</v>
      </c>
      <c r="L43" s="97" t="str">
        <f t="shared" ref="L43:L44" si="26">G43</f>
        <v xml:space="preserve">Исп. схема № 61.17-АР-35 от 01.06.2024. Устройство стяжки самовыравнивающейся 2 этажа в пом. 2.08 в/о Б-В/5-10; АОРПИ: № АИР 1.2-61.17-АР/27 от 16.02.2024 </v>
      </c>
      <c r="M43" s="175" t="s">
        <v>251</v>
      </c>
      <c r="N43" s="161" t="s">
        <v>177</v>
      </c>
      <c r="O43" s="6" t="s">
        <v>240</v>
      </c>
      <c r="P43" s="111" t="s">
        <v>197</v>
      </c>
      <c r="Q43" s="111" t="s">
        <v>198</v>
      </c>
      <c r="R43" s="111" t="s">
        <v>199</v>
      </c>
      <c r="S43" s="27" t="s">
        <v>172</v>
      </c>
      <c r="T43" s="24" t="s">
        <v>82</v>
      </c>
      <c r="U43" s="150" t="s">
        <v>234</v>
      </c>
      <c r="V43" s="16" t="str">
        <f t="shared" ref="V43:V44" si="27">IF(AND(C43&gt;=DATE(2023,1,9),C43&lt;=DATE(2024,5,31)),2,
IF(AND(C43&gt;=DATE(2024,6,1),C43&lt;=DATE(2024,12,30)),"25/2",0))</f>
        <v>25/2</v>
      </c>
      <c r="W43" s="16">
        <f t="shared" ref="W43:W44" si="28">IF(AND(C43&gt;=DATE(2023,10,17),C43&lt;=DATE(2024,2,14)),775,
IF(AND(C43&gt;=DATE(2024,2,15),C43&lt;=DATE(2024,2,21)),125,
IF(AND(C43&gt;=DATE(2024,2,22),C43&lt;=DATE(2024,4,4)),127,
IF(AND(C43&gt;=DATE(2024,4,5),C43&lt;=DATE(2024,8,21)),298,IF(AND(C43&gt;=DATE(2024,8,22),C43&lt;=DATE(2024,12,30)),422,0)))))</f>
        <v>298</v>
      </c>
      <c r="Y43" s="16">
        <f t="shared" ref="Y43:Y44" si="29">IF(AND(C43&gt;=DATE(2024,1,25),C43&lt;=DATE(2024,2,25)),798,
IF(AND(C43&gt;=DATE(2024,3,12),C43&lt;=DATE(2024,4,14)),68,
IF(AND(C43&gt;=DATE(2024,4,25),C43&lt;=DATE(2024,5,2)),108,
IF(AND(C43&gt;=DATE(2024,5,14),C43&lt;=DATE(2024,5,29)),108, IF(AND(C43&gt;=DATE(2024,6,25),C43&lt;=DATE(2024,8,4)),248, IF(AND(C43&gt;=DATE(2024,8,21),C43&lt;=DATE(2024,9,22)),357, IF(AND(C43&gt;=DATE(2024,10,18),C43&lt;=DATE(2024,11,12)),480,0)))))))</f>
        <v>0</v>
      </c>
      <c r="Z43" s="16">
        <f t="shared" ref="Z43:Z44" si="30">IF(AND(C43&gt;=DATE(2023,11,24),C43&lt;=DATE(2023,12,21)),631,
IF(AND(C43&gt;=DATE(2024,1,10),C43&lt;=DATE(2024,2,15)),798,
IF(AND(C43&gt;=DATE(2024,2,29),C43&lt;=DATE(2024,4,11)),27,
IF(AND(C43&gt;=DATE(2024,5,7),C43&lt;=DATE(2024,6,13)),182,IF(AND(C43&gt;=DATE(2024,7,11),C43&lt;=DATE(2024,8,21)),290,IF(AND(C43&gt;=DATE(2024,9,6),C43&lt;=DATE(2024,10,16)),419,0))))))</f>
        <v>182</v>
      </c>
      <c r="AA43" s="172">
        <f t="shared" ref="AA43:AA44" si="31">IF(AND(C43&gt;=DATE(2023,10,10),C43&lt;=DATE(2023,11,21)),576,
IF(AND(C43&gt;=DATE(2023,12,6),C43&lt;=DATE(2023,12,25)),709,
IF(AND(C43&gt;=DATE(2024,1,4),C43&lt;=DATE(2024,1,25)),798,
IF(AND(C43&gt;=DATE(2024,2,8),C43&lt;=DATE(2024,3,12)),27, IF(AND(C43&gt;=DATE(2024,4,2),C43&lt;=DATE(2024,5,7)),108, IF(AND(C43&gt;=DATE(2024,6,5),C43&lt;=DATE(2024,7,17)),248,  IF(AND(C43&gt;=DATE(2024,7,31),C43&lt;=DATE(2024,9,1)),290, IF(AND(C43&gt;=DATE(2024,10,8),C43&lt;=DATE(2024,11,1)),480,0))))))))</f>
        <v>0</v>
      </c>
      <c r="AC43" s="171">
        <f t="shared" ref="AC43:AC68" si="32">C43</f>
        <v>45444</v>
      </c>
      <c r="AD43" s="171"/>
    </row>
    <row r="44" spans="1:30" ht="79.2" x14ac:dyDescent="0.25">
      <c r="A44" s="16">
        <v>36</v>
      </c>
      <c r="B44" s="18" t="s">
        <v>770</v>
      </c>
      <c r="C44" s="109">
        <f t="shared" si="25"/>
        <v>45441</v>
      </c>
      <c r="D44" s="198" t="s">
        <v>886</v>
      </c>
      <c r="E44" s="215" t="s">
        <v>755</v>
      </c>
      <c r="F44" s="208" t="s">
        <v>660</v>
      </c>
      <c r="G44" s="211" t="s">
        <v>887</v>
      </c>
      <c r="H44" s="159">
        <v>45439</v>
      </c>
      <c r="I44" s="159">
        <v>45441</v>
      </c>
      <c r="J44" s="151" t="s">
        <v>978</v>
      </c>
      <c r="K44" s="250" t="s">
        <v>561</v>
      </c>
      <c r="L44" s="97" t="str">
        <f t="shared" si="26"/>
        <v>Исп. схема № 61.17-АР-36 от 29.05.2024. Грунтование ровнителя пола 2 этажа в пом. 2.08 в/о Б-В/5-10; АОРПИ: № АИР 1.2-61.17-АР/27 от 16.02.2024 г.</v>
      </c>
      <c r="M44" s="188" t="s">
        <v>252</v>
      </c>
      <c r="N44" s="189" t="s">
        <v>207</v>
      </c>
      <c r="O44" s="6" t="s">
        <v>240</v>
      </c>
      <c r="P44" s="111" t="s">
        <v>197</v>
      </c>
      <c r="Q44" s="111" t="s">
        <v>198</v>
      </c>
      <c r="R44" s="111" t="s">
        <v>199</v>
      </c>
      <c r="S44" s="27" t="s">
        <v>172</v>
      </c>
      <c r="T44" s="24" t="s">
        <v>82</v>
      </c>
      <c r="U44" s="150" t="s">
        <v>89</v>
      </c>
      <c r="V44" s="16">
        <f t="shared" si="27"/>
        <v>2</v>
      </c>
      <c r="W44" s="16">
        <f t="shared" si="28"/>
        <v>298</v>
      </c>
      <c r="Y44" s="16">
        <f t="shared" si="29"/>
        <v>108</v>
      </c>
      <c r="Z44" s="16">
        <f t="shared" si="30"/>
        <v>182</v>
      </c>
      <c r="AA44" s="172">
        <f t="shared" si="31"/>
        <v>0</v>
      </c>
      <c r="AC44" s="171">
        <f t="shared" si="32"/>
        <v>45441</v>
      </c>
      <c r="AD44" s="171"/>
    </row>
    <row r="45" spans="1:30" ht="66" x14ac:dyDescent="0.25">
      <c r="A45" s="16">
        <v>37</v>
      </c>
      <c r="B45" s="18" t="s">
        <v>771</v>
      </c>
      <c r="C45" s="109">
        <f t="shared" ref="C45" si="33">I45</f>
        <v>45444</v>
      </c>
      <c r="D45" s="198" t="s">
        <v>888</v>
      </c>
      <c r="E45" s="215" t="s">
        <v>755</v>
      </c>
      <c r="F45" s="204" t="str">
        <f>CONCATENATE("Материалы согласно реестру к п.3 № ",реестр!B45," от ",TEXT(реестр!C45,"ДД.ММ.ГГГГ"))</f>
        <v>Материалы согласно реестру к п.3 № АИР-М-1.2-61.17-АР-37 от 01.06.2024</v>
      </c>
      <c r="G45" s="211" t="s">
        <v>889</v>
      </c>
      <c r="H45" s="238">
        <v>45443</v>
      </c>
      <c r="I45" s="238">
        <v>45444</v>
      </c>
      <c r="J45" s="151" t="s">
        <v>978</v>
      </c>
      <c r="K45" s="250" t="s">
        <v>561</v>
      </c>
      <c r="L45" s="97" t="str">
        <f t="shared" ref="L45" si="34">G45</f>
        <v xml:space="preserve">Исп. схема № 61.17-АР-37 от 01.06.2024. Укладка напольного ПВХ покрытия на клею и монтаж ПВХ плинтусов 2 этажа в пом. 2.08 в/о Б-В/5-10; АОРПИ: № АИР 1.2-61.17-АР/27 от 16.02.2024 </v>
      </c>
      <c r="M45" s="175" t="s">
        <v>251</v>
      </c>
      <c r="N45" s="161" t="s">
        <v>177</v>
      </c>
      <c r="O45" s="6" t="s">
        <v>240</v>
      </c>
      <c r="P45" s="111" t="s">
        <v>197</v>
      </c>
      <c r="Q45" s="111" t="s">
        <v>198</v>
      </c>
      <c r="R45" s="111" t="s">
        <v>199</v>
      </c>
      <c r="S45" s="27" t="s">
        <v>172</v>
      </c>
      <c r="T45" s="24" t="s">
        <v>82</v>
      </c>
      <c r="U45" s="150" t="s">
        <v>234</v>
      </c>
      <c r="V45" s="16" t="str">
        <f t="shared" ref="V45" si="35">IF(AND(C45&gt;=DATE(2023,1,9),C45&lt;=DATE(2024,5,31)),2,
IF(AND(C45&gt;=DATE(2024,6,1),C45&lt;=DATE(2024,12,30)),"25/2",0))</f>
        <v>25/2</v>
      </c>
      <c r="W45" s="16">
        <f t="shared" ref="W45" si="36">IF(AND(C45&gt;=DATE(2023,10,17),C45&lt;=DATE(2024,2,14)),775,
IF(AND(C45&gt;=DATE(2024,2,15),C45&lt;=DATE(2024,2,21)),125,
IF(AND(C45&gt;=DATE(2024,2,22),C45&lt;=DATE(2024,4,4)),127,
IF(AND(C45&gt;=DATE(2024,4,5),C45&lt;=DATE(2024,8,21)),298,IF(AND(C45&gt;=DATE(2024,8,22),C45&lt;=DATE(2024,12,30)),422,0)))))</f>
        <v>298</v>
      </c>
      <c r="Y45" s="16">
        <f t="shared" ref="Y45" si="37">IF(AND(C45&gt;=DATE(2024,1,25),C45&lt;=DATE(2024,2,25)),798,
IF(AND(C45&gt;=DATE(2024,3,12),C45&lt;=DATE(2024,4,14)),68,
IF(AND(C45&gt;=DATE(2024,4,25),C45&lt;=DATE(2024,5,2)),108,
IF(AND(C45&gt;=DATE(2024,5,14),C45&lt;=DATE(2024,5,29)),108, IF(AND(C45&gt;=DATE(2024,6,25),C45&lt;=DATE(2024,8,4)),248, IF(AND(C45&gt;=DATE(2024,8,21),C45&lt;=DATE(2024,9,22)),357, IF(AND(C45&gt;=DATE(2024,10,18),C45&lt;=DATE(2024,11,12)),480,0)))))))</f>
        <v>0</v>
      </c>
      <c r="Z45" s="16">
        <f t="shared" ref="Z45" si="38">IF(AND(C45&gt;=DATE(2023,11,24),C45&lt;=DATE(2023,12,21)),631,
IF(AND(C45&gt;=DATE(2024,1,10),C45&lt;=DATE(2024,2,15)),798,
IF(AND(C45&gt;=DATE(2024,2,29),C45&lt;=DATE(2024,4,11)),27,
IF(AND(C45&gt;=DATE(2024,5,7),C45&lt;=DATE(2024,6,13)),182,IF(AND(C45&gt;=DATE(2024,7,11),C45&lt;=DATE(2024,8,21)),290,IF(AND(C45&gt;=DATE(2024,9,6),C45&lt;=DATE(2024,10,16)),419,0))))))</f>
        <v>182</v>
      </c>
      <c r="AA45" s="172">
        <f t="shared" ref="AA45" si="39">IF(AND(C45&gt;=DATE(2023,10,10),C45&lt;=DATE(2023,11,21)),576,
IF(AND(C45&gt;=DATE(2023,12,6),C45&lt;=DATE(2023,12,25)),709,
IF(AND(C45&gt;=DATE(2024,1,4),C45&lt;=DATE(2024,1,25)),798,
IF(AND(C45&gt;=DATE(2024,2,8),C45&lt;=DATE(2024,3,12)),27, IF(AND(C45&gt;=DATE(2024,4,2),C45&lt;=DATE(2024,5,7)),108, IF(AND(C45&gt;=DATE(2024,6,5),C45&lt;=DATE(2024,7,17)),248,  IF(AND(C45&gt;=DATE(2024,7,31),C45&lt;=DATE(2024,9,1)),290, IF(AND(C45&gt;=DATE(2024,10,8),C45&lt;=DATE(2024,11,1)),480,0))))))))</f>
        <v>0</v>
      </c>
      <c r="AC45" s="171">
        <f t="shared" ref="AC45" si="40">C45</f>
        <v>45444</v>
      </c>
      <c r="AD45" s="171"/>
    </row>
    <row r="46" spans="1:30" ht="158.4" x14ac:dyDescent="0.25">
      <c r="A46" s="16">
        <v>38</v>
      </c>
      <c r="B46" s="18" t="s">
        <v>772</v>
      </c>
      <c r="C46" s="109">
        <f>I46</f>
        <v>45370</v>
      </c>
      <c r="D46" s="273" t="s">
        <v>793</v>
      </c>
      <c r="E46" s="215" t="s">
        <v>746</v>
      </c>
      <c r="F46" s="204" t="str">
        <f>CONCATENATE("Материалы согласно реестру к п.3 № ",реестр!B46," от ",TEXT(реестр!C46,"ДД.ММ.ГГГГ"))</f>
        <v>Материалы согласно реестру к п.3 № АИР-М-1.2-61.17-АР-38 от 19.03.2024</v>
      </c>
      <c r="G46" s="194" t="s">
        <v>893</v>
      </c>
      <c r="H46" s="158">
        <v>45328</v>
      </c>
      <c r="I46" s="158">
        <v>45370</v>
      </c>
      <c r="J46" s="122" t="s">
        <v>981</v>
      </c>
      <c r="K46" s="250" t="s">
        <v>339</v>
      </c>
      <c r="L46" s="97" t="str">
        <f>G46</f>
        <v>Исп. схема № 61.17-АР-38 от 19.03.2024. Монтаж облицовок и перегородок 1 этажа в/о А-В/1-10 ; АОРПИ: № АИР 1.2-61.17-АР/31 от 11.09.2023г., № АИР 1.2-61.17-АР/20 от 05.09.2023г., № АИР 1.2-61.17-АР/23 от 19.09.2023г., № АИР 1.2-61.17-АР/113 от 08.09.2023г., № АИР 1.2-61.17-АР/18 от 25.09.2023г., № АИР 1.2-61.17-АР/19 от 15.09.2023г., № АИР 1.2-61.17-АР/24 от 30.01.2024г., № АИР 1.2-61.17-АР/35 от 06.09.2023г., № АИР 1.2-61.17-АР/25 от 28.11.2023г., № АИР 1.2-61.17-АР/30К от 17.10.2023г.</v>
      </c>
      <c r="M46" s="173" t="s">
        <v>246</v>
      </c>
      <c r="N46" s="120" t="s">
        <v>207</v>
      </c>
      <c r="O46" s="168" t="s">
        <v>239</v>
      </c>
      <c r="P46" s="111" t="s">
        <v>197</v>
      </c>
      <c r="Q46" s="111" t="s">
        <v>198</v>
      </c>
      <c r="R46" s="111" t="s">
        <v>199</v>
      </c>
      <c r="S46" s="27" t="s">
        <v>172</v>
      </c>
      <c r="T46" s="24" t="s">
        <v>82</v>
      </c>
      <c r="U46" s="150" t="s">
        <v>89</v>
      </c>
      <c r="V46" s="16">
        <f>IF(AND(C46&gt;=DATE(2023,1,9),C46&lt;=DATE(2024,5,31)),2,
IF(AND(C46&gt;=DATE(2024,6,1),C46&lt;=DATE(2024,12,30)),"25/2",0))</f>
        <v>2</v>
      </c>
      <c r="W46" s="16">
        <f>IF(AND(C46&gt;=DATE(2023,10,17),C46&lt;=DATE(2024,2,14)),775,
IF(AND(C46&gt;=DATE(2024,2,15),C46&lt;=DATE(2024,2,21)),125,
IF(AND(C46&gt;=DATE(2024,2,22),C46&lt;=DATE(2024,4,4)),127,
IF(AND(C46&gt;=DATE(2024,4,5),C46&lt;=DATE(2024,8,21)),298,IF(AND(C46&gt;=DATE(2024,8,22),C46&lt;=DATE(2024,12,30)),422,0)))))</f>
        <v>127</v>
      </c>
      <c r="Y46" s="16">
        <f>IF(AND(C46&gt;=DATE(2024,1,25),C46&lt;=DATE(2024,2,25)),798,
IF(AND(C46&gt;=DATE(2024,3,12),C46&lt;=DATE(2024,4,14)),68,
IF(AND(C46&gt;=DATE(2024,4,25),C46&lt;=DATE(2024,5,2)),108,
IF(AND(C46&gt;=DATE(2024,5,14),C46&lt;=DATE(2024,5,29)),108, IF(AND(C46&gt;=DATE(2024,6,25),C46&lt;=DATE(2024,8,4)),248, IF(AND(C46&gt;=DATE(2024,8,21),C46&lt;=DATE(2024,9,22)),357, IF(AND(C46&gt;=DATE(2024,10,18),C46&lt;=DATE(2024,11,12)),480,0)))))))</f>
        <v>68</v>
      </c>
      <c r="Z46" s="16">
        <f>IF(AND(C46&gt;=DATE(2023,11,24),C46&lt;=DATE(2023,12,21)),631,
IF(AND(C46&gt;=DATE(2024,1,10),C46&lt;=DATE(2024,2,15)),798,
IF(AND(C46&gt;=DATE(2024,2,29),C46&lt;=DATE(2024,4,11)),27,
IF(AND(C46&gt;=DATE(2024,5,7),C46&lt;=DATE(2024,6,13)),182,IF(AND(C46&gt;=DATE(2024,7,11),C46&lt;=DATE(2024,8,21)),290,IF(AND(C46&gt;=DATE(2024,9,6),C46&lt;=DATE(2024,10,16)),419,0))))))</f>
        <v>27</v>
      </c>
      <c r="AA46" s="16">
        <f>IF(AND(C46&gt;=DATE(2023,10,10),C46&lt;=DATE(2023,11,21)),576,
IF(AND(C46&gt;=DATE(2023,12,6),C46&lt;=DATE(2023,12,25)),709,
IF(AND(C46&gt;=DATE(2024,1,4),C46&lt;=DATE(2024,1,25)),798,
IF(AND(C46&gt;=DATE(2024,2,8),C46&lt;=DATE(2024,3,12)),27, IF(AND(C46&gt;=DATE(2024,4,2),C46&lt;=DATE(2024,5,7)),108, IF(AND(C46&gt;=DATE(2024,6,5),C46&lt;=DATE(2024,7,17)),248,  IF(AND(C46&gt;=DATE(2024,7,31),C46&lt;=DATE(2024,9,1)),290, IF(AND(C46&gt;=DATE(2024,10,8),C46&lt;=DATE(2024,11,1)),480,0))))))))</f>
        <v>0</v>
      </c>
      <c r="AC46" s="171">
        <f>C46</f>
        <v>45370</v>
      </c>
      <c r="AD46" s="171"/>
    </row>
    <row r="47" spans="1:30" ht="184.8" x14ac:dyDescent="0.25">
      <c r="A47" s="16">
        <v>39</v>
      </c>
      <c r="B47" s="18" t="s">
        <v>685</v>
      </c>
      <c r="C47" s="109">
        <f>I47</f>
        <v>45376</v>
      </c>
      <c r="D47" s="273" t="s">
        <v>794</v>
      </c>
      <c r="E47" s="215" t="s">
        <v>753</v>
      </c>
      <c r="F47" s="204" t="str">
        <f>CONCATENATE("Материалы согласно реестру к п.3 № ",реестр!B47," от ",TEXT(реестр!C47,"ДД.ММ.ГГГГ"))</f>
        <v>Материалы согласно реестру к п.3 № АИР-М-1.2-61.17-АР-39 от 25.03.2024</v>
      </c>
      <c r="G47" s="194" t="s">
        <v>982</v>
      </c>
      <c r="H47" s="158">
        <v>45328</v>
      </c>
      <c r="I47" s="158">
        <v>45376</v>
      </c>
      <c r="J47" s="122" t="s">
        <v>981</v>
      </c>
      <c r="K47" s="250" t="s">
        <v>339</v>
      </c>
      <c r="L47" s="97" t="str">
        <f>G47</f>
        <v>Исп. схема № 61.17-АР-39 от 25.03.2024. Монтаж облицовок 2 этажа в/о А-В/5-10; АОРПИ: № АИР 1.2-61.17-АР/31 от 11.09.2023г., № АИР 1.2-61.17-АР/20 от 05.09.2023г., № АИР 1.2-61.17-АР/30 от 30.08.2023г., № АИР 1.2-61.17-АР/29 от 23.10.2023г., № АИР 1.2-61.17-АР/23 от 19.09.2023г., № АИР 1.2-61.17-АР/113 от 08.09.2023г., № АИР 1.2-61.17-АР/18 от 25.09.2023г., № АИР 1.2-61.17-АР/19 от 15.09.2023г., № АИР 1.2-61.17-АР/24 от 30.01.2024г., № АИР 1.2-61.17-АР/35 от 06.09.2023г., № АИР 1.2-61.17-АР/25 от 28.11.2023г., № АИР 1.2-61.17-АР/30К от 17.10.2023г.</v>
      </c>
      <c r="M47" s="173" t="s">
        <v>246</v>
      </c>
      <c r="N47" s="120" t="s">
        <v>207</v>
      </c>
      <c r="O47" s="168" t="s">
        <v>239</v>
      </c>
      <c r="P47" s="111" t="s">
        <v>197</v>
      </c>
      <c r="Q47" s="111" t="s">
        <v>198</v>
      </c>
      <c r="R47" s="111" t="s">
        <v>199</v>
      </c>
      <c r="S47" s="27" t="s">
        <v>172</v>
      </c>
      <c r="T47" s="24" t="s">
        <v>82</v>
      </c>
      <c r="U47" s="150" t="s">
        <v>89</v>
      </c>
      <c r="V47" s="16">
        <f>IF(AND(C47&gt;=DATE(2023,1,9),C47&lt;=DATE(2024,5,31)),2,
IF(AND(C47&gt;=DATE(2024,6,1),C47&lt;=DATE(2024,12,30)),"25/2",0))</f>
        <v>2</v>
      </c>
      <c r="W47" s="16">
        <f>IF(AND(C47&gt;=DATE(2023,10,17),C47&lt;=DATE(2024,2,14)),775,
IF(AND(C47&gt;=DATE(2024,2,15),C47&lt;=DATE(2024,2,21)),125,
IF(AND(C47&gt;=DATE(2024,2,22),C47&lt;=DATE(2024,4,4)),127,
IF(AND(C47&gt;=DATE(2024,4,5),C47&lt;=DATE(2024,8,21)),298,IF(AND(C47&gt;=DATE(2024,8,22),C47&lt;=DATE(2024,12,30)),422,0)))))</f>
        <v>127</v>
      </c>
      <c r="Y47" s="16">
        <f>IF(AND(C47&gt;=DATE(2024,1,25),C47&lt;=DATE(2024,2,25)),798,
IF(AND(C47&gt;=DATE(2024,3,12),C47&lt;=DATE(2024,4,14)),68,
IF(AND(C47&gt;=DATE(2024,4,25),C47&lt;=DATE(2024,5,2)),108,
IF(AND(C47&gt;=DATE(2024,5,14),C47&lt;=DATE(2024,5,29)),108, IF(AND(C47&gt;=DATE(2024,6,25),C47&lt;=DATE(2024,8,4)),248, IF(AND(C47&gt;=DATE(2024,8,21),C47&lt;=DATE(2024,9,22)),357, IF(AND(C47&gt;=DATE(2024,10,18),C47&lt;=DATE(2024,11,12)),480,0)))))))</f>
        <v>68</v>
      </c>
      <c r="Z47" s="16">
        <f>IF(AND(C47&gt;=DATE(2023,11,24),C47&lt;=DATE(2023,12,21)),631,
IF(AND(C47&gt;=DATE(2024,1,10),C47&lt;=DATE(2024,2,15)),798,
IF(AND(C47&gt;=DATE(2024,2,29),C47&lt;=DATE(2024,4,11)),27,
IF(AND(C47&gt;=DATE(2024,5,7),C47&lt;=DATE(2024,6,13)),182,IF(AND(C47&gt;=DATE(2024,7,11),C47&lt;=DATE(2024,8,21)),290,IF(AND(C47&gt;=DATE(2024,9,6),C47&lt;=DATE(2024,10,16)),419,0))))))</f>
        <v>27</v>
      </c>
      <c r="AA47" s="16">
        <f>IF(AND(C47&gt;=DATE(2023,10,10),C47&lt;=DATE(2023,11,21)),576,
IF(AND(C47&gt;=DATE(2023,12,6),C47&lt;=DATE(2023,12,25)),709,
IF(AND(C47&gt;=DATE(2024,1,4),C47&lt;=DATE(2024,1,25)),798,
IF(AND(C47&gt;=DATE(2024,2,8),C47&lt;=DATE(2024,3,12)),27, IF(AND(C47&gt;=DATE(2024,4,2),C47&lt;=DATE(2024,5,7)),108, IF(AND(C47&gt;=DATE(2024,6,5),C47&lt;=DATE(2024,7,17)),248,  IF(AND(C47&gt;=DATE(2024,7,31),C47&lt;=DATE(2024,9,1)),290, IF(AND(C47&gt;=DATE(2024,10,8),C47&lt;=DATE(2024,11,1)),480,0))))))))</f>
        <v>0</v>
      </c>
      <c r="AC47" s="171">
        <f>C47</f>
        <v>45376</v>
      </c>
      <c r="AD47" s="171"/>
    </row>
    <row r="48" spans="1:30" ht="66" x14ac:dyDescent="0.25">
      <c r="A48" s="16">
        <v>40</v>
      </c>
      <c r="B48" s="18" t="s">
        <v>773</v>
      </c>
      <c r="C48" s="109">
        <v>45421</v>
      </c>
      <c r="D48" s="273" t="s">
        <v>894</v>
      </c>
      <c r="E48" s="144" t="s">
        <v>795</v>
      </c>
      <c r="F48" s="208" t="s">
        <v>660</v>
      </c>
      <c r="G48" s="207" t="s">
        <v>895</v>
      </c>
      <c r="H48" s="263">
        <v>45421</v>
      </c>
      <c r="I48" s="263">
        <v>45421</v>
      </c>
      <c r="J48" s="151" t="s">
        <v>978</v>
      </c>
      <c r="K48" s="250" t="s">
        <v>983</v>
      </c>
      <c r="L48" s="97" t="str">
        <f t="shared" ref="L48:L99" si="41">G48</f>
        <v xml:space="preserve">Исп. схема № 61.17-АР-40 от 09.05.2024. Грунтование перегородок и облицовок, в т.ч. откосов на 1 этаже в/о А-В/1-10; АОРПИ № АИР 1.2-61.17-АР/24 от 30.01.2024г. </v>
      </c>
      <c r="M48" s="175" t="s">
        <v>251</v>
      </c>
      <c r="N48" s="161" t="s">
        <v>177</v>
      </c>
      <c r="O48" s="6" t="s">
        <v>240</v>
      </c>
      <c r="P48" s="111" t="s">
        <v>197</v>
      </c>
      <c r="Q48" s="111" t="s">
        <v>198</v>
      </c>
      <c r="R48" s="111" t="s">
        <v>199</v>
      </c>
      <c r="S48" s="27" t="s">
        <v>172</v>
      </c>
      <c r="T48" s="24" t="s">
        <v>82</v>
      </c>
      <c r="U48" s="150" t="s">
        <v>89</v>
      </c>
      <c r="V48" s="16">
        <v>2</v>
      </c>
      <c r="W48" s="16">
        <v>298</v>
      </c>
      <c r="X48"/>
      <c r="Y48" s="172">
        <v>0</v>
      </c>
      <c r="Z48" s="16">
        <v>182</v>
      </c>
      <c r="AA48" s="172">
        <v>0</v>
      </c>
      <c r="AB48"/>
      <c r="AC48" s="171">
        <v>45421</v>
      </c>
      <c r="AD48" s="171"/>
    </row>
    <row r="49" spans="1:30" ht="132" x14ac:dyDescent="0.25">
      <c r="A49" s="16">
        <v>41</v>
      </c>
      <c r="B49" s="18" t="s">
        <v>686</v>
      </c>
      <c r="C49" s="109">
        <v>45424</v>
      </c>
      <c r="D49" s="273" t="s">
        <v>896</v>
      </c>
      <c r="E49" s="144" t="s">
        <v>795</v>
      </c>
      <c r="F49" s="6" t="s">
        <v>560</v>
      </c>
      <c r="G49" s="227" t="s">
        <v>897</v>
      </c>
      <c r="H49" s="263">
        <v>45422</v>
      </c>
      <c r="I49" s="263">
        <v>45424</v>
      </c>
      <c r="J49" s="151" t="s">
        <v>978</v>
      </c>
      <c r="K49" s="250" t="s">
        <v>984</v>
      </c>
      <c r="L49" s="97" t="str">
        <f t="shared" si="41"/>
        <v>Исп. схема № 61.17-АР-41 от 12.05.2024. Штукатурка перегородок и облицовок на 1 этаже в/о А-В/1-10; АОРПИ № АИР 1.2-61.17-АР/52 от 14.11.2023г., № АИР 1.2-61.17-АР/60 от 16.02.2024г.</v>
      </c>
      <c r="M49" s="175" t="s">
        <v>251</v>
      </c>
      <c r="N49" s="161" t="s">
        <v>177</v>
      </c>
      <c r="O49" s="6" t="s">
        <v>240</v>
      </c>
      <c r="P49" s="111" t="s">
        <v>197</v>
      </c>
      <c r="Q49" s="111" t="s">
        <v>198</v>
      </c>
      <c r="R49" s="111" t="s">
        <v>199</v>
      </c>
      <c r="S49" s="27" t="s">
        <v>172</v>
      </c>
      <c r="T49" s="24" t="s">
        <v>82</v>
      </c>
      <c r="U49" s="150" t="s">
        <v>89</v>
      </c>
      <c r="V49" s="16">
        <v>2</v>
      </c>
      <c r="W49" s="16">
        <v>298</v>
      </c>
      <c r="X49"/>
      <c r="Y49" s="172">
        <v>0</v>
      </c>
      <c r="Z49" s="16">
        <v>182</v>
      </c>
      <c r="AA49" s="172">
        <v>0</v>
      </c>
      <c r="AB49"/>
      <c r="AC49" s="171">
        <v>45424</v>
      </c>
      <c r="AD49" s="171"/>
    </row>
    <row r="50" spans="1:30" ht="66" x14ac:dyDescent="0.25">
      <c r="A50" s="16">
        <v>42</v>
      </c>
      <c r="B50" s="18" t="s">
        <v>687</v>
      </c>
      <c r="C50" s="109">
        <v>45424</v>
      </c>
      <c r="D50" s="273" t="s">
        <v>898</v>
      </c>
      <c r="E50" s="144" t="s">
        <v>795</v>
      </c>
      <c r="F50" s="208" t="s">
        <v>660</v>
      </c>
      <c r="G50" s="207" t="s">
        <v>899</v>
      </c>
      <c r="H50" s="263">
        <v>45424</v>
      </c>
      <c r="I50" s="263">
        <v>45424</v>
      </c>
      <c r="J50" s="151" t="s">
        <v>978</v>
      </c>
      <c r="K50" s="250" t="s">
        <v>983</v>
      </c>
      <c r="L50" s="97" t="str">
        <f t="shared" si="41"/>
        <v xml:space="preserve">Исп. схема № 61.17-АР-42 от 12.05.2024.  Грунтование перегородок и облицовок на 1 этаже. в/о А-В/1-10; АОРПИ № АИР 1.2-61.17-АР/24 от 30.01.2024г. </v>
      </c>
      <c r="M50" s="175" t="s">
        <v>251</v>
      </c>
      <c r="N50" s="161" t="s">
        <v>177</v>
      </c>
      <c r="O50" s="6" t="s">
        <v>240</v>
      </c>
      <c r="P50" s="111" t="s">
        <v>197</v>
      </c>
      <c r="Q50" s="111" t="s">
        <v>198</v>
      </c>
      <c r="R50" s="111" t="s">
        <v>199</v>
      </c>
      <c r="S50" s="27" t="s">
        <v>172</v>
      </c>
      <c r="T50" s="24" t="s">
        <v>82</v>
      </c>
      <c r="U50" s="150" t="s">
        <v>89</v>
      </c>
      <c r="V50" s="16">
        <v>2</v>
      </c>
      <c r="W50" s="16">
        <v>298</v>
      </c>
      <c r="X50"/>
      <c r="Y50" s="172">
        <v>0</v>
      </c>
      <c r="Z50" s="16">
        <v>182</v>
      </c>
      <c r="AA50" s="172">
        <v>0</v>
      </c>
      <c r="AB50"/>
      <c r="AC50" s="171">
        <v>45424</v>
      </c>
      <c r="AD50" s="171"/>
    </row>
    <row r="51" spans="1:30" ht="79.2" x14ac:dyDescent="0.25">
      <c r="A51" s="16">
        <v>43</v>
      </c>
      <c r="B51" s="18" t="s">
        <v>688</v>
      </c>
      <c r="C51" s="109">
        <v>45427</v>
      </c>
      <c r="D51" s="273" t="s">
        <v>900</v>
      </c>
      <c r="E51" s="144" t="s">
        <v>795</v>
      </c>
      <c r="F51" s="204" t="str">
        <f>CONCATENATE("Материалы согласно реестру к п.3 № ",реестр!B51," от ",TEXT(реестр!C51,"ДД.ММ.ГГГГ"))</f>
        <v>Материалы согласно реестру к п.3 № АИР-М-1.2-61.17-АР-43 от 15.05.2024</v>
      </c>
      <c r="G51" s="227" t="s">
        <v>901</v>
      </c>
      <c r="H51" s="263">
        <v>45425</v>
      </c>
      <c r="I51" s="263">
        <v>45427</v>
      </c>
      <c r="J51" s="151" t="s">
        <v>978</v>
      </c>
      <c r="K51" s="250" t="s">
        <v>984</v>
      </c>
      <c r="L51" s="97" t="str">
        <f t="shared" si="41"/>
        <v>Исп. схема № 61.17-АР-43 от 15.05.2024. Шпатлевание перегородок и облицовок, в т.ч. откосов на 1 этаже в/о А-В/1-10; АОРПИ № АИР 1.2-61.17-АР/52 от 14.11.2023г., № АИР 1.2-61.17-АР/60 от 16.02.2024г.</v>
      </c>
      <c r="M51" s="188" t="s">
        <v>252</v>
      </c>
      <c r="N51" s="189" t="s">
        <v>207</v>
      </c>
      <c r="O51" s="6" t="s">
        <v>240</v>
      </c>
      <c r="P51" s="111" t="s">
        <v>197</v>
      </c>
      <c r="Q51" s="111" t="s">
        <v>198</v>
      </c>
      <c r="R51" s="111" t="s">
        <v>199</v>
      </c>
      <c r="S51" s="27" t="s">
        <v>172</v>
      </c>
      <c r="T51" s="24" t="s">
        <v>82</v>
      </c>
      <c r="U51" s="150" t="s">
        <v>89</v>
      </c>
      <c r="V51" s="16">
        <v>2</v>
      </c>
      <c r="W51" s="16">
        <v>298</v>
      </c>
      <c r="X51"/>
      <c r="Y51" s="16">
        <v>108</v>
      </c>
      <c r="Z51" s="16">
        <v>182</v>
      </c>
      <c r="AA51" s="172">
        <v>0</v>
      </c>
      <c r="AB51"/>
      <c r="AC51" s="171">
        <v>45427</v>
      </c>
      <c r="AD51" s="171"/>
    </row>
    <row r="52" spans="1:30" ht="66" x14ac:dyDescent="0.25">
      <c r="A52" s="16">
        <v>44</v>
      </c>
      <c r="B52" s="18" t="s">
        <v>689</v>
      </c>
      <c r="C52" s="109">
        <v>45424</v>
      </c>
      <c r="D52" s="273" t="s">
        <v>902</v>
      </c>
      <c r="E52" s="144" t="s">
        <v>795</v>
      </c>
      <c r="F52" s="208" t="s">
        <v>660</v>
      </c>
      <c r="G52" s="207" t="s">
        <v>903</v>
      </c>
      <c r="H52" s="263">
        <v>45424</v>
      </c>
      <c r="I52" s="263">
        <v>45424</v>
      </c>
      <c r="J52" s="151" t="s">
        <v>978</v>
      </c>
      <c r="K52" s="250" t="s">
        <v>983</v>
      </c>
      <c r="L52" s="97" t="str">
        <f t="shared" si="41"/>
        <v xml:space="preserve">Исп. схема № 61.17-АР-44 от 12.05.2024. Грунтование перегородок и облицовок, в т.ч. откосов на 1 этаже. в/о А-В/1-10; АОРПИ № АИР 1.2-61.17-АР/24 от 30.01.2024г. </v>
      </c>
      <c r="M52" s="175" t="s">
        <v>251</v>
      </c>
      <c r="N52" s="161" t="s">
        <v>177</v>
      </c>
      <c r="O52" s="6" t="s">
        <v>240</v>
      </c>
      <c r="P52" s="111" t="s">
        <v>197</v>
      </c>
      <c r="Q52" s="111" t="s">
        <v>198</v>
      </c>
      <c r="R52" s="111" t="s">
        <v>199</v>
      </c>
      <c r="S52" s="27" t="s">
        <v>172</v>
      </c>
      <c r="T52" s="24" t="s">
        <v>82</v>
      </c>
      <c r="U52" s="150" t="s">
        <v>89</v>
      </c>
      <c r="V52" s="16">
        <v>2</v>
      </c>
      <c r="W52" s="16">
        <v>298</v>
      </c>
      <c r="X52"/>
      <c r="Y52" s="172">
        <v>0</v>
      </c>
      <c r="Z52" s="16">
        <v>182</v>
      </c>
      <c r="AA52" s="172">
        <v>0</v>
      </c>
      <c r="AB52"/>
      <c r="AC52" s="171">
        <v>45424</v>
      </c>
      <c r="AD52" s="171"/>
    </row>
    <row r="53" spans="1:30" ht="118.8" x14ac:dyDescent="0.25">
      <c r="A53" s="16">
        <v>45</v>
      </c>
      <c r="B53" s="18" t="s">
        <v>690</v>
      </c>
      <c r="C53" s="109">
        <f t="shared" ref="C53" si="42">I53</f>
        <v>45435</v>
      </c>
      <c r="D53" s="240" t="s">
        <v>904</v>
      </c>
      <c r="E53" s="144" t="s">
        <v>795</v>
      </c>
      <c r="F53" s="253" t="s">
        <v>436</v>
      </c>
      <c r="G53" s="232" t="s">
        <v>905</v>
      </c>
      <c r="H53" s="251">
        <v>45434</v>
      </c>
      <c r="I53" s="251">
        <v>45435</v>
      </c>
      <c r="J53" s="151" t="s">
        <v>978</v>
      </c>
      <c r="K53" s="17" t="s">
        <v>205</v>
      </c>
      <c r="L53" s="97" t="str">
        <f t="shared" si="41"/>
        <v xml:space="preserve">Исп. схема № 61.17-АР-45 от 23.05.2024. Окраска в 2 слоя перегородок и облицовок, в т.ч. откосов на 1 этаже в/о А-В/1-10; АОРПИ: № АИР 1.2-61.17-АР/60 от 16.02.2024г. </v>
      </c>
      <c r="M53" s="188" t="s">
        <v>252</v>
      </c>
      <c r="N53" s="189" t="s">
        <v>207</v>
      </c>
      <c r="O53" s="6" t="s">
        <v>240</v>
      </c>
      <c r="P53" s="111" t="s">
        <v>197</v>
      </c>
      <c r="Q53" s="111" t="s">
        <v>198</v>
      </c>
      <c r="R53" s="111" t="s">
        <v>199</v>
      </c>
      <c r="S53" s="27" t="s">
        <v>172</v>
      </c>
      <c r="T53" s="24" t="s">
        <v>82</v>
      </c>
      <c r="U53" s="150" t="s">
        <v>89</v>
      </c>
      <c r="V53" s="16">
        <f t="shared" ref="V53" si="43">IF(AND(C53&gt;=DATE(2023,1,9),C53&lt;=DATE(2024,5,31)),2,
IF(AND(C53&gt;=DATE(2024,6,1),C53&lt;=DATE(2024,12,30)),"25/2",0))</f>
        <v>2</v>
      </c>
      <c r="W53" s="16">
        <f t="shared" ref="W53" si="44">IF(AND(C53&gt;=DATE(2023,10,17),C53&lt;=DATE(2024,2,14)),775,
IF(AND(C53&gt;=DATE(2024,2,15),C53&lt;=DATE(2024,2,21)),125,
IF(AND(C53&gt;=DATE(2024,2,22),C53&lt;=DATE(2024,4,4)),127,
IF(AND(C53&gt;=DATE(2024,4,5),C53&lt;=DATE(2024,8,21)),298,IF(AND(C53&gt;=DATE(2024,8,22),C53&lt;=DATE(2024,12,30)),422,0)))))</f>
        <v>298</v>
      </c>
      <c r="Y53" s="16">
        <f t="shared" ref="Y53" si="45">IF(AND(C53&gt;=DATE(2024,1,25),C53&lt;=DATE(2024,2,25)),798,
IF(AND(C53&gt;=DATE(2024,3,12),C53&lt;=DATE(2024,4,14)),68,
IF(AND(C53&gt;=DATE(2024,4,25),C53&lt;=DATE(2024,5,2)),108,
IF(AND(C53&gt;=DATE(2024,5,14),C53&lt;=DATE(2024,5,29)),108, IF(AND(C53&gt;=DATE(2024,6,25),C53&lt;=DATE(2024,8,4)),248, IF(AND(C53&gt;=DATE(2024,8,21),C53&lt;=DATE(2024,9,22)),357, IF(AND(C53&gt;=DATE(2024,10,18),C53&lt;=DATE(2024,11,12)),480,0)))))))</f>
        <v>108</v>
      </c>
      <c r="Z53" s="16">
        <f t="shared" ref="Z53" si="46">IF(AND(C53&gt;=DATE(2023,11,24),C53&lt;=DATE(2023,12,21)),631,
IF(AND(C53&gt;=DATE(2024,1,10),C53&lt;=DATE(2024,2,15)),798,
IF(AND(C53&gt;=DATE(2024,2,29),C53&lt;=DATE(2024,4,11)),27,
IF(AND(C53&gt;=DATE(2024,5,7),C53&lt;=DATE(2024,6,13)),182,IF(AND(C53&gt;=DATE(2024,7,11),C53&lt;=DATE(2024,8,21)),290,IF(AND(C53&gt;=DATE(2024,9,6),C53&lt;=DATE(2024,10,16)),419,0))))))</f>
        <v>182</v>
      </c>
      <c r="AA53" s="172">
        <f t="shared" ref="AA53" si="47">IF(AND(C53&gt;=DATE(2023,10,10),C53&lt;=DATE(2023,11,21)),576,
IF(AND(C53&gt;=DATE(2023,12,6),C53&lt;=DATE(2023,12,25)),709,
IF(AND(C53&gt;=DATE(2024,1,4),C53&lt;=DATE(2024,1,25)),798,
IF(AND(C53&gt;=DATE(2024,2,8),C53&lt;=DATE(2024,3,12)),27, IF(AND(C53&gt;=DATE(2024,4,2),C53&lt;=DATE(2024,5,7)),108, IF(AND(C53&gt;=DATE(2024,6,5),C53&lt;=DATE(2024,7,17)),248,  IF(AND(C53&gt;=DATE(2024,7,31),C53&lt;=DATE(2024,9,1)),290, IF(AND(C53&gt;=DATE(2024,10,8),C53&lt;=DATE(2024,11,1)),480,0))))))))</f>
        <v>0</v>
      </c>
      <c r="AC53" s="171">
        <f t="shared" ref="AC53" si="48">C53</f>
        <v>45435</v>
      </c>
      <c r="AD53" s="171"/>
    </row>
    <row r="54" spans="1:30" ht="79.2" x14ac:dyDescent="0.25">
      <c r="A54" s="16">
        <v>46</v>
      </c>
      <c r="B54" s="18" t="s">
        <v>691</v>
      </c>
      <c r="C54" s="109">
        <f>I54</f>
        <v>45428</v>
      </c>
      <c r="D54" s="273" t="s">
        <v>906</v>
      </c>
      <c r="E54" s="144" t="s">
        <v>795</v>
      </c>
      <c r="F54" s="204" t="str">
        <f>CONCATENATE("Материалы согласно реестру к п.3 № ",реестр!B54," от ",TEXT(реестр!C54,"ДД.ММ.ГГГГ"))</f>
        <v>Материалы согласно реестру к п.3 № АИР-М-1.2-61.17-АР-46 от 16.05.2024</v>
      </c>
      <c r="G54" s="207" t="s">
        <v>907</v>
      </c>
      <c r="H54" s="254">
        <v>45425</v>
      </c>
      <c r="I54" s="254">
        <v>45428</v>
      </c>
      <c r="J54" s="151" t="s">
        <v>978</v>
      </c>
      <c r="K54" s="250" t="s">
        <v>205</v>
      </c>
      <c r="L54" s="97" t="str">
        <f t="shared" si="41"/>
        <v xml:space="preserve">Исп. схема № 61.17-АР-46 от 16.05.2024. Укладка керамической плитки и запирка швов по перегородкам и облицовкам на 1 этаже в/о А-В/1-10; АОРПИ № АИР 1.2-61.17-АР/49 от 16.02.2024г., № АИР 1.2-61.17-АР/20Г от 30.09.2023г. </v>
      </c>
      <c r="M54" s="188" t="s">
        <v>252</v>
      </c>
      <c r="N54" s="189" t="s">
        <v>207</v>
      </c>
      <c r="O54" s="6" t="s">
        <v>240</v>
      </c>
      <c r="P54" s="111" t="s">
        <v>197</v>
      </c>
      <c r="Q54" s="111" t="s">
        <v>198</v>
      </c>
      <c r="R54" s="111" t="s">
        <v>199</v>
      </c>
      <c r="S54" s="27" t="s">
        <v>172</v>
      </c>
      <c r="T54" s="24" t="s">
        <v>82</v>
      </c>
      <c r="U54" s="150" t="s">
        <v>89</v>
      </c>
      <c r="V54" s="16">
        <f>IF(AND(C54&gt;=DATE(2023,1,9),C54&lt;=DATE(2024,5,31)),2,
IF(AND(C54&gt;=DATE(2024,6,1),C54&lt;=DATE(2024,12,30)),"25/2",0))</f>
        <v>2</v>
      </c>
      <c r="W54" s="16">
        <f>IF(AND(C54&gt;=DATE(2023,10,17),C54&lt;=DATE(2024,2,14)),775,
IF(AND(C54&gt;=DATE(2024,2,15),C54&lt;=DATE(2024,2,21)),125,
IF(AND(C54&gt;=DATE(2024,2,22),C54&lt;=DATE(2024,4,4)),127,
IF(AND(C54&gt;=DATE(2024,4,5),C54&lt;=DATE(2024,8,21)),298,IF(AND(C54&gt;=DATE(2024,8,22),C54&lt;=DATE(2024,12,30)),422,0)))))</f>
        <v>298</v>
      </c>
      <c r="Y54" s="16">
        <f>IF(AND(C54&gt;=DATE(2024,1,25),C54&lt;=DATE(2024,2,25)),798,
IF(AND(C54&gt;=DATE(2024,3,12),C54&lt;=DATE(2024,4,14)),68,
IF(AND(C54&gt;=DATE(2024,4,25),C54&lt;=DATE(2024,5,2)),108,
IF(AND(C54&gt;=DATE(2024,5,14),C54&lt;=DATE(2024,5,29)),108, IF(AND(C54&gt;=DATE(2024,6,25),C54&lt;=DATE(2024,8,4)),248, IF(AND(C54&gt;=DATE(2024,8,21),C54&lt;=DATE(2024,9,22)),357, IF(AND(C54&gt;=DATE(2024,10,18),C54&lt;=DATE(2024,11,12)),480,0)))))))</f>
        <v>108</v>
      </c>
      <c r="Z54" s="16">
        <f>IF(AND(C54&gt;=DATE(2023,11,24),C54&lt;=DATE(2023,12,21)),631,
IF(AND(C54&gt;=DATE(2024,1,10),C54&lt;=DATE(2024,2,15)),798,
IF(AND(C54&gt;=DATE(2024,2,29),C54&lt;=DATE(2024,4,11)),27,
IF(AND(C54&gt;=DATE(2024,5,7),C54&lt;=DATE(2024,6,13)),182,IF(AND(C54&gt;=DATE(2024,7,11),C54&lt;=DATE(2024,8,21)),290,IF(AND(C54&gt;=DATE(2024,9,6),C54&lt;=DATE(2024,10,16)),419,0))))))</f>
        <v>182</v>
      </c>
      <c r="AA54" s="172">
        <f>IF(AND(C54&gt;=DATE(2023,10,10),C54&lt;=DATE(2023,11,21)),576,
IF(AND(C54&gt;=DATE(2023,12,6),C54&lt;=DATE(2023,12,25)),709,
IF(AND(C54&gt;=DATE(2024,1,4),C54&lt;=DATE(2024,1,25)),798,
IF(AND(C54&gt;=DATE(2024,2,8),C54&lt;=DATE(2024,3,12)),27, IF(AND(C54&gt;=DATE(2024,4,2),C54&lt;=DATE(2024,5,7)),108, IF(AND(C54&gt;=DATE(2024,6,5),C54&lt;=DATE(2024,7,17)),248,  IF(AND(C54&gt;=DATE(2024,7,31),C54&lt;=DATE(2024,9,1)),290, IF(AND(C54&gt;=DATE(2024,10,8),C54&lt;=DATE(2024,11,1)),480,0))))))))</f>
        <v>0</v>
      </c>
      <c r="AC54" s="171">
        <f>C54</f>
        <v>45428</v>
      </c>
      <c r="AD54" s="171"/>
    </row>
    <row r="55" spans="1:30" ht="66" x14ac:dyDescent="0.25">
      <c r="A55" s="16">
        <v>47</v>
      </c>
      <c r="B55" s="18" t="s">
        <v>692</v>
      </c>
      <c r="C55" s="109">
        <v>45421</v>
      </c>
      <c r="D55" s="273" t="s">
        <v>908</v>
      </c>
      <c r="E55" s="144" t="s">
        <v>796</v>
      </c>
      <c r="F55" s="208" t="s">
        <v>660</v>
      </c>
      <c r="G55" s="207" t="s">
        <v>909</v>
      </c>
      <c r="H55" s="263">
        <v>45421</v>
      </c>
      <c r="I55" s="263">
        <v>45421</v>
      </c>
      <c r="J55" s="151" t="s">
        <v>978</v>
      </c>
      <c r="K55" s="250" t="s">
        <v>983</v>
      </c>
      <c r="L55" s="97" t="str">
        <f t="shared" si="41"/>
        <v xml:space="preserve">Исп. схема № 61.17-АР-47 от 09.05.2024. Грунтование перегородок и облицовок, в т.ч. откосов на 2 этаже в/о А-В/5-10; АОРПИ № АИР 1.2-61.17-АР/24 от 30.01.2024г. </v>
      </c>
      <c r="M55" s="175" t="s">
        <v>251</v>
      </c>
      <c r="N55" s="161" t="s">
        <v>177</v>
      </c>
      <c r="O55" s="6" t="s">
        <v>240</v>
      </c>
      <c r="P55" s="111" t="s">
        <v>197</v>
      </c>
      <c r="Q55" s="111" t="s">
        <v>198</v>
      </c>
      <c r="R55" s="111" t="s">
        <v>199</v>
      </c>
      <c r="S55" s="27" t="s">
        <v>172</v>
      </c>
      <c r="T55" s="24" t="s">
        <v>82</v>
      </c>
      <c r="U55" s="150" t="s">
        <v>89</v>
      </c>
      <c r="V55" s="16">
        <v>2</v>
      </c>
      <c r="W55" s="16">
        <v>298</v>
      </c>
      <c r="X55"/>
      <c r="Y55" s="172">
        <v>0</v>
      </c>
      <c r="Z55" s="16">
        <v>182</v>
      </c>
      <c r="AA55" s="172">
        <v>0</v>
      </c>
      <c r="AB55"/>
      <c r="AC55" s="171">
        <v>45421</v>
      </c>
      <c r="AD55" s="171"/>
    </row>
    <row r="56" spans="1:30" ht="66" x14ac:dyDescent="0.25">
      <c r="A56" s="16">
        <v>48</v>
      </c>
      <c r="B56" s="18" t="s">
        <v>693</v>
      </c>
      <c r="C56" s="109">
        <v>45424</v>
      </c>
      <c r="D56" s="273" t="s">
        <v>910</v>
      </c>
      <c r="E56" s="144" t="s">
        <v>796</v>
      </c>
      <c r="F56" s="204" t="str">
        <f>CONCATENATE("Материалы согласно реестру к п.3 № ",реестр!B56," от ",TEXT(реестр!C56,"ДД.ММ.ГГГГ"))</f>
        <v>Материалы согласно реестру к п.3 № АИР-М-1.2-61.17-АР-48 от 12.05.2024</v>
      </c>
      <c r="G56" s="227" t="s">
        <v>911</v>
      </c>
      <c r="H56" s="263">
        <v>45422</v>
      </c>
      <c r="I56" s="263">
        <v>45424</v>
      </c>
      <c r="J56" s="151" t="s">
        <v>978</v>
      </c>
      <c r="K56" s="250" t="s">
        <v>984</v>
      </c>
      <c r="L56" s="97" t="str">
        <f t="shared" si="41"/>
        <v>Исп. схема № 61.17-АР-48 от 12.05.2024. Штукатурка перегородок и облицовок на 2 этаже в/о А-В/5-10; АОРПИ № АИР 1.2-61.17-АР/52 от 14.11.2023г., № АИР 1.2-61.17-АР/60 от 16.02.2024г.</v>
      </c>
      <c r="M56" s="175" t="s">
        <v>251</v>
      </c>
      <c r="N56" s="161" t="s">
        <v>177</v>
      </c>
      <c r="O56" s="6" t="s">
        <v>240</v>
      </c>
      <c r="P56" s="111" t="s">
        <v>197</v>
      </c>
      <c r="Q56" s="111" t="s">
        <v>198</v>
      </c>
      <c r="R56" s="111" t="s">
        <v>199</v>
      </c>
      <c r="S56" s="27" t="s">
        <v>172</v>
      </c>
      <c r="T56" s="24" t="s">
        <v>82</v>
      </c>
      <c r="U56" s="150" t="s">
        <v>89</v>
      </c>
      <c r="V56" s="16">
        <v>2</v>
      </c>
      <c r="W56" s="16">
        <v>298</v>
      </c>
      <c r="X56"/>
      <c r="Y56" s="172">
        <v>0</v>
      </c>
      <c r="Z56" s="16">
        <v>182</v>
      </c>
      <c r="AA56" s="172">
        <v>0</v>
      </c>
      <c r="AB56"/>
      <c r="AC56" s="171">
        <v>45424</v>
      </c>
      <c r="AD56" s="171"/>
    </row>
    <row r="57" spans="1:30" ht="66" x14ac:dyDescent="0.25">
      <c r="A57" s="16">
        <v>49</v>
      </c>
      <c r="B57" s="18" t="s">
        <v>694</v>
      </c>
      <c r="C57" s="109">
        <v>45424</v>
      </c>
      <c r="D57" s="273" t="s">
        <v>912</v>
      </c>
      <c r="E57" s="144" t="s">
        <v>796</v>
      </c>
      <c r="F57" s="208" t="s">
        <v>660</v>
      </c>
      <c r="G57" s="207" t="s">
        <v>913</v>
      </c>
      <c r="H57" s="263">
        <v>45424</v>
      </c>
      <c r="I57" s="263">
        <v>45424</v>
      </c>
      <c r="J57" s="151" t="s">
        <v>978</v>
      </c>
      <c r="K57" s="250" t="s">
        <v>983</v>
      </c>
      <c r="L57" s="97" t="str">
        <f t="shared" si="41"/>
        <v xml:space="preserve">Исп. схема № 61.17-АР-49 от 12.05.2024. Грунтование перегородок и облицовок на 2 этаже. в/о А-В/51-10; АОРПИ № АИР 1.2-61.17-АР/24 от 30.01.2024г. </v>
      </c>
      <c r="M57" s="175" t="s">
        <v>251</v>
      </c>
      <c r="N57" s="161" t="s">
        <v>177</v>
      </c>
      <c r="O57" s="6" t="s">
        <v>240</v>
      </c>
      <c r="P57" s="111" t="s">
        <v>197</v>
      </c>
      <c r="Q57" s="111" t="s">
        <v>198</v>
      </c>
      <c r="R57" s="111" t="s">
        <v>199</v>
      </c>
      <c r="S57" s="27" t="s">
        <v>172</v>
      </c>
      <c r="T57" s="24" t="s">
        <v>82</v>
      </c>
      <c r="U57" s="150" t="s">
        <v>89</v>
      </c>
      <c r="V57" s="16">
        <v>2</v>
      </c>
      <c r="W57" s="16">
        <v>298</v>
      </c>
      <c r="X57"/>
      <c r="Y57" s="172">
        <v>0</v>
      </c>
      <c r="Z57" s="16">
        <v>182</v>
      </c>
      <c r="AA57" s="172">
        <v>0</v>
      </c>
      <c r="AB57"/>
      <c r="AC57" s="171">
        <v>45424</v>
      </c>
      <c r="AD57" s="171"/>
    </row>
    <row r="58" spans="1:30" ht="79.2" x14ac:dyDescent="0.25">
      <c r="A58" s="16">
        <v>50</v>
      </c>
      <c r="B58" s="18" t="s">
        <v>695</v>
      </c>
      <c r="C58" s="109">
        <v>45427</v>
      </c>
      <c r="D58" s="273" t="s">
        <v>914</v>
      </c>
      <c r="E58" s="144" t="s">
        <v>796</v>
      </c>
      <c r="F58" s="204" t="str">
        <f>CONCATENATE("Материалы согласно реестру к п.3 № ",реестр!B58," от ",TEXT(реестр!C58,"ДД.ММ.ГГГГ"))</f>
        <v>Материалы согласно реестру к п.3 № АИР-М-1.2-61.17-АР-50 от 15.05.2024</v>
      </c>
      <c r="G58" s="227" t="s">
        <v>915</v>
      </c>
      <c r="H58" s="263">
        <v>45425</v>
      </c>
      <c r="I58" s="263">
        <v>45427</v>
      </c>
      <c r="J58" s="151" t="s">
        <v>978</v>
      </c>
      <c r="K58" s="250" t="s">
        <v>984</v>
      </c>
      <c r="L58" s="97" t="str">
        <f t="shared" si="41"/>
        <v>Исп. схема № 61.17-АР-50 от 15.05.2024. Шпатлевание перегородок и облицовок, в т.ч. откосов на 2 этаже в/о А-В/5-10; АОРПИ № АИР 1.2-61.17-АР/52 от 14.11.2023г., № АИР 1.2-61.17-АР/60 от 16.02.2024г.</v>
      </c>
      <c r="M58" s="188" t="s">
        <v>252</v>
      </c>
      <c r="N58" s="189" t="s">
        <v>207</v>
      </c>
      <c r="O58" s="6" t="s">
        <v>240</v>
      </c>
      <c r="P58" s="111" t="s">
        <v>197</v>
      </c>
      <c r="Q58" s="111" t="s">
        <v>198</v>
      </c>
      <c r="R58" s="111" t="s">
        <v>199</v>
      </c>
      <c r="S58" s="27" t="s">
        <v>172</v>
      </c>
      <c r="T58" s="24" t="s">
        <v>82</v>
      </c>
      <c r="U58" s="150" t="s">
        <v>89</v>
      </c>
      <c r="V58" s="16">
        <v>2</v>
      </c>
      <c r="W58" s="16">
        <v>298</v>
      </c>
      <c r="X58"/>
      <c r="Y58" s="16">
        <v>108</v>
      </c>
      <c r="Z58" s="16">
        <v>182</v>
      </c>
      <c r="AA58" s="172">
        <v>0</v>
      </c>
      <c r="AB58"/>
      <c r="AC58" s="171">
        <v>45427</v>
      </c>
      <c r="AD58" s="171"/>
    </row>
    <row r="59" spans="1:30" ht="66" x14ac:dyDescent="0.25">
      <c r="A59" s="16">
        <v>51</v>
      </c>
      <c r="B59" s="18" t="s">
        <v>696</v>
      </c>
      <c r="C59" s="109">
        <v>45424</v>
      </c>
      <c r="D59" s="273" t="s">
        <v>916</v>
      </c>
      <c r="E59" s="144" t="s">
        <v>796</v>
      </c>
      <c r="F59" s="208" t="s">
        <v>660</v>
      </c>
      <c r="G59" s="207" t="s">
        <v>917</v>
      </c>
      <c r="H59" s="263">
        <v>45424</v>
      </c>
      <c r="I59" s="263">
        <v>45424</v>
      </c>
      <c r="J59" s="151" t="s">
        <v>978</v>
      </c>
      <c r="K59" s="250" t="s">
        <v>983</v>
      </c>
      <c r="L59" s="97" t="str">
        <f t="shared" si="41"/>
        <v xml:space="preserve">Исп. схема № 61.17-АР-51 от 12.05.2024. Грунтование перегородок и облицовок, в т.ч. откосов на 2 этаже. в/о А-В/5-10; АОРПИ № АИР 1.2-61.17-АР/24 от 30.01.2024г. </v>
      </c>
      <c r="M59" s="175" t="s">
        <v>251</v>
      </c>
      <c r="N59" s="161" t="s">
        <v>177</v>
      </c>
      <c r="O59" s="6" t="s">
        <v>240</v>
      </c>
      <c r="P59" s="111" t="s">
        <v>197</v>
      </c>
      <c r="Q59" s="111" t="s">
        <v>198</v>
      </c>
      <c r="R59" s="111" t="s">
        <v>199</v>
      </c>
      <c r="S59" s="27" t="s">
        <v>172</v>
      </c>
      <c r="T59" s="24" t="s">
        <v>82</v>
      </c>
      <c r="U59" s="150" t="s">
        <v>89</v>
      </c>
      <c r="V59" s="16">
        <v>2</v>
      </c>
      <c r="W59" s="16">
        <v>298</v>
      </c>
      <c r="X59"/>
      <c r="Y59" s="172">
        <v>0</v>
      </c>
      <c r="Z59" s="16">
        <v>182</v>
      </c>
      <c r="AA59" s="172">
        <v>0</v>
      </c>
      <c r="AB59"/>
      <c r="AC59" s="171">
        <v>45424</v>
      </c>
      <c r="AD59" s="171"/>
    </row>
    <row r="60" spans="1:30" ht="118.8" x14ac:dyDescent="0.25">
      <c r="A60" s="16">
        <v>52</v>
      </c>
      <c r="B60" s="18" t="s">
        <v>697</v>
      </c>
      <c r="C60" s="109">
        <f t="shared" ref="C60" si="49">I60</f>
        <v>45435</v>
      </c>
      <c r="D60" s="240" t="s">
        <v>918</v>
      </c>
      <c r="E60" s="144" t="s">
        <v>796</v>
      </c>
      <c r="F60" s="253" t="s">
        <v>436</v>
      </c>
      <c r="G60" s="232" t="s">
        <v>919</v>
      </c>
      <c r="H60" s="251">
        <v>45434</v>
      </c>
      <c r="I60" s="251">
        <v>45435</v>
      </c>
      <c r="J60" s="151" t="s">
        <v>978</v>
      </c>
      <c r="K60" s="17" t="s">
        <v>205</v>
      </c>
      <c r="L60" s="97" t="str">
        <f t="shared" si="41"/>
        <v xml:space="preserve">Исп. схема № 61.17-АР-52 от 23.05.2024. Окраска в 2 слоя перегородок и облицовок, в т.ч. откосов на 2 этаже в/о А-В/5-10; АОРПИ: № АИР 1.2-61.17-АР/60 от 16.02.2024г. </v>
      </c>
      <c r="M60" s="188" t="s">
        <v>252</v>
      </c>
      <c r="N60" s="189" t="s">
        <v>207</v>
      </c>
      <c r="O60" s="6" t="s">
        <v>240</v>
      </c>
      <c r="P60" s="111" t="s">
        <v>197</v>
      </c>
      <c r="Q60" s="111" t="s">
        <v>198</v>
      </c>
      <c r="R60" s="111" t="s">
        <v>199</v>
      </c>
      <c r="S60" s="27" t="s">
        <v>172</v>
      </c>
      <c r="T60" s="24" t="s">
        <v>82</v>
      </c>
      <c r="U60" s="150" t="s">
        <v>89</v>
      </c>
      <c r="V60" s="16">
        <f t="shared" ref="V60" si="50">IF(AND(C60&gt;=DATE(2023,1,9),C60&lt;=DATE(2024,5,31)),2,
IF(AND(C60&gt;=DATE(2024,6,1),C60&lt;=DATE(2024,12,30)),"25/2",0))</f>
        <v>2</v>
      </c>
      <c r="W60" s="16">
        <f t="shared" ref="W60" si="51">IF(AND(C60&gt;=DATE(2023,10,17),C60&lt;=DATE(2024,2,14)),775,
IF(AND(C60&gt;=DATE(2024,2,15),C60&lt;=DATE(2024,2,21)),125,
IF(AND(C60&gt;=DATE(2024,2,22),C60&lt;=DATE(2024,4,4)),127,
IF(AND(C60&gt;=DATE(2024,4,5),C60&lt;=DATE(2024,8,21)),298,IF(AND(C60&gt;=DATE(2024,8,22),C60&lt;=DATE(2024,12,30)),422,0)))))</f>
        <v>298</v>
      </c>
      <c r="Y60" s="16">
        <f t="shared" ref="Y60" si="52">IF(AND(C60&gt;=DATE(2024,1,25),C60&lt;=DATE(2024,2,25)),798,
IF(AND(C60&gt;=DATE(2024,3,12),C60&lt;=DATE(2024,4,14)),68,
IF(AND(C60&gt;=DATE(2024,4,25),C60&lt;=DATE(2024,5,2)),108,
IF(AND(C60&gt;=DATE(2024,5,14),C60&lt;=DATE(2024,5,29)),108, IF(AND(C60&gt;=DATE(2024,6,25),C60&lt;=DATE(2024,8,4)),248, IF(AND(C60&gt;=DATE(2024,8,21),C60&lt;=DATE(2024,9,22)),357, IF(AND(C60&gt;=DATE(2024,10,18),C60&lt;=DATE(2024,11,12)),480,0)))))))</f>
        <v>108</v>
      </c>
      <c r="Z60" s="16">
        <f t="shared" ref="Z60" si="53">IF(AND(C60&gt;=DATE(2023,11,24),C60&lt;=DATE(2023,12,21)),631,
IF(AND(C60&gt;=DATE(2024,1,10),C60&lt;=DATE(2024,2,15)),798,
IF(AND(C60&gt;=DATE(2024,2,29),C60&lt;=DATE(2024,4,11)),27,
IF(AND(C60&gt;=DATE(2024,5,7),C60&lt;=DATE(2024,6,13)),182,IF(AND(C60&gt;=DATE(2024,7,11),C60&lt;=DATE(2024,8,21)),290,IF(AND(C60&gt;=DATE(2024,9,6),C60&lt;=DATE(2024,10,16)),419,0))))))</f>
        <v>182</v>
      </c>
      <c r="AA60" s="172">
        <f t="shared" ref="AA60" si="54">IF(AND(C60&gt;=DATE(2023,10,10),C60&lt;=DATE(2023,11,21)),576,
IF(AND(C60&gt;=DATE(2023,12,6),C60&lt;=DATE(2023,12,25)),709,
IF(AND(C60&gt;=DATE(2024,1,4),C60&lt;=DATE(2024,1,25)),798,
IF(AND(C60&gt;=DATE(2024,2,8),C60&lt;=DATE(2024,3,12)),27, IF(AND(C60&gt;=DATE(2024,4,2),C60&lt;=DATE(2024,5,7)),108, IF(AND(C60&gt;=DATE(2024,6,5),C60&lt;=DATE(2024,7,17)),248,  IF(AND(C60&gt;=DATE(2024,7,31),C60&lt;=DATE(2024,9,1)),290, IF(AND(C60&gt;=DATE(2024,10,8),C60&lt;=DATE(2024,11,1)),480,0))))))))</f>
        <v>0</v>
      </c>
      <c r="AC60" s="171">
        <f t="shared" ref="AC60" si="55">C60</f>
        <v>45435</v>
      </c>
      <c r="AD60" s="171"/>
    </row>
    <row r="61" spans="1:30" ht="79.2" x14ac:dyDescent="0.25">
      <c r="A61" s="16">
        <v>53</v>
      </c>
      <c r="B61" s="18" t="s">
        <v>698</v>
      </c>
      <c r="C61" s="109">
        <f>I61</f>
        <v>45428</v>
      </c>
      <c r="D61" s="273" t="s">
        <v>991</v>
      </c>
      <c r="E61" s="144" t="s">
        <v>796</v>
      </c>
      <c r="F61" s="204" t="str">
        <f>CONCATENATE("Материалы согласно реестру к п.3 № ",реестр!B61," от ",TEXT(реестр!C61,"ДД.ММ.ГГГГ"))</f>
        <v>Материалы согласно реестру к п.3 № АИР-М-1.2-61.17-АР-53 от 16.05.2024</v>
      </c>
      <c r="G61" s="207" t="s">
        <v>920</v>
      </c>
      <c r="H61" s="254">
        <v>45425</v>
      </c>
      <c r="I61" s="254">
        <v>45428</v>
      </c>
      <c r="J61" s="151" t="s">
        <v>978</v>
      </c>
      <c r="K61" s="250" t="s">
        <v>205</v>
      </c>
      <c r="L61" s="97" t="str">
        <f t="shared" si="41"/>
        <v xml:space="preserve">Исп. схема № 61.17-АР-53 от 16.05.2024. Укладка керамической плитки и запирка швов по перегородкам и облицовкам на 2 этаже в/о А-В/5-10; АОРПИ № АИР 1.2-61.17-АР/49 от 16.02.2024г., № АИР 1.2-61.17-АР/20Г от 30.09.2023г. </v>
      </c>
      <c r="M61" s="188" t="s">
        <v>252</v>
      </c>
      <c r="N61" s="189" t="s">
        <v>207</v>
      </c>
      <c r="O61" s="6" t="s">
        <v>240</v>
      </c>
      <c r="P61" s="111" t="s">
        <v>197</v>
      </c>
      <c r="Q61" s="111" t="s">
        <v>198</v>
      </c>
      <c r="R61" s="111" t="s">
        <v>199</v>
      </c>
      <c r="S61" s="27" t="s">
        <v>172</v>
      </c>
      <c r="T61" s="24" t="s">
        <v>82</v>
      </c>
      <c r="U61" s="150" t="s">
        <v>89</v>
      </c>
      <c r="V61" s="16">
        <f>IF(AND(C61&gt;=DATE(2023,1,9),C61&lt;=DATE(2024,5,31)),2,
IF(AND(C61&gt;=DATE(2024,6,1),C61&lt;=DATE(2024,12,30)),"25/2",0))</f>
        <v>2</v>
      </c>
      <c r="W61" s="16">
        <f>IF(AND(C61&gt;=DATE(2023,10,17),C61&lt;=DATE(2024,2,14)),775,
IF(AND(C61&gt;=DATE(2024,2,15),C61&lt;=DATE(2024,2,21)),125,
IF(AND(C61&gt;=DATE(2024,2,22),C61&lt;=DATE(2024,4,4)),127,
IF(AND(C61&gt;=DATE(2024,4,5),C61&lt;=DATE(2024,8,21)),298,IF(AND(C61&gt;=DATE(2024,8,22),C61&lt;=DATE(2024,12,30)),422,0)))))</f>
        <v>298</v>
      </c>
      <c r="Y61" s="16">
        <f>IF(AND(C61&gt;=DATE(2024,1,25),C61&lt;=DATE(2024,2,25)),798,
IF(AND(C61&gt;=DATE(2024,3,12),C61&lt;=DATE(2024,4,14)),68,
IF(AND(C61&gt;=DATE(2024,4,25),C61&lt;=DATE(2024,5,2)),108,
IF(AND(C61&gt;=DATE(2024,5,14),C61&lt;=DATE(2024,5,29)),108, IF(AND(C61&gt;=DATE(2024,6,25),C61&lt;=DATE(2024,8,4)),248, IF(AND(C61&gt;=DATE(2024,8,21),C61&lt;=DATE(2024,9,22)),357, IF(AND(C61&gt;=DATE(2024,10,18),C61&lt;=DATE(2024,11,12)),480,0)))))))</f>
        <v>108</v>
      </c>
      <c r="Z61" s="16">
        <f>IF(AND(C61&gt;=DATE(2023,11,24),C61&lt;=DATE(2023,12,21)),631,
IF(AND(C61&gt;=DATE(2024,1,10),C61&lt;=DATE(2024,2,15)),798,
IF(AND(C61&gt;=DATE(2024,2,29),C61&lt;=DATE(2024,4,11)),27,
IF(AND(C61&gt;=DATE(2024,5,7),C61&lt;=DATE(2024,6,13)),182,IF(AND(C61&gt;=DATE(2024,7,11),C61&lt;=DATE(2024,8,21)),290,IF(AND(C61&gt;=DATE(2024,9,6),C61&lt;=DATE(2024,10,16)),419,0))))))</f>
        <v>182</v>
      </c>
      <c r="AA61" s="172">
        <f>IF(AND(C61&gt;=DATE(2023,10,10),C61&lt;=DATE(2023,11,21)),576,
IF(AND(C61&gt;=DATE(2023,12,6),C61&lt;=DATE(2023,12,25)),709,
IF(AND(C61&gt;=DATE(2024,1,4),C61&lt;=DATE(2024,1,25)),798,
IF(AND(C61&gt;=DATE(2024,2,8),C61&lt;=DATE(2024,3,12)),27, IF(AND(C61&gt;=DATE(2024,4,2),C61&lt;=DATE(2024,5,7)),108, IF(AND(C61&gt;=DATE(2024,6,5),C61&lt;=DATE(2024,7,17)),248,  IF(AND(C61&gt;=DATE(2024,7,31),C61&lt;=DATE(2024,9,1)),290, IF(AND(C61&gt;=DATE(2024,10,8),C61&lt;=DATE(2024,11,1)),480,0))))))))</f>
        <v>0</v>
      </c>
      <c r="AC61" s="171">
        <f>C61</f>
        <v>45428</v>
      </c>
      <c r="AD61" s="171"/>
    </row>
    <row r="62" spans="1:30" ht="79.2" x14ac:dyDescent="0.25">
      <c r="A62" s="16">
        <v>54</v>
      </c>
      <c r="B62" s="18" t="s">
        <v>699</v>
      </c>
      <c r="C62" s="109">
        <f t="shared" si="25"/>
        <v>45416</v>
      </c>
      <c r="D62" s="241" t="s">
        <v>776</v>
      </c>
      <c r="E62" s="144" t="s">
        <v>743</v>
      </c>
      <c r="F62" s="242" t="str">
        <f>CONCATENATE("Материалы согласно реестру к п.3 № ",реестр!B62," от ",TEXT(реестр!C62,"ДД.ММ.ГГГГ"))</f>
        <v>Материалы согласно реестру к п.3 № АИР-М-1.2-61.17-АР-54 от 04.05.2024</v>
      </c>
      <c r="G62" s="230" t="s">
        <v>921</v>
      </c>
      <c r="H62" s="244">
        <v>45414</v>
      </c>
      <c r="I62" s="244">
        <v>45416</v>
      </c>
      <c r="J62" s="201" t="s">
        <v>979</v>
      </c>
      <c r="K62" s="250" t="s">
        <v>226</v>
      </c>
      <c r="L62" s="97" t="str">
        <f t="shared" si="41"/>
        <v>Исп. схема № 61.17-АР-54 от 04.05.2024.  Монтаж внутренних противопожарных дверных блоков 1 этажа в/о А-В/4-10; АОРПИ: № АИР 1.2-61.17-АР/59 от 23.11.2023г., № АИР 1.2-61.17-АР/62 от 16.11.2023г., № АИР 1.2-61.17-АР/63 от 20.11.2023г.</v>
      </c>
      <c r="M62" s="190" t="s">
        <v>542</v>
      </c>
      <c r="N62" s="191" t="s">
        <v>249</v>
      </c>
      <c r="O62" s="6" t="s">
        <v>240</v>
      </c>
      <c r="P62" s="111" t="s">
        <v>197</v>
      </c>
      <c r="Q62" s="111" t="s">
        <v>198</v>
      </c>
      <c r="R62" s="111" t="s">
        <v>199</v>
      </c>
      <c r="S62" s="27" t="s">
        <v>172</v>
      </c>
      <c r="T62" s="24" t="s">
        <v>82</v>
      </c>
      <c r="U62" s="150" t="s">
        <v>89</v>
      </c>
      <c r="V62" s="16">
        <f t="shared" ref="V62:V68" si="56">IF(AND(C62&gt;=DATE(2023,1,9),C62&lt;=DATE(2024,5,31)),2,
IF(AND(C62&gt;=DATE(2024,6,1),C62&lt;=DATE(2024,12,30)),"25/2",0))</f>
        <v>2</v>
      </c>
      <c r="W62" s="16">
        <f t="shared" ref="W62:W68" si="57">IF(AND(C62&gt;=DATE(2023,10,17),C62&lt;=DATE(2024,2,14)),775,
IF(AND(C62&gt;=DATE(2024,2,15),C62&lt;=DATE(2024,2,21)),125,
IF(AND(C62&gt;=DATE(2024,2,22),C62&lt;=DATE(2024,4,4)),127,
IF(AND(C62&gt;=DATE(2024,4,5),C62&lt;=DATE(2024,8,21)),298,IF(AND(C62&gt;=DATE(2024,8,22),C62&lt;=DATE(2024,12,30)),422,0)))))</f>
        <v>298</v>
      </c>
      <c r="Y62" s="172">
        <f t="shared" ref="Y62:Y68" si="58">IF(AND(C62&gt;=DATE(2024,1,25),C62&lt;=DATE(2024,2,25)),798,
IF(AND(C62&gt;=DATE(2024,3,12),C62&lt;=DATE(2024,4,14)),68,
IF(AND(C62&gt;=DATE(2024,4,25),C62&lt;=DATE(2024,5,2)),108,
IF(AND(C62&gt;=DATE(2024,5,14),C62&lt;=DATE(2024,5,29)),108, IF(AND(C62&gt;=DATE(2024,6,25),C62&lt;=DATE(2024,8,4)),248, IF(AND(C62&gt;=DATE(2024,8,21),C62&lt;=DATE(2024,9,22)),357, IF(AND(C62&gt;=DATE(2024,10,18),C62&lt;=DATE(2024,11,12)),480,0)))))))</f>
        <v>0</v>
      </c>
      <c r="Z62" s="172">
        <f t="shared" ref="Z62:Z68" si="59">IF(AND(C62&gt;=DATE(2023,11,24),C62&lt;=DATE(2023,12,21)),631,
IF(AND(C62&gt;=DATE(2024,1,10),C62&lt;=DATE(2024,2,15)),798,
IF(AND(C62&gt;=DATE(2024,2,29),C62&lt;=DATE(2024,4,11)),27,
IF(AND(C62&gt;=DATE(2024,5,7),C62&lt;=DATE(2024,6,13)),182,IF(AND(C62&gt;=DATE(2024,7,11),C62&lt;=DATE(2024,8,21)),290,IF(AND(C62&gt;=DATE(2024,9,6),C62&lt;=DATE(2024,10,16)),419,0))))))</f>
        <v>0</v>
      </c>
      <c r="AA62" s="16">
        <f t="shared" ref="AA62:AA68" si="60">IF(AND(C62&gt;=DATE(2023,10,10),C62&lt;=DATE(2023,11,21)),576,
IF(AND(C62&gt;=DATE(2023,12,6),C62&lt;=DATE(2023,12,25)),709,
IF(AND(C62&gt;=DATE(2024,1,4),C62&lt;=DATE(2024,1,25)),798,
IF(AND(C62&gt;=DATE(2024,2,8),C62&lt;=DATE(2024,3,12)),27, IF(AND(C62&gt;=DATE(2024,4,2),C62&lt;=DATE(2024,5,7)),108, IF(AND(C62&gt;=DATE(2024,6,5),C62&lt;=DATE(2024,7,17)),248,  IF(AND(C62&gt;=DATE(2024,7,31),C62&lt;=DATE(2024,9,1)),290, IF(AND(C62&gt;=DATE(2024,10,8),C62&lt;=DATE(2024,11,1)),480,0))))))))</f>
        <v>108</v>
      </c>
      <c r="AC62" s="171">
        <f t="shared" si="32"/>
        <v>45416</v>
      </c>
      <c r="AD62" s="171"/>
    </row>
    <row r="63" spans="1:30" ht="66" x14ac:dyDescent="0.25">
      <c r="A63" s="16">
        <v>55</v>
      </c>
      <c r="B63" s="18" t="s">
        <v>700</v>
      </c>
      <c r="C63" s="109">
        <f t="shared" si="25"/>
        <v>45417</v>
      </c>
      <c r="D63" s="241" t="s">
        <v>785</v>
      </c>
      <c r="E63" s="144" t="s">
        <v>779</v>
      </c>
      <c r="F63" s="242" t="s">
        <v>294</v>
      </c>
      <c r="G63" s="230" t="s">
        <v>922</v>
      </c>
      <c r="H63" s="244">
        <v>45415</v>
      </c>
      <c r="I63" s="244">
        <v>45417</v>
      </c>
      <c r="J63" s="201" t="s">
        <v>979</v>
      </c>
      <c r="K63" s="250" t="s">
        <v>228</v>
      </c>
      <c r="L63" s="97" t="str">
        <f t="shared" si="41"/>
        <v xml:space="preserve">Исп. схема № 61.17-АР-55 от 05.05.2024. Монтаж внутренних дверных МДФ блоков на 1 этаже в/о Б-В/5-1; АОРПИ: № АИР 1.2-61.17-АР/54 от 22.03.2024г. </v>
      </c>
      <c r="M63" s="190" t="s">
        <v>542</v>
      </c>
      <c r="N63" s="191" t="s">
        <v>249</v>
      </c>
      <c r="O63" s="6" t="s">
        <v>240</v>
      </c>
      <c r="P63" s="111" t="s">
        <v>197</v>
      </c>
      <c r="Q63" s="111" t="s">
        <v>198</v>
      </c>
      <c r="R63" s="111" t="s">
        <v>199</v>
      </c>
      <c r="S63" s="27" t="s">
        <v>172</v>
      </c>
      <c r="T63" s="24" t="s">
        <v>82</v>
      </c>
      <c r="U63" s="150" t="s">
        <v>89</v>
      </c>
      <c r="V63" s="16">
        <f>IF(AND(C63&gt;=DATE(2023,1,9),C63&lt;=DATE(2024,5,31)),2,
IF(AND(C63&gt;=DATE(2024,6,1),C63&lt;=DATE(2024,12,30)),"25/2",0))</f>
        <v>2</v>
      </c>
      <c r="W63" s="16">
        <f>IF(AND(C63&gt;=DATE(2023,10,17),C63&lt;=DATE(2024,2,14)),775,
IF(AND(C63&gt;=DATE(2024,2,15),C63&lt;=DATE(2024,2,21)),125,
IF(AND(C63&gt;=DATE(2024,2,22),C63&lt;=DATE(2024,4,4)),127,
IF(AND(C63&gt;=DATE(2024,4,5),C63&lt;=DATE(2024,8,21)),298,IF(AND(C63&gt;=DATE(2024,8,22),C63&lt;=DATE(2024,12,30)),422,0)))))</f>
        <v>298</v>
      </c>
      <c r="Y63" s="172">
        <f>IF(AND(C63&gt;=DATE(2024,1,25),C63&lt;=DATE(2024,2,25)),798,
IF(AND(C63&gt;=DATE(2024,3,12),C63&lt;=DATE(2024,4,14)),68,
IF(AND(C63&gt;=DATE(2024,4,25),C63&lt;=DATE(2024,5,2)),108,
IF(AND(C63&gt;=DATE(2024,5,14),C63&lt;=DATE(2024,5,29)),108, IF(AND(C63&gt;=DATE(2024,6,25),C63&lt;=DATE(2024,8,4)),248, IF(AND(C63&gt;=DATE(2024,8,21),C63&lt;=DATE(2024,9,22)),357, IF(AND(C63&gt;=DATE(2024,10,18),C63&lt;=DATE(2024,11,12)),480,0)))))))</f>
        <v>0</v>
      </c>
      <c r="Z63" s="172">
        <f>IF(AND(C63&gt;=DATE(2023,11,24),C63&lt;=DATE(2023,12,21)),631,
IF(AND(C63&gt;=DATE(2024,1,10),C63&lt;=DATE(2024,2,15)),798,
IF(AND(C63&gt;=DATE(2024,2,29),C63&lt;=DATE(2024,4,11)),27,
IF(AND(C63&gt;=DATE(2024,5,7),C63&lt;=DATE(2024,6,13)),182,IF(AND(C63&gt;=DATE(2024,7,11),C63&lt;=DATE(2024,8,21)),290,IF(AND(C63&gt;=DATE(2024,9,6),C63&lt;=DATE(2024,10,16)),419,0))))))</f>
        <v>0</v>
      </c>
      <c r="AA63" s="16">
        <f>IF(AND(C63&gt;=DATE(2023,10,10),C63&lt;=DATE(2023,11,21)),576,
IF(AND(C63&gt;=DATE(2023,12,6),C63&lt;=DATE(2023,12,25)),709,
IF(AND(C63&gt;=DATE(2024,1,4),C63&lt;=DATE(2024,1,25)),798,
IF(AND(C63&gt;=DATE(2024,2,8),C63&lt;=DATE(2024,3,12)),27, IF(AND(C63&gt;=DATE(2024,4,2),C63&lt;=DATE(2024,5,7)),108, IF(AND(C63&gt;=DATE(2024,6,5),C63&lt;=DATE(2024,7,17)),248,  IF(AND(C63&gt;=DATE(2024,7,31),C63&lt;=DATE(2024,9,1)),290, IF(AND(C63&gt;=DATE(2024,10,8),C63&lt;=DATE(2024,11,1)),480,0))))))))</f>
        <v>108</v>
      </c>
      <c r="AC63" s="171">
        <f t="shared" si="32"/>
        <v>45417</v>
      </c>
      <c r="AD63" s="171"/>
    </row>
    <row r="64" spans="1:30" ht="66" x14ac:dyDescent="0.25">
      <c r="A64" s="16">
        <v>56</v>
      </c>
      <c r="B64" s="18" t="s">
        <v>701</v>
      </c>
      <c r="C64" s="109">
        <f t="shared" si="25"/>
        <v>45417</v>
      </c>
      <c r="D64" s="241" t="s">
        <v>777</v>
      </c>
      <c r="E64" s="144" t="s">
        <v>778</v>
      </c>
      <c r="F64" s="242" t="str">
        <f>CONCATENATE("Материалы согласно реестру к п.3 № ",реестр!B64," от ",TEXT(реестр!C64,"ДД.ММ.ГГГГ"))</f>
        <v>Материалы согласно реестру к п.3 № АИР-М-1.2-61.17-АР-56 от 05.05.2024</v>
      </c>
      <c r="G64" s="230" t="s">
        <v>923</v>
      </c>
      <c r="H64" s="244">
        <v>45417</v>
      </c>
      <c r="I64" s="244">
        <v>45417</v>
      </c>
      <c r="J64" s="201" t="s">
        <v>979</v>
      </c>
      <c r="K64" s="162" t="s">
        <v>227</v>
      </c>
      <c r="L64" s="97" t="str">
        <f t="shared" si="41"/>
        <v>Исп. схема № 61.17-АР-56 от 05.05.2024. Заполнение монтажных зазоров внутренних противопожарных дверных блоков 1 этажа в/о А-В/5-10</v>
      </c>
      <c r="M64" s="190" t="s">
        <v>542</v>
      </c>
      <c r="N64" s="191" t="s">
        <v>249</v>
      </c>
      <c r="O64" s="6" t="s">
        <v>240</v>
      </c>
      <c r="P64" s="111" t="s">
        <v>197</v>
      </c>
      <c r="Q64" s="111" t="s">
        <v>198</v>
      </c>
      <c r="R64" s="111" t="s">
        <v>199</v>
      </c>
      <c r="S64" s="27" t="s">
        <v>172</v>
      </c>
      <c r="T64" s="24" t="s">
        <v>82</v>
      </c>
      <c r="U64" s="150" t="s">
        <v>89</v>
      </c>
      <c r="V64" s="16">
        <f t="shared" si="56"/>
        <v>2</v>
      </c>
      <c r="W64" s="16">
        <f t="shared" si="57"/>
        <v>298</v>
      </c>
      <c r="Y64" s="172">
        <f t="shared" si="58"/>
        <v>0</v>
      </c>
      <c r="Z64" s="172">
        <f t="shared" si="59"/>
        <v>0</v>
      </c>
      <c r="AA64" s="16">
        <f t="shared" si="60"/>
        <v>108</v>
      </c>
      <c r="AC64" s="171">
        <f t="shared" si="32"/>
        <v>45417</v>
      </c>
      <c r="AD64" s="171"/>
    </row>
    <row r="65" spans="1:30" ht="66" x14ac:dyDescent="0.25">
      <c r="A65" s="16">
        <v>57</v>
      </c>
      <c r="B65" s="18" t="s">
        <v>702</v>
      </c>
      <c r="C65" s="109">
        <f t="shared" si="25"/>
        <v>45420</v>
      </c>
      <c r="D65" s="241" t="s">
        <v>780</v>
      </c>
      <c r="E65" s="144" t="s">
        <v>782</v>
      </c>
      <c r="F65" s="242" t="str">
        <f>CONCATENATE("Материалы согласно реестру к п.3 № ",реестр!B65," от ",TEXT(реестр!C65,"ДД.ММ.ГГГГ"))</f>
        <v>Материалы согласно реестру к п.3 № АИР-М-1.2-61.17-АР-57 от 08.05.2024</v>
      </c>
      <c r="G65" s="230" t="s">
        <v>924</v>
      </c>
      <c r="H65" s="244">
        <v>45417</v>
      </c>
      <c r="I65" s="244">
        <v>45420</v>
      </c>
      <c r="J65" s="201" t="s">
        <v>979</v>
      </c>
      <c r="K65" s="250" t="s">
        <v>226</v>
      </c>
      <c r="L65" s="97" t="str">
        <f t="shared" si="41"/>
        <v>Исп. схема № 61.17-АР-57 от 08.05.2024. Монтаж внутренних противопожарных дверных блоков 2 этажа в/о А-В/5-10; АОРПИ: № АИР 1.2-56-АР/59 от 23.11.2023г., № АИР 1.2-56-АР/62 от 16.11.2023г., № АИР 1.2-56-АР/63 от 20.11.2023г.</v>
      </c>
      <c r="M65" s="175" t="s">
        <v>251</v>
      </c>
      <c r="N65" s="161" t="s">
        <v>177</v>
      </c>
      <c r="O65" s="6" t="s">
        <v>240</v>
      </c>
      <c r="P65" s="111" t="s">
        <v>197</v>
      </c>
      <c r="Q65" s="111" t="s">
        <v>198</v>
      </c>
      <c r="R65" s="111" t="s">
        <v>199</v>
      </c>
      <c r="S65" s="27" t="s">
        <v>172</v>
      </c>
      <c r="T65" s="24" t="s">
        <v>82</v>
      </c>
      <c r="U65" s="150" t="s">
        <v>89</v>
      </c>
      <c r="V65" s="16">
        <f t="shared" si="56"/>
        <v>2</v>
      </c>
      <c r="W65" s="16">
        <f t="shared" si="57"/>
        <v>298</v>
      </c>
      <c r="Y65" s="172">
        <f t="shared" si="58"/>
        <v>0</v>
      </c>
      <c r="Z65" s="172">
        <f t="shared" si="59"/>
        <v>182</v>
      </c>
      <c r="AA65" s="16">
        <f t="shared" si="60"/>
        <v>0</v>
      </c>
      <c r="AC65" s="171">
        <f t="shared" si="32"/>
        <v>45420</v>
      </c>
      <c r="AD65" s="171"/>
    </row>
    <row r="66" spans="1:30" ht="66" x14ac:dyDescent="0.25">
      <c r="A66" s="16">
        <v>58</v>
      </c>
      <c r="B66" s="18" t="s">
        <v>703</v>
      </c>
      <c r="C66" s="109">
        <f t="shared" ref="C66:C69" si="61">I66</f>
        <v>45422</v>
      </c>
      <c r="D66" s="241" t="s">
        <v>783</v>
      </c>
      <c r="E66" s="144" t="s">
        <v>784</v>
      </c>
      <c r="F66" s="242" t="str">
        <f>CONCATENATE("Материалы согласно реестру к п.3 № ",реестр!B66," от ",TEXT(реестр!C66,"ДД.ММ.ГГГГ"))</f>
        <v>Материалы согласно реестру к п.3 № АИР-М-1.2-61.17-АР-58 от 10.05.2024</v>
      </c>
      <c r="G66" s="230" t="s">
        <v>988</v>
      </c>
      <c r="H66" s="244">
        <v>45421</v>
      </c>
      <c r="I66" s="244">
        <v>45422</v>
      </c>
      <c r="J66" s="201" t="s">
        <v>979</v>
      </c>
      <c r="K66" s="162" t="s">
        <v>227</v>
      </c>
      <c r="L66" s="97" t="str">
        <f t="shared" si="41"/>
        <v>Исп. схема № 61.17-АР-58 от 10.05.2024. Заполнение монтажных зазоров внутренних противопожарных дверных блоков 2 этажа в/о А-В/5-10</v>
      </c>
      <c r="M66" s="175" t="s">
        <v>251</v>
      </c>
      <c r="N66" s="161" t="s">
        <v>177</v>
      </c>
      <c r="O66" s="6" t="s">
        <v>240</v>
      </c>
      <c r="P66" s="111" t="s">
        <v>197</v>
      </c>
      <c r="Q66" s="111" t="s">
        <v>198</v>
      </c>
      <c r="R66" s="111" t="s">
        <v>199</v>
      </c>
      <c r="S66" s="27" t="s">
        <v>172</v>
      </c>
      <c r="T66" s="24" t="s">
        <v>82</v>
      </c>
      <c r="U66" s="150" t="s">
        <v>89</v>
      </c>
      <c r="V66" s="16">
        <f t="shared" si="56"/>
        <v>2</v>
      </c>
      <c r="W66" s="16">
        <f t="shared" si="57"/>
        <v>298</v>
      </c>
      <c r="Y66" s="172">
        <f t="shared" si="58"/>
        <v>0</v>
      </c>
      <c r="Z66" s="172">
        <f t="shared" si="59"/>
        <v>182</v>
      </c>
      <c r="AA66" s="16">
        <f t="shared" si="60"/>
        <v>0</v>
      </c>
      <c r="AC66" s="171">
        <f t="shared" si="32"/>
        <v>45422</v>
      </c>
      <c r="AD66" s="171"/>
    </row>
    <row r="67" spans="1:30" ht="66" x14ac:dyDescent="0.25">
      <c r="A67" s="16">
        <v>59</v>
      </c>
      <c r="B67" s="18" t="s">
        <v>704</v>
      </c>
      <c r="C67" s="109">
        <f t="shared" si="61"/>
        <v>45424</v>
      </c>
      <c r="D67" s="241" t="s">
        <v>787</v>
      </c>
      <c r="E67" s="144" t="s">
        <v>781</v>
      </c>
      <c r="F67" s="242" t="s">
        <v>294</v>
      </c>
      <c r="G67" s="230" t="s">
        <v>925</v>
      </c>
      <c r="H67" s="244">
        <v>45418</v>
      </c>
      <c r="I67" s="244">
        <v>45424</v>
      </c>
      <c r="J67" s="201" t="s">
        <v>979</v>
      </c>
      <c r="K67" s="250" t="s">
        <v>228</v>
      </c>
      <c r="L67" s="97" t="str">
        <f t="shared" si="41"/>
        <v xml:space="preserve">Исп. схема № 61.17-АР-59 от 12.05.2024. Монтаж внутренних дверных МДФ блоков на 2 этаже в/о Б-В/5.1-10; АОРПИ № АИР 1.2-61.17-АР/54 от 22.03.2024г. </v>
      </c>
      <c r="M67" s="175" t="s">
        <v>251</v>
      </c>
      <c r="N67" s="161" t="s">
        <v>177</v>
      </c>
      <c r="O67" s="6" t="s">
        <v>240</v>
      </c>
      <c r="P67" s="111" t="s">
        <v>197</v>
      </c>
      <c r="Q67" s="111" t="s">
        <v>198</v>
      </c>
      <c r="R67" s="111" t="s">
        <v>199</v>
      </c>
      <c r="S67" s="27" t="s">
        <v>172</v>
      </c>
      <c r="T67" s="24" t="s">
        <v>82</v>
      </c>
      <c r="U67" s="150" t="s">
        <v>89</v>
      </c>
      <c r="V67" s="16">
        <f t="shared" si="56"/>
        <v>2</v>
      </c>
      <c r="W67" s="16">
        <f t="shared" si="57"/>
        <v>298</v>
      </c>
      <c r="Y67" s="172">
        <f t="shared" si="58"/>
        <v>0</v>
      </c>
      <c r="Z67" s="16">
        <f t="shared" si="59"/>
        <v>182</v>
      </c>
      <c r="AA67" s="172">
        <f t="shared" si="60"/>
        <v>0</v>
      </c>
      <c r="AC67" s="171">
        <f t="shared" si="32"/>
        <v>45424</v>
      </c>
      <c r="AD67" s="171"/>
    </row>
    <row r="68" spans="1:30" ht="79.2" x14ac:dyDescent="0.25">
      <c r="A68" s="16">
        <v>60</v>
      </c>
      <c r="B68" s="18" t="s">
        <v>705</v>
      </c>
      <c r="C68" s="109">
        <f t="shared" si="61"/>
        <v>45425</v>
      </c>
      <c r="D68" s="241" t="s">
        <v>788</v>
      </c>
      <c r="E68" s="144" t="s">
        <v>786</v>
      </c>
      <c r="F68" s="243" t="s">
        <v>257</v>
      </c>
      <c r="G68" s="230" t="s">
        <v>926</v>
      </c>
      <c r="H68" s="244">
        <v>45417</v>
      </c>
      <c r="I68" s="244">
        <v>45425</v>
      </c>
      <c r="J68" s="201" t="s">
        <v>979</v>
      </c>
      <c r="K68" s="250" t="s">
        <v>229</v>
      </c>
      <c r="L68" s="97" t="str">
        <f t="shared" si="41"/>
        <v>Исп. схема № 61.17-АР-60 от 13.05.2024. Заполнение монтажных зазоров дверных МДФ блоков на 1 этаже в/о Б-В/5-10, на 2 этаже в/о Б-В/5.1-10</v>
      </c>
      <c r="M68" s="175" t="s">
        <v>251</v>
      </c>
      <c r="N68" s="161" t="s">
        <v>177</v>
      </c>
      <c r="O68" s="6" t="s">
        <v>240</v>
      </c>
      <c r="P68" s="111" t="s">
        <v>197</v>
      </c>
      <c r="Q68" s="111" t="s">
        <v>198</v>
      </c>
      <c r="R68" s="111" t="s">
        <v>199</v>
      </c>
      <c r="S68" s="27" t="s">
        <v>172</v>
      </c>
      <c r="T68" s="24" t="s">
        <v>82</v>
      </c>
      <c r="U68" s="150" t="s">
        <v>89</v>
      </c>
      <c r="V68" s="16">
        <f t="shared" si="56"/>
        <v>2</v>
      </c>
      <c r="W68" s="16">
        <f t="shared" si="57"/>
        <v>298</v>
      </c>
      <c r="Y68" s="172">
        <f t="shared" si="58"/>
        <v>0</v>
      </c>
      <c r="Z68" s="172">
        <f t="shared" si="59"/>
        <v>182</v>
      </c>
      <c r="AA68" s="16">
        <f t="shared" si="60"/>
        <v>0</v>
      </c>
      <c r="AC68" s="171">
        <f t="shared" si="32"/>
        <v>45425</v>
      </c>
      <c r="AD68" s="171"/>
    </row>
    <row r="69" spans="1:30" ht="66" x14ac:dyDescent="0.25">
      <c r="A69" s="16">
        <v>61</v>
      </c>
      <c r="B69" s="18" t="s">
        <v>706</v>
      </c>
      <c r="C69" s="109">
        <f t="shared" si="61"/>
        <v>45418</v>
      </c>
      <c r="D69" s="241" t="s">
        <v>790</v>
      </c>
      <c r="E69" s="144" t="s">
        <v>789</v>
      </c>
      <c r="F69" s="204" t="str">
        <f>CONCATENATE("Материалы согласно реестру к п.3 № ",реестр!B69," от ",TEXT(реестр!C69,"ДД.ММ.ГГГГ"))</f>
        <v>Материалы согласно реестру к п.3 № АИР-М-1.2-61.17-АР-61 от 06.05.2024</v>
      </c>
      <c r="G69" s="209" t="s">
        <v>927</v>
      </c>
      <c r="H69" s="160">
        <v>45417</v>
      </c>
      <c r="I69" s="160">
        <v>45418</v>
      </c>
      <c r="J69" s="201" t="s">
        <v>979</v>
      </c>
      <c r="K69" s="162" t="s">
        <v>230</v>
      </c>
      <c r="L69" s="97" t="str">
        <f t="shared" si="41"/>
        <v xml:space="preserve">Исп. схема № 61.17-АР-61 от 06.05.2024. Монтаж подоконников 1 этажа в/о А-В/6-10 и 2 этажа в/о А-В/5-10; АОРПИ № АИР 1.2-61.17-АР/53 от 16.10.2023г. </v>
      </c>
      <c r="M69" s="190" t="s">
        <v>543</v>
      </c>
      <c r="N69" s="191" t="s">
        <v>249</v>
      </c>
      <c r="O69" s="6" t="s">
        <v>240</v>
      </c>
      <c r="P69" s="111" t="s">
        <v>197</v>
      </c>
      <c r="Q69" s="111" t="s">
        <v>198</v>
      </c>
      <c r="R69" s="111" t="s">
        <v>199</v>
      </c>
      <c r="S69" s="27" t="s">
        <v>172</v>
      </c>
      <c r="T69" s="24" t="s">
        <v>82</v>
      </c>
      <c r="U69" s="150" t="s">
        <v>89</v>
      </c>
      <c r="V69" s="16">
        <f t="shared" ref="V69" si="62">IF(AND(C69&gt;=DATE(2023,1,9),C69&lt;=DATE(2024,5,31)),2,
IF(AND(C69&gt;=DATE(2024,6,1),C69&lt;=DATE(2024,12,30)),"25/2",0))</f>
        <v>2</v>
      </c>
      <c r="W69" s="16">
        <f t="shared" ref="W69" si="63">IF(AND(C69&gt;=DATE(2023,10,17),C69&lt;=DATE(2024,2,14)),775,
IF(AND(C69&gt;=DATE(2024,2,15),C69&lt;=DATE(2024,2,21)),125,
IF(AND(C69&gt;=DATE(2024,2,22),C69&lt;=DATE(2024,4,4)),127,
IF(AND(C69&gt;=DATE(2024,4,5),C69&lt;=DATE(2024,8,21)),298,IF(AND(C69&gt;=DATE(2024,8,22),C69&lt;=DATE(2024,12,30)),422,0)))))</f>
        <v>298</v>
      </c>
      <c r="Y69" s="172">
        <f t="shared" ref="Y69" si="64">IF(AND(C69&gt;=DATE(2024,1,25),C69&lt;=DATE(2024,2,25)),798,
IF(AND(C69&gt;=DATE(2024,3,12),C69&lt;=DATE(2024,4,14)),68,
IF(AND(C69&gt;=DATE(2024,4,25),C69&lt;=DATE(2024,5,2)),108,
IF(AND(C69&gt;=DATE(2024,5,14),C69&lt;=DATE(2024,5,29)),108, IF(AND(C69&gt;=DATE(2024,6,25),C69&lt;=DATE(2024,8,4)),248, IF(AND(C69&gt;=DATE(2024,8,21),C69&lt;=DATE(2024,9,22)),357, IF(AND(C69&gt;=DATE(2024,10,18),C69&lt;=DATE(2024,11,12)),480,0)))))))</f>
        <v>0</v>
      </c>
      <c r="Z69" s="172">
        <f t="shared" ref="Z69" si="65">IF(AND(C69&gt;=DATE(2023,11,24),C69&lt;=DATE(2023,12,21)),631,
IF(AND(C69&gt;=DATE(2024,1,10),C69&lt;=DATE(2024,2,15)),798,
IF(AND(C69&gt;=DATE(2024,2,29),C69&lt;=DATE(2024,4,11)),27,
IF(AND(C69&gt;=DATE(2024,5,7),C69&lt;=DATE(2024,6,13)),182,IF(AND(C69&gt;=DATE(2024,7,11),C69&lt;=DATE(2024,8,21)),290,IF(AND(C69&gt;=DATE(2024,9,6),C69&lt;=DATE(2024,10,16)),419,0))))))</f>
        <v>0</v>
      </c>
      <c r="AA69" s="16">
        <f t="shared" ref="AA69" si="66">IF(AND(C69&gt;=DATE(2023,10,10),C69&lt;=DATE(2023,11,21)),576,
IF(AND(C69&gt;=DATE(2023,12,6),C69&lt;=DATE(2023,12,25)),709,
IF(AND(C69&gt;=DATE(2024,1,4),C69&lt;=DATE(2024,1,25)),798,
IF(AND(C69&gt;=DATE(2024,2,8),C69&lt;=DATE(2024,3,12)),27, IF(AND(C69&gt;=DATE(2024,4,2),C69&lt;=DATE(2024,5,7)),108, IF(AND(C69&gt;=DATE(2024,6,5),C69&lt;=DATE(2024,7,17)),248,  IF(AND(C69&gt;=DATE(2024,7,31),C69&lt;=DATE(2024,9,1)),290, IF(AND(C69&gt;=DATE(2024,10,8),C69&lt;=DATE(2024,11,1)),480,0))))))))</f>
        <v>108</v>
      </c>
      <c r="AC69" s="171">
        <f t="shared" ref="AC69" si="67">C69</f>
        <v>45418</v>
      </c>
      <c r="AD69" s="171"/>
    </row>
    <row r="70" spans="1:30" s="25" customFormat="1" ht="79.2" x14ac:dyDescent="0.25">
      <c r="A70" s="16">
        <v>62</v>
      </c>
      <c r="B70" s="18" t="s">
        <v>707</v>
      </c>
      <c r="C70" s="109">
        <f>I70</f>
        <v>45420</v>
      </c>
      <c r="D70" s="241" t="s">
        <v>890</v>
      </c>
      <c r="E70" s="266" t="s">
        <v>791</v>
      </c>
      <c r="F70" s="25" t="str">
        <f>CONCATENATE("Материалы согласно реестру к п.3 № ",реестр!B70," от ",TEXT(реестр!C70,"ДД.ММ.ГГГГ"))</f>
        <v>Материалы согласно реестру к п.3 № АИР-М-1.2-61.17-АР-62 от 08.05.2024</v>
      </c>
      <c r="G70" s="268" t="s">
        <v>928</v>
      </c>
      <c r="H70" s="246">
        <v>45418</v>
      </c>
      <c r="I70" s="246">
        <v>45420</v>
      </c>
      <c r="J70" s="269" t="s">
        <v>981</v>
      </c>
      <c r="K70" s="265" t="s">
        <v>458</v>
      </c>
      <c r="L70" s="97" t="str">
        <f t="shared" si="41"/>
        <v>Исп. схема № 61.17-АР-62 от 08.05.2024. Устройство откосов дверей и оконных проемов 1 этажа в/о А-В/1-10; АОРПИ: № АИР 1.2-61.17-АР/18 от 25.09.2023г., № АИР 1.2-61.17-АР/19 от 15.09.2023г., № АИР 1.2-61.17-АР/113 от 08.09.2023г.</v>
      </c>
      <c r="M70" s="271" t="s">
        <v>251</v>
      </c>
      <c r="N70" s="25" t="s">
        <v>177</v>
      </c>
      <c r="O70" s="25" t="s">
        <v>240</v>
      </c>
      <c r="P70" s="25" t="s">
        <v>197</v>
      </c>
      <c r="Q70" s="25" t="s">
        <v>198</v>
      </c>
      <c r="R70" s="25" t="s">
        <v>199</v>
      </c>
      <c r="S70" s="271" t="s">
        <v>172</v>
      </c>
      <c r="T70" s="25" t="s">
        <v>82</v>
      </c>
      <c r="U70" s="25" t="s">
        <v>89</v>
      </c>
      <c r="V70" s="25">
        <f>IF(AND(C70&gt;=DATE(2023,1,9),C70&lt;=DATE(2024,5,31)),2,
IF(AND(C70&gt;=DATE(2024,6,1),C70&lt;=DATE(2024,12,30)),"25/2",0))</f>
        <v>2</v>
      </c>
      <c r="W70" s="25">
        <f>IF(AND(C70&gt;=DATE(2023,10,17),C70&lt;=DATE(2024,2,14)),775,
IF(AND(C70&gt;=DATE(2024,2,15),C70&lt;=DATE(2024,2,21)),125,
IF(AND(C70&gt;=DATE(2024,2,22),C70&lt;=DATE(2024,4,4)),127,
IF(AND(C70&gt;=DATE(2024,4,5),C70&lt;=DATE(2024,8,21)),298,IF(AND(C70&gt;=DATE(2024,8,22),C70&lt;=DATE(2024,12,30)),422,0)))))</f>
        <v>298</v>
      </c>
      <c r="Y70" s="25">
        <f>IF(AND(C70&gt;=DATE(2024,1,25),C70&lt;=DATE(2024,2,25)),798,
IF(AND(C70&gt;=DATE(2024,3,12),C70&lt;=DATE(2024,4,14)),68,
IF(AND(C70&gt;=DATE(2024,4,25),C70&lt;=DATE(2024,5,2)),108,
IF(AND(C70&gt;=DATE(2024,5,14),C70&lt;=DATE(2024,5,29)),108, IF(AND(C70&gt;=DATE(2024,6,25),C70&lt;=DATE(2024,8,4)),248, IF(AND(C70&gt;=DATE(2024,8,21),C70&lt;=DATE(2024,9,22)),357, IF(AND(C70&gt;=DATE(2024,10,18),C70&lt;=DATE(2024,11,12)),480,0)))))))</f>
        <v>0</v>
      </c>
      <c r="Z70" s="25">
        <f>IF(AND(C70&gt;=DATE(2023,11,24),C70&lt;=DATE(2023,12,21)),631,
IF(AND(C70&gt;=DATE(2024,1,10),C70&lt;=DATE(2024,2,15)),798,
IF(AND(C70&gt;=DATE(2024,2,29),C70&lt;=DATE(2024,4,11)),27,
IF(AND(C70&gt;=DATE(2024,5,7),C70&lt;=DATE(2024,6,13)),182,IF(AND(C70&gt;=DATE(2024,7,11),C70&lt;=DATE(2024,8,21)),290,IF(AND(C70&gt;=DATE(2024,9,6),C70&lt;=DATE(2024,10,16)),419,0))))))</f>
        <v>182</v>
      </c>
      <c r="AA70" s="25">
        <f>IF(AND(C70&gt;=DATE(2023,10,10),C70&lt;=DATE(2023,11,21)),576,
IF(AND(C70&gt;=DATE(2023,12,6),C70&lt;=DATE(2023,12,25)),709,
IF(AND(C70&gt;=DATE(2024,1,4),C70&lt;=DATE(2024,1,25)),798,
IF(AND(C70&gt;=DATE(2024,2,8),C70&lt;=DATE(2024,3,12)),27, IF(AND(C70&gt;=DATE(2024,4,2),C70&lt;=DATE(2024,5,7)),108, IF(AND(C70&gt;=DATE(2024,6,5),C70&lt;=DATE(2024,7,17)),248,  IF(AND(C70&gt;=DATE(2024,7,31),C70&lt;=DATE(2024,9,1)),290, IF(AND(C70&gt;=DATE(2024,10,8),C70&lt;=DATE(2024,11,1)),480,0))))))))</f>
        <v>0</v>
      </c>
      <c r="AC70" s="272">
        <f>C70</f>
        <v>45420</v>
      </c>
      <c r="AD70" s="272"/>
    </row>
    <row r="71" spans="1:30" s="25" customFormat="1" ht="79.2" x14ac:dyDescent="0.25">
      <c r="A71" s="16">
        <v>63</v>
      </c>
      <c r="B71" s="18" t="s">
        <v>708</v>
      </c>
      <c r="C71" s="109">
        <f>I71</f>
        <v>45424</v>
      </c>
      <c r="D71" s="241" t="s">
        <v>891</v>
      </c>
      <c r="E71" s="266" t="s">
        <v>792</v>
      </c>
      <c r="F71" s="25" t="str">
        <f>CONCATENATE("Материалы согласно реестру к п.3 № ",реестр!B71," от ",TEXT(реестр!C71,"ДД.ММ.ГГГГ"))</f>
        <v>Материалы согласно реестру к п.3 № АИР-М-1.2-61.17-АР-63 от 12.05.2024</v>
      </c>
      <c r="G71" s="268" t="s">
        <v>929</v>
      </c>
      <c r="H71" s="246">
        <v>45419</v>
      </c>
      <c r="I71" s="246">
        <v>45424</v>
      </c>
      <c r="J71" s="269" t="s">
        <v>981</v>
      </c>
      <c r="K71" s="265" t="s">
        <v>458</v>
      </c>
      <c r="L71" s="97" t="str">
        <f t="shared" si="41"/>
        <v>Исп. схема № 61.17-АР-63 от 12.05.2024. Устройство откосов дверей и оконных проемов 2 этажа в/о А-В/5-10; АОРПИ: № АИР 1.2-61.17-АР/18 от 25.09.2023г., № АИР 1.2-61.17-АР/19 от 15.09.2023г., № АИР 1.2-61.17-АР/113 от 08.09.2023г.</v>
      </c>
      <c r="M71" s="271" t="s">
        <v>251</v>
      </c>
      <c r="N71" s="25" t="s">
        <v>177</v>
      </c>
      <c r="O71" s="25" t="s">
        <v>240</v>
      </c>
      <c r="P71" s="25" t="s">
        <v>197</v>
      </c>
      <c r="Q71" s="25" t="s">
        <v>198</v>
      </c>
      <c r="R71" s="25" t="s">
        <v>199</v>
      </c>
      <c r="S71" s="271" t="s">
        <v>172</v>
      </c>
      <c r="T71" s="25" t="s">
        <v>82</v>
      </c>
      <c r="U71" s="25" t="s">
        <v>89</v>
      </c>
      <c r="V71" s="25">
        <f>IF(AND(C71&gt;=DATE(2023,1,9),C71&lt;=DATE(2024,5,31)),2,
IF(AND(C71&gt;=DATE(2024,6,1),C71&lt;=DATE(2024,12,30)),"25/2",0))</f>
        <v>2</v>
      </c>
      <c r="W71" s="25">
        <f>IF(AND(C71&gt;=DATE(2023,10,17),C71&lt;=DATE(2024,2,14)),775,
IF(AND(C71&gt;=DATE(2024,2,15),C71&lt;=DATE(2024,2,21)),125,
IF(AND(C71&gt;=DATE(2024,2,22),C71&lt;=DATE(2024,4,4)),127,
IF(AND(C71&gt;=DATE(2024,4,5),C71&lt;=DATE(2024,8,21)),298,IF(AND(C71&gt;=DATE(2024,8,22),C71&lt;=DATE(2024,12,30)),422,0)))))</f>
        <v>298</v>
      </c>
      <c r="Y71" s="25">
        <f>IF(AND(C71&gt;=DATE(2024,1,25),C71&lt;=DATE(2024,2,25)),798,
IF(AND(C71&gt;=DATE(2024,3,12),C71&lt;=DATE(2024,4,14)),68,
IF(AND(C71&gt;=DATE(2024,4,25),C71&lt;=DATE(2024,5,2)),108,
IF(AND(C71&gt;=DATE(2024,5,14),C71&lt;=DATE(2024,5,29)),108, IF(AND(C71&gt;=DATE(2024,6,25),C71&lt;=DATE(2024,8,4)),248, IF(AND(C71&gt;=DATE(2024,8,21),C71&lt;=DATE(2024,9,22)),357, IF(AND(C71&gt;=DATE(2024,10,18),C71&lt;=DATE(2024,11,12)),480,0)))))))</f>
        <v>0</v>
      </c>
      <c r="Z71" s="25">
        <f>IF(AND(C71&gt;=DATE(2023,11,24),C71&lt;=DATE(2023,12,21)),631,
IF(AND(C71&gt;=DATE(2024,1,10),C71&lt;=DATE(2024,2,15)),798,
IF(AND(C71&gt;=DATE(2024,2,29),C71&lt;=DATE(2024,4,11)),27,
IF(AND(C71&gt;=DATE(2024,5,7),C71&lt;=DATE(2024,6,13)),182,IF(AND(C71&gt;=DATE(2024,7,11),C71&lt;=DATE(2024,8,21)),290,IF(AND(C71&gt;=DATE(2024,9,6),C71&lt;=DATE(2024,10,16)),419,0))))))</f>
        <v>182</v>
      </c>
      <c r="AA71" s="25">
        <f>IF(AND(C71&gt;=DATE(2023,10,10),C71&lt;=DATE(2023,11,21)),576,
IF(AND(C71&gt;=DATE(2023,12,6),C71&lt;=DATE(2023,12,25)),709,
IF(AND(C71&gt;=DATE(2024,1,4),C71&lt;=DATE(2024,1,25)),798,
IF(AND(C71&gt;=DATE(2024,2,8),C71&lt;=DATE(2024,3,12)),27, IF(AND(C71&gt;=DATE(2024,4,2),C71&lt;=DATE(2024,5,7)),108, IF(AND(C71&gt;=DATE(2024,6,5),C71&lt;=DATE(2024,7,17)),248,  IF(AND(C71&gt;=DATE(2024,7,31),C71&lt;=DATE(2024,9,1)),290, IF(AND(C71&gt;=DATE(2024,10,8),C71&lt;=DATE(2024,11,1)),480,0))))))))</f>
        <v>0</v>
      </c>
      <c r="AC71" s="272">
        <f>C71</f>
        <v>45424</v>
      </c>
      <c r="AD71" s="272"/>
    </row>
    <row r="72" spans="1:30" ht="79.2" x14ac:dyDescent="0.25">
      <c r="A72" s="16">
        <v>64</v>
      </c>
      <c r="B72" s="18" t="s">
        <v>709</v>
      </c>
      <c r="C72" s="109">
        <f>I72</f>
        <v>45436</v>
      </c>
      <c r="D72" s="241" t="s">
        <v>892</v>
      </c>
      <c r="E72" s="144" t="s">
        <v>799</v>
      </c>
      <c r="F72" s="220" t="s">
        <v>294</v>
      </c>
      <c r="G72" s="232" t="s">
        <v>930</v>
      </c>
      <c r="H72" s="154">
        <v>45436</v>
      </c>
      <c r="I72" s="154">
        <v>45436</v>
      </c>
      <c r="J72" s="201" t="s">
        <v>979</v>
      </c>
      <c r="K72" s="162" t="s">
        <v>205</v>
      </c>
      <c r="L72" s="97" t="str">
        <f t="shared" si="41"/>
        <v xml:space="preserve">Исп. схема № 61.17-АР-64 от 24.05.2024. Монтаж доборов и наличников МДФ дверей на 1 этаже  в/о А-В/1-10 и 2 этаже в/о А-В/5-10; АОРПИ № АИР 1.2-61.17-АР/54 от 22.03.2024г. </v>
      </c>
      <c r="M72" s="188" t="s">
        <v>252</v>
      </c>
      <c r="N72" s="189" t="s">
        <v>207</v>
      </c>
      <c r="O72" s="6" t="s">
        <v>240</v>
      </c>
      <c r="P72" s="111" t="s">
        <v>197</v>
      </c>
      <c r="Q72" s="111" t="s">
        <v>198</v>
      </c>
      <c r="R72" s="111" t="s">
        <v>199</v>
      </c>
      <c r="S72" s="27" t="s">
        <v>172</v>
      </c>
      <c r="T72" s="24" t="s">
        <v>82</v>
      </c>
      <c r="U72" s="150" t="s">
        <v>89</v>
      </c>
      <c r="V72" s="16">
        <f>IF(AND(C72&gt;=DATE(2023,1,9),C72&lt;=DATE(2024,5,31)),2,
IF(AND(C72&gt;=DATE(2024,6,1),C72&lt;=DATE(2024,12,30)),"25/2",0))</f>
        <v>2</v>
      </c>
      <c r="W72" s="16">
        <f>IF(AND(C72&gt;=DATE(2023,10,17),C72&lt;=DATE(2024,2,14)),775,
IF(AND(C72&gt;=DATE(2024,2,15),C72&lt;=DATE(2024,2,21)),125,
IF(AND(C72&gt;=DATE(2024,2,22),C72&lt;=DATE(2024,4,4)),127,
IF(AND(C72&gt;=DATE(2024,4,5),C72&lt;=DATE(2024,8,21)),298,IF(AND(C72&gt;=DATE(2024,8,22),C72&lt;=DATE(2024,12,30)),422,0)))))</f>
        <v>298</v>
      </c>
      <c r="Y72" s="16">
        <f>IF(AND(C72&gt;=DATE(2024,1,25),C72&lt;=DATE(2024,2,25)),798,
IF(AND(C72&gt;=DATE(2024,3,12),C72&lt;=DATE(2024,4,14)),68,
IF(AND(C72&gt;=DATE(2024,4,25),C72&lt;=DATE(2024,5,2)),108,
IF(AND(C72&gt;=DATE(2024,5,14),C72&lt;=DATE(2024,5,29)),108, IF(AND(C72&gt;=DATE(2024,6,25),C72&lt;=DATE(2024,8,4)),248, IF(AND(C72&gt;=DATE(2024,8,21),C72&lt;=DATE(2024,9,22)),357, IF(AND(C72&gt;=DATE(2024,10,18),C72&lt;=DATE(2024,11,12)),480,0)))))))</f>
        <v>108</v>
      </c>
      <c r="Z72" s="16">
        <f>IF(AND(C72&gt;=DATE(2023,11,24),C72&lt;=DATE(2023,12,21)),631,
IF(AND(C72&gt;=DATE(2024,1,10),C72&lt;=DATE(2024,2,15)),798,
IF(AND(C72&gt;=DATE(2024,2,29),C72&lt;=DATE(2024,4,11)),27,
IF(AND(C72&gt;=DATE(2024,5,7),C72&lt;=DATE(2024,6,13)),182,IF(AND(C72&gt;=DATE(2024,7,11),C72&lt;=DATE(2024,8,21)),290,IF(AND(C72&gt;=DATE(2024,9,6),C72&lt;=DATE(2024,10,16)),419,0))))))</f>
        <v>182</v>
      </c>
      <c r="AA72" s="172">
        <f>IF(AND(C72&gt;=DATE(2023,10,10),C72&lt;=DATE(2023,11,21)),576,
IF(AND(C72&gt;=DATE(2023,12,6),C72&lt;=DATE(2023,12,25)),709,
IF(AND(C72&gt;=DATE(2024,1,4),C72&lt;=DATE(2024,1,25)),798,
IF(AND(C72&gt;=DATE(2024,2,8),C72&lt;=DATE(2024,3,12)),27, IF(AND(C72&gt;=DATE(2024,4,2),C72&lt;=DATE(2024,5,7)),108, IF(AND(C72&gt;=DATE(2024,6,5),C72&lt;=DATE(2024,7,17)),248,  IF(AND(C72&gt;=DATE(2024,7,31),C72&lt;=DATE(2024,9,1)),290, IF(AND(C72&gt;=DATE(2024,10,8),C72&lt;=DATE(2024,11,1)),480,0))))))))</f>
        <v>0</v>
      </c>
      <c r="AC72" s="171">
        <f>C72</f>
        <v>45436</v>
      </c>
      <c r="AD72" s="171"/>
    </row>
    <row r="73" spans="1:30" ht="66" x14ac:dyDescent="0.25">
      <c r="A73" s="16">
        <v>65</v>
      </c>
      <c r="B73" s="18" t="s">
        <v>710</v>
      </c>
      <c r="C73" s="109">
        <v>45421</v>
      </c>
      <c r="D73" s="274" t="s">
        <v>931</v>
      </c>
      <c r="E73" s="144" t="s">
        <v>797</v>
      </c>
      <c r="F73" s="208" t="s">
        <v>660</v>
      </c>
      <c r="G73" s="207" t="s">
        <v>932</v>
      </c>
      <c r="H73" s="252">
        <v>45421</v>
      </c>
      <c r="I73" s="252">
        <v>45421</v>
      </c>
      <c r="J73" s="151" t="s">
        <v>978</v>
      </c>
      <c r="K73" s="250" t="s">
        <v>223</v>
      </c>
      <c r="L73" s="97" t="str">
        <f t="shared" si="41"/>
        <v xml:space="preserve">Исп. схема № 61.17-АР-65 от 09.05.2024. Грунтование потолков 1 этажа лестничных клеток, в т.ч. низа и торцов лестничных маршей и переходных площадок в/о А-Б/5-5.1 и А-Б/9-10; АОРПИ № АИР 1.2-61.17-АР/24 от 30.01.2024г. </v>
      </c>
      <c r="M73" s="175" t="s">
        <v>251</v>
      </c>
      <c r="N73" s="161" t="s">
        <v>177</v>
      </c>
      <c r="O73" s="6" t="s">
        <v>240</v>
      </c>
      <c r="P73" s="111" t="s">
        <v>197</v>
      </c>
      <c r="Q73" s="111" t="s">
        <v>198</v>
      </c>
      <c r="R73" s="111" t="s">
        <v>199</v>
      </c>
      <c r="S73" s="27" t="s">
        <v>172</v>
      </c>
      <c r="T73" s="24" t="s">
        <v>82</v>
      </c>
      <c r="U73" s="150" t="s">
        <v>89</v>
      </c>
      <c r="V73" s="16">
        <v>2</v>
      </c>
      <c r="W73" s="16">
        <v>298</v>
      </c>
      <c r="X73"/>
      <c r="Y73" s="172">
        <v>0</v>
      </c>
      <c r="Z73" s="16">
        <v>182</v>
      </c>
      <c r="AA73" s="172">
        <v>0</v>
      </c>
      <c r="AB73"/>
      <c r="AC73" s="171">
        <v>45421</v>
      </c>
      <c r="AD73" s="171"/>
    </row>
    <row r="74" spans="1:30" ht="132" x14ac:dyDescent="0.25">
      <c r="A74" s="16">
        <v>66</v>
      </c>
      <c r="B74" s="18" t="s">
        <v>711</v>
      </c>
      <c r="C74" s="109">
        <v>45424</v>
      </c>
      <c r="D74" s="274" t="s">
        <v>933</v>
      </c>
      <c r="E74" s="144" t="s">
        <v>797</v>
      </c>
      <c r="F74" s="6" t="s">
        <v>560</v>
      </c>
      <c r="G74" s="232" t="s">
        <v>934</v>
      </c>
      <c r="H74" s="252">
        <v>45422</v>
      </c>
      <c r="I74" s="252">
        <v>45424</v>
      </c>
      <c r="J74" s="151" t="s">
        <v>978</v>
      </c>
      <c r="K74" s="250" t="s">
        <v>541</v>
      </c>
      <c r="L74" s="97" t="str">
        <f t="shared" si="41"/>
        <v xml:space="preserve">Исп. схема № 61.17-АР-66 от 12.05.2024. Штукатурка потолков 1 этажа лестничных клеток, в т.ч. низа и торцов лестничных маршей и переходных площадок в/о А-Б/5-5.1 и А-Б/9-10; АОРПИ № АИР 1.2-61.17-АР/50 от 13.12.2023г. </v>
      </c>
      <c r="M74" s="175" t="s">
        <v>251</v>
      </c>
      <c r="N74" s="161" t="s">
        <v>177</v>
      </c>
      <c r="O74" s="6" t="s">
        <v>240</v>
      </c>
      <c r="P74" s="111" t="s">
        <v>197</v>
      </c>
      <c r="Q74" s="111" t="s">
        <v>198</v>
      </c>
      <c r="R74" s="111" t="s">
        <v>199</v>
      </c>
      <c r="S74" s="27" t="s">
        <v>172</v>
      </c>
      <c r="T74" s="24" t="s">
        <v>82</v>
      </c>
      <c r="U74" s="150" t="s">
        <v>89</v>
      </c>
      <c r="V74" s="16">
        <v>2</v>
      </c>
      <c r="W74" s="16">
        <v>298</v>
      </c>
      <c r="X74"/>
      <c r="Y74" s="172">
        <v>0</v>
      </c>
      <c r="Z74" s="16">
        <v>182</v>
      </c>
      <c r="AA74" s="172">
        <v>0</v>
      </c>
      <c r="AB74"/>
      <c r="AC74" s="171">
        <v>45424</v>
      </c>
      <c r="AD74" s="171"/>
    </row>
    <row r="75" spans="1:30" ht="79.2" x14ac:dyDescent="0.25">
      <c r="A75" s="16">
        <v>67</v>
      </c>
      <c r="B75" s="18" t="s">
        <v>712</v>
      </c>
      <c r="C75" s="109">
        <v>45425</v>
      </c>
      <c r="D75" s="274" t="s">
        <v>935</v>
      </c>
      <c r="E75" s="144" t="s">
        <v>797</v>
      </c>
      <c r="F75" s="208" t="s">
        <v>660</v>
      </c>
      <c r="G75" s="207" t="s">
        <v>936</v>
      </c>
      <c r="H75" s="252">
        <v>45425</v>
      </c>
      <c r="I75" s="252">
        <v>45425</v>
      </c>
      <c r="J75" s="151" t="s">
        <v>978</v>
      </c>
      <c r="K75" s="250" t="s">
        <v>224</v>
      </c>
      <c r="L75" s="97" t="str">
        <f t="shared" si="41"/>
        <v xml:space="preserve">Исп. схема № 61.17-АР-67 от 13.05.2024. Грунтование перед шпатлеванием потолков 1 этажа лестничных клеток, в т.ч. низа и торцов лестничных маршей и переходных площадок в/о А-Б/5-5.1 и А-Б/9-10; АОРПИ № АИР 1.2-61.17-АР/24 от 30.01.2024г. </v>
      </c>
      <c r="M75" s="175" t="s">
        <v>251</v>
      </c>
      <c r="N75" s="161" t="s">
        <v>177</v>
      </c>
      <c r="O75" s="6" t="s">
        <v>240</v>
      </c>
      <c r="P75" s="111" t="s">
        <v>197</v>
      </c>
      <c r="Q75" s="111" t="s">
        <v>198</v>
      </c>
      <c r="R75" s="111" t="s">
        <v>199</v>
      </c>
      <c r="S75" s="27" t="s">
        <v>172</v>
      </c>
      <c r="T75" s="24" t="s">
        <v>82</v>
      </c>
      <c r="U75" s="150" t="s">
        <v>89</v>
      </c>
      <c r="V75" s="16">
        <v>2</v>
      </c>
      <c r="W75" s="16">
        <v>298</v>
      </c>
      <c r="X75"/>
      <c r="Y75" s="172">
        <v>0</v>
      </c>
      <c r="Z75" s="16">
        <v>182</v>
      </c>
      <c r="AA75" s="172">
        <v>0</v>
      </c>
      <c r="AB75"/>
      <c r="AC75" s="171">
        <v>45425</v>
      </c>
      <c r="AD75" s="171"/>
    </row>
    <row r="76" spans="1:30" ht="79.2" x14ac:dyDescent="0.25">
      <c r="A76" s="16">
        <v>68</v>
      </c>
      <c r="B76" s="18" t="s">
        <v>713</v>
      </c>
      <c r="C76" s="109">
        <v>45427</v>
      </c>
      <c r="D76" s="274" t="s">
        <v>937</v>
      </c>
      <c r="E76" s="144" t="s">
        <v>797</v>
      </c>
      <c r="F76" s="204" t="str">
        <f>CONCATENATE("Материалы согласно реестру к п.3 № ",реестр!B76," от ",TEXT(реестр!C76,"ДД.ММ.ГГГГ"))</f>
        <v>Материалы согласно реестру к п.3 № АИР-М-1.2-61.17-АР-68 от 15.05.2024</v>
      </c>
      <c r="G76" s="232" t="s">
        <v>938</v>
      </c>
      <c r="H76" s="252">
        <v>45426</v>
      </c>
      <c r="I76" s="252">
        <v>45427</v>
      </c>
      <c r="J76" s="151" t="s">
        <v>978</v>
      </c>
      <c r="K76" s="250" t="s">
        <v>540</v>
      </c>
      <c r="L76" s="97" t="str">
        <f t="shared" si="41"/>
        <v xml:space="preserve">Исп. схема № 61.17-АР-68 от 15.05.2024. Шпатлевание потолков 1 этажа лестничных клеток, в т.ч. низа и торцов лестничных маршей и переходных площадок в/о А-Б/5-5.1 и А-Б/9-10; АОРПИ № АИР 1.2-61.17-АР/50 от 13.12.2023г. </v>
      </c>
      <c r="M76" s="188" t="s">
        <v>252</v>
      </c>
      <c r="N76" s="189" t="s">
        <v>207</v>
      </c>
      <c r="O76" s="6" t="s">
        <v>240</v>
      </c>
      <c r="P76" s="111" t="s">
        <v>197</v>
      </c>
      <c r="Q76" s="111" t="s">
        <v>198</v>
      </c>
      <c r="R76" s="111" t="s">
        <v>199</v>
      </c>
      <c r="S76" s="27" t="s">
        <v>172</v>
      </c>
      <c r="T76" s="24" t="s">
        <v>82</v>
      </c>
      <c r="U76" s="150" t="s">
        <v>89</v>
      </c>
      <c r="V76" s="16">
        <v>2</v>
      </c>
      <c r="W76" s="16">
        <v>298</v>
      </c>
      <c r="X76"/>
      <c r="Y76" s="16">
        <v>108</v>
      </c>
      <c r="Z76" s="16">
        <v>182</v>
      </c>
      <c r="AA76" s="172">
        <v>0</v>
      </c>
      <c r="AB76"/>
      <c r="AC76" s="171">
        <v>45427</v>
      </c>
      <c r="AD76" s="171"/>
    </row>
    <row r="77" spans="1:30" ht="79.2" x14ac:dyDescent="0.25">
      <c r="A77" s="16">
        <v>69</v>
      </c>
      <c r="B77" s="18" t="s">
        <v>714</v>
      </c>
      <c r="C77" s="109">
        <v>45428</v>
      </c>
      <c r="D77" s="231" t="s">
        <v>939</v>
      </c>
      <c r="E77" s="144" t="s">
        <v>798</v>
      </c>
      <c r="F77" s="208" t="s">
        <v>660</v>
      </c>
      <c r="G77" s="207" t="s">
        <v>940</v>
      </c>
      <c r="H77" s="251">
        <v>45426</v>
      </c>
      <c r="I77" s="251">
        <v>45428</v>
      </c>
      <c r="J77" s="151" t="s">
        <v>978</v>
      </c>
      <c r="K77" s="17" t="s">
        <v>565</v>
      </c>
      <c r="L77" s="97" t="str">
        <f t="shared" si="41"/>
        <v xml:space="preserve">Исп. схема № 61.17-АР-69 от 16.05.2024.  Грунтование стен лестничной клетки, в т.ч. низа и торцов лестничных маршей и переходных площадок в/о А-Б/5-5.1 и А-Б/9-10; АОРПИ № АИР 1.2-61.17-АР/24 от 30.01.2024г. </v>
      </c>
      <c r="M77" s="188" t="s">
        <v>252</v>
      </c>
      <c r="N77" s="189" t="s">
        <v>207</v>
      </c>
      <c r="O77" s="6" t="s">
        <v>240</v>
      </c>
      <c r="P77" s="111" t="s">
        <v>197</v>
      </c>
      <c r="Q77" s="111" t="s">
        <v>198</v>
      </c>
      <c r="R77" s="111" t="s">
        <v>199</v>
      </c>
      <c r="S77" s="27" t="s">
        <v>172</v>
      </c>
      <c r="T77" s="24" t="s">
        <v>82</v>
      </c>
      <c r="U77" s="150" t="s">
        <v>89</v>
      </c>
      <c r="V77" s="16">
        <v>2</v>
      </c>
      <c r="W77" s="16">
        <v>298</v>
      </c>
      <c r="X77"/>
      <c r="Y77" s="16">
        <v>108</v>
      </c>
      <c r="Z77" s="16">
        <v>182</v>
      </c>
      <c r="AA77" s="172">
        <v>0</v>
      </c>
      <c r="AB77"/>
      <c r="AC77" s="171">
        <v>45428</v>
      </c>
      <c r="AD77" s="171"/>
    </row>
    <row r="78" spans="1:30" ht="132" x14ac:dyDescent="0.25">
      <c r="A78" s="16">
        <v>70</v>
      </c>
      <c r="B78" s="18" t="s">
        <v>715</v>
      </c>
      <c r="C78" s="109">
        <v>45430</v>
      </c>
      <c r="D78" s="231" t="s">
        <v>941</v>
      </c>
      <c r="E78" s="144" t="s">
        <v>798</v>
      </c>
      <c r="F78" s="6" t="s">
        <v>560</v>
      </c>
      <c r="G78" s="232" t="s">
        <v>942</v>
      </c>
      <c r="H78" s="251">
        <v>45427</v>
      </c>
      <c r="I78" s="251">
        <v>45430</v>
      </c>
      <c r="J78" s="151" t="s">
        <v>978</v>
      </c>
      <c r="K78" s="17" t="s">
        <v>566</v>
      </c>
      <c r="L78" s="97" t="str">
        <f t="shared" si="41"/>
        <v xml:space="preserve">Исп. схема № 61.17-АР-70 от 18.05.2024. Штукатурка стен лестничных клеток в/о А-Б/5-5.1 и А-Б/9-10; АОРПИ № АИР 1.2-61.17-АР/50 от 13.12.2023г. </v>
      </c>
      <c r="M78" s="188" t="s">
        <v>252</v>
      </c>
      <c r="N78" s="189" t="s">
        <v>207</v>
      </c>
      <c r="O78" s="6" t="s">
        <v>240</v>
      </c>
      <c r="P78" s="111" t="s">
        <v>197</v>
      </c>
      <c r="Q78" s="111" t="s">
        <v>198</v>
      </c>
      <c r="R78" s="111" t="s">
        <v>199</v>
      </c>
      <c r="S78" s="27" t="s">
        <v>172</v>
      </c>
      <c r="T78" s="24" t="s">
        <v>82</v>
      </c>
      <c r="U78" s="150" t="s">
        <v>89</v>
      </c>
      <c r="V78" s="16">
        <v>2</v>
      </c>
      <c r="W78" s="16">
        <v>298</v>
      </c>
      <c r="X78"/>
      <c r="Y78" s="16">
        <v>108</v>
      </c>
      <c r="Z78" s="16">
        <v>182</v>
      </c>
      <c r="AA78" s="172">
        <v>0</v>
      </c>
      <c r="AB78"/>
      <c r="AC78" s="171">
        <v>45430</v>
      </c>
      <c r="AD78" s="171"/>
    </row>
    <row r="79" spans="1:30" ht="79.2" x14ac:dyDescent="0.25">
      <c r="A79" s="16">
        <v>71</v>
      </c>
      <c r="B79" s="18" t="s">
        <v>716</v>
      </c>
      <c r="C79" s="109">
        <v>45431</v>
      </c>
      <c r="D79" s="231" t="s">
        <v>943</v>
      </c>
      <c r="E79" s="144" t="s">
        <v>798</v>
      </c>
      <c r="F79" s="208" t="s">
        <v>660</v>
      </c>
      <c r="G79" s="207" t="s">
        <v>944</v>
      </c>
      <c r="H79" s="251">
        <v>45431</v>
      </c>
      <c r="I79" s="251">
        <v>45431</v>
      </c>
      <c r="J79" s="151" t="s">
        <v>978</v>
      </c>
      <c r="K79" s="17" t="s">
        <v>568</v>
      </c>
      <c r="L79" s="97" t="str">
        <f t="shared" si="41"/>
        <v xml:space="preserve">Исп. схема № 61.17-АР-71 от 19.05.2024. Грунтование перед шпаклевкой стен лестничных клеток в/о А-Б/5-5.1 и А-Б/9-10; АОРПИ № АИР 1.2-61.17-АР/24 от 30.01.2024г. </v>
      </c>
      <c r="M79" s="188" t="s">
        <v>252</v>
      </c>
      <c r="N79" s="189" t="s">
        <v>207</v>
      </c>
      <c r="O79" s="6" t="s">
        <v>240</v>
      </c>
      <c r="P79" s="111" t="s">
        <v>197</v>
      </c>
      <c r="Q79" s="111" t="s">
        <v>198</v>
      </c>
      <c r="R79" s="111" t="s">
        <v>199</v>
      </c>
      <c r="S79" s="27" t="s">
        <v>172</v>
      </c>
      <c r="T79" s="24" t="s">
        <v>82</v>
      </c>
      <c r="U79" s="150" t="s">
        <v>89</v>
      </c>
      <c r="V79" s="16">
        <v>2</v>
      </c>
      <c r="W79" s="16">
        <v>298</v>
      </c>
      <c r="X79"/>
      <c r="Y79" s="16">
        <v>108</v>
      </c>
      <c r="Z79" s="16">
        <v>182</v>
      </c>
      <c r="AA79" s="172">
        <v>0</v>
      </c>
      <c r="AB79"/>
      <c r="AC79" s="171">
        <v>45431</v>
      </c>
      <c r="AD79" s="171"/>
    </row>
    <row r="80" spans="1:30" ht="79.2" x14ac:dyDescent="0.25">
      <c r="A80" s="16">
        <v>72</v>
      </c>
      <c r="B80" s="18" t="s">
        <v>717</v>
      </c>
      <c r="C80" s="109">
        <v>45433</v>
      </c>
      <c r="D80" s="231" t="s">
        <v>945</v>
      </c>
      <c r="E80" s="144" t="s">
        <v>798</v>
      </c>
      <c r="F80" s="204" t="str">
        <f>CONCATENATE("Материалы согласно реестру к п.3 № ",реестр!B80," от ",TEXT(реестр!C80,"ДД.ММ.ГГГГ"))</f>
        <v>Материалы согласно реестру к п.3 № АИР-М-1.2-61.17-АР-72 от 21.05.2024</v>
      </c>
      <c r="G80" s="232" t="s">
        <v>946</v>
      </c>
      <c r="H80" s="251">
        <v>45431</v>
      </c>
      <c r="I80" s="251">
        <v>45433</v>
      </c>
      <c r="J80" s="151" t="s">
        <v>978</v>
      </c>
      <c r="K80" s="17" t="s">
        <v>567</v>
      </c>
      <c r="L80" s="97" t="str">
        <f t="shared" si="41"/>
        <v xml:space="preserve">Исп. схема № 61.17-АР-72 от 21.05.2024.  Шпатлевание стен лестничных клеток в/о А-Б/5-5.1 и А-Б/9-10; АОРПИ № АИР 1.2-61.17-АР/50 от 13.12.2023г. </v>
      </c>
      <c r="M80" s="188" t="s">
        <v>252</v>
      </c>
      <c r="N80" s="189" t="s">
        <v>207</v>
      </c>
      <c r="O80" s="6" t="s">
        <v>240</v>
      </c>
      <c r="P80" s="111" t="s">
        <v>197</v>
      </c>
      <c r="Q80" s="111" t="s">
        <v>198</v>
      </c>
      <c r="R80" s="111" t="s">
        <v>199</v>
      </c>
      <c r="S80" s="27" t="s">
        <v>172</v>
      </c>
      <c r="T80" s="24" t="s">
        <v>82</v>
      </c>
      <c r="U80" s="150" t="s">
        <v>89</v>
      </c>
      <c r="V80" s="16">
        <v>2</v>
      </c>
      <c r="W80" s="16">
        <v>298</v>
      </c>
      <c r="X80"/>
      <c r="Y80" s="16">
        <v>108</v>
      </c>
      <c r="Z80" s="16">
        <v>182</v>
      </c>
      <c r="AA80" s="172">
        <v>0</v>
      </c>
      <c r="AB80"/>
      <c r="AC80" s="171">
        <v>45433</v>
      </c>
      <c r="AD80" s="171"/>
    </row>
    <row r="81" spans="1:30" ht="79.2" x14ac:dyDescent="0.25">
      <c r="A81" s="16">
        <v>73</v>
      </c>
      <c r="B81" s="18" t="s">
        <v>718</v>
      </c>
      <c r="C81" s="109">
        <v>45448</v>
      </c>
      <c r="D81" s="274" t="s">
        <v>947</v>
      </c>
      <c r="E81" s="144" t="s">
        <v>798</v>
      </c>
      <c r="F81" s="208" t="s">
        <v>660</v>
      </c>
      <c r="G81" s="207" t="s">
        <v>948</v>
      </c>
      <c r="H81" s="252">
        <v>45448</v>
      </c>
      <c r="I81" s="252">
        <v>45448</v>
      </c>
      <c r="J81" s="151" t="s">
        <v>978</v>
      </c>
      <c r="K81" s="250" t="s">
        <v>539</v>
      </c>
      <c r="L81" s="97" t="str">
        <f t="shared" si="41"/>
        <v xml:space="preserve">Исп. схема № 61.17-АР-73 от 05.06.2024. Грунтование стен и потолков 1 этажа перед покраской лестничных клеток, в т.ч. низа и торцов лестничных маршей и переходных площадок в/о А-Б/5-5.1 и А-Б/9-10; АОРПИ № АИР 1.2-61.17-АР/24 от 30.01.2024г. </v>
      </c>
      <c r="M81" s="175" t="s">
        <v>251</v>
      </c>
      <c r="N81" s="161" t="s">
        <v>177</v>
      </c>
      <c r="O81" s="6" t="s">
        <v>240</v>
      </c>
      <c r="P81" s="111" t="s">
        <v>197</v>
      </c>
      <c r="Q81" s="111" t="s">
        <v>198</v>
      </c>
      <c r="R81" s="111" t="s">
        <v>199</v>
      </c>
      <c r="S81" s="27" t="s">
        <v>172</v>
      </c>
      <c r="T81" s="24" t="s">
        <v>82</v>
      </c>
      <c r="U81" s="161" t="s">
        <v>234</v>
      </c>
      <c r="V81" s="16" t="s">
        <v>590</v>
      </c>
      <c r="W81" s="16">
        <v>298</v>
      </c>
      <c r="X81"/>
      <c r="Y81" s="172">
        <v>0</v>
      </c>
      <c r="Z81" s="16">
        <v>182</v>
      </c>
      <c r="AA81" s="16">
        <v>248</v>
      </c>
      <c r="AB81"/>
      <c r="AC81" s="171">
        <v>45448</v>
      </c>
      <c r="AD81" s="171"/>
    </row>
    <row r="82" spans="1:30" ht="79.2" x14ac:dyDescent="0.25">
      <c r="A82" s="16">
        <v>74</v>
      </c>
      <c r="B82" s="18" t="s">
        <v>719</v>
      </c>
      <c r="C82" s="109">
        <v>45454</v>
      </c>
      <c r="D82" s="274" t="s">
        <v>949</v>
      </c>
      <c r="E82" s="144" t="s">
        <v>798</v>
      </c>
      <c r="F82" s="204" t="str">
        <f>CONCATENATE("Материалы согласно реестру к п.3 № ",реестр!B82," от ",TEXT(реестр!C82,"ДД.ММ.ГГГГ"))</f>
        <v>Материалы согласно реестру к п.3 № АИР-М-1.2-61.17-АР-74 от 11.06.2024</v>
      </c>
      <c r="G82" s="207" t="s">
        <v>989</v>
      </c>
      <c r="H82" s="252">
        <v>45449</v>
      </c>
      <c r="I82" s="252">
        <v>45454</v>
      </c>
      <c r="J82" s="151" t="s">
        <v>978</v>
      </c>
      <c r="K82" s="250" t="s">
        <v>205</v>
      </c>
      <c r="L82" s="97" t="str">
        <f t="shared" si="41"/>
        <v xml:space="preserve">Исп. схема № 61.17-АР-74 от 11.06.2024. Окраска в 2 слоя стен и потолков 1 этажа лестничных клеток, в т.ч. низа и торцов лестничных маршей и переходных площадок в/о А-Б/5-5.1 и А-Б/9-10; АОРПИ: № АИР 1.2-61.17-АР/50 от 13.12.2023г., № АИР 1.2-61.17-АР/60 от 16.02.2024г. </v>
      </c>
      <c r="M82" s="175" t="s">
        <v>251</v>
      </c>
      <c r="N82" s="161" t="s">
        <v>177</v>
      </c>
      <c r="O82" s="6" t="s">
        <v>240</v>
      </c>
      <c r="P82" s="111" t="s">
        <v>197</v>
      </c>
      <c r="Q82" s="111" t="s">
        <v>198</v>
      </c>
      <c r="R82" s="111" t="s">
        <v>199</v>
      </c>
      <c r="S82" s="27" t="s">
        <v>172</v>
      </c>
      <c r="T82" s="24" t="s">
        <v>82</v>
      </c>
      <c r="U82" s="161" t="s">
        <v>234</v>
      </c>
      <c r="V82" s="16" t="s">
        <v>590</v>
      </c>
      <c r="W82" s="16">
        <v>298</v>
      </c>
      <c r="X82"/>
      <c r="Y82" s="172">
        <v>0</v>
      </c>
      <c r="Z82" s="16">
        <v>182</v>
      </c>
      <c r="AA82" s="16">
        <v>248</v>
      </c>
      <c r="AB82"/>
      <c r="AC82" s="171">
        <v>45454</v>
      </c>
      <c r="AD82" s="171"/>
    </row>
    <row r="83" spans="1:30" ht="158.4" x14ac:dyDescent="0.25">
      <c r="A83" s="16">
        <v>75</v>
      </c>
      <c r="B83" s="18" t="s">
        <v>720</v>
      </c>
      <c r="C83" s="109">
        <f t="shared" ref="C83:C86" si="68">I83</f>
        <v>45432</v>
      </c>
      <c r="D83" s="275" t="s">
        <v>800</v>
      </c>
      <c r="E83" s="144" t="s">
        <v>808</v>
      </c>
      <c r="F83" s="221" t="s">
        <v>559</v>
      </c>
      <c r="G83" s="227" t="s">
        <v>950</v>
      </c>
      <c r="H83" s="252">
        <v>45431</v>
      </c>
      <c r="I83" s="246">
        <v>45432</v>
      </c>
      <c r="J83" s="201" t="s">
        <v>979</v>
      </c>
      <c r="K83" s="162" t="s">
        <v>231</v>
      </c>
      <c r="L83" s="97" t="str">
        <f t="shared" si="41"/>
        <v>Исп. схема № 61.17-АР-75 от 20.05.2024. Монтаж подвесной системы потолков в помещениях 1 этаже в/о А-В/3-10; АОРПИ № АИР-1.2-61.17-АР/55 от 22.03.2024г.</v>
      </c>
      <c r="M83" s="175" t="s">
        <v>251</v>
      </c>
      <c r="N83" s="161" t="s">
        <v>177</v>
      </c>
      <c r="O83" s="6" t="s">
        <v>240</v>
      </c>
      <c r="P83" s="111" t="s">
        <v>197</v>
      </c>
      <c r="Q83" s="111" t="s">
        <v>198</v>
      </c>
      <c r="R83" s="111" t="s">
        <v>199</v>
      </c>
      <c r="S83" s="27" t="s">
        <v>172</v>
      </c>
      <c r="T83" s="24" t="s">
        <v>82</v>
      </c>
      <c r="U83" s="150" t="s">
        <v>89</v>
      </c>
      <c r="V83" s="16">
        <f t="shared" ref="V83:V86" si="69">IF(AND(C83&gt;=DATE(2023,1,9),C83&lt;=DATE(2024,5,31)),2,
IF(AND(C83&gt;=DATE(2024,6,1),C83&lt;=DATE(2024,12,30)),"25/2",0))</f>
        <v>2</v>
      </c>
      <c r="W83" s="16">
        <f t="shared" ref="W83:W86" si="70">IF(AND(C83&gt;=DATE(2023,10,17),C83&lt;=DATE(2024,2,14)),775,
IF(AND(C83&gt;=DATE(2024,2,15),C83&lt;=DATE(2024,2,21)),125,
IF(AND(C83&gt;=DATE(2024,2,22),C83&lt;=DATE(2024,4,4)),127,
IF(AND(C83&gt;=DATE(2024,4,5),C83&lt;=DATE(2024,8,21)),298,IF(AND(C83&gt;=DATE(2024,8,22),C83&lt;=DATE(2024,12,30)),422,0)))))</f>
        <v>298</v>
      </c>
      <c r="Y83" s="16">
        <f t="shared" ref="Y83:Y86" si="71">IF(AND(C83&gt;=DATE(2024,1,25),C83&lt;=DATE(2024,2,25)),798,
IF(AND(C83&gt;=DATE(2024,3,12),C83&lt;=DATE(2024,4,14)),68,
IF(AND(C83&gt;=DATE(2024,4,25),C83&lt;=DATE(2024,5,2)),108,
IF(AND(C83&gt;=DATE(2024,5,14),C83&lt;=DATE(2024,5,29)),108, IF(AND(C83&gt;=DATE(2024,6,25),C83&lt;=DATE(2024,8,4)),248, IF(AND(C83&gt;=DATE(2024,8,21),C83&lt;=DATE(2024,9,22)),357, IF(AND(C83&gt;=DATE(2024,10,18),C83&lt;=DATE(2024,11,12)),480,0)))))))</f>
        <v>108</v>
      </c>
      <c r="Z83" s="16">
        <f t="shared" ref="Z83:Z86" si="72">IF(AND(C83&gt;=DATE(2023,11,24),C83&lt;=DATE(2023,12,21)),631,
IF(AND(C83&gt;=DATE(2024,1,10),C83&lt;=DATE(2024,2,15)),798,
IF(AND(C83&gt;=DATE(2024,2,29),C83&lt;=DATE(2024,4,11)),27,
IF(AND(C83&gt;=DATE(2024,5,7),C83&lt;=DATE(2024,6,13)),182,IF(AND(C83&gt;=DATE(2024,7,11),C83&lt;=DATE(2024,8,21)),290,IF(AND(C83&gt;=DATE(2024,9,6),C83&lt;=DATE(2024,10,16)),419,0))))))</f>
        <v>182</v>
      </c>
      <c r="AA83" s="172">
        <f t="shared" ref="AA83:AA86" si="73">IF(AND(C83&gt;=DATE(2023,10,10),C83&lt;=DATE(2023,11,21)),576,
IF(AND(C83&gt;=DATE(2023,12,6),C83&lt;=DATE(2023,12,25)),709,
IF(AND(C83&gt;=DATE(2024,1,4),C83&lt;=DATE(2024,1,25)),798,
IF(AND(C83&gt;=DATE(2024,2,8),C83&lt;=DATE(2024,3,12)),27, IF(AND(C83&gt;=DATE(2024,4,2),C83&lt;=DATE(2024,5,7)),108, IF(AND(C83&gt;=DATE(2024,6,5),C83&lt;=DATE(2024,7,17)),248,  IF(AND(C83&gt;=DATE(2024,7,31),C83&lt;=DATE(2024,9,1)),290, IF(AND(C83&gt;=DATE(2024,10,8),C83&lt;=DATE(2024,11,1)),480,0))))))))</f>
        <v>0</v>
      </c>
      <c r="AC83" s="171">
        <f t="shared" ref="AC83:AC86" si="74">C83</f>
        <v>45432</v>
      </c>
      <c r="AD83" s="171"/>
    </row>
    <row r="84" spans="1:30" ht="158.4" x14ac:dyDescent="0.25">
      <c r="A84" s="16">
        <v>76</v>
      </c>
      <c r="B84" s="18" t="s">
        <v>721</v>
      </c>
      <c r="C84" s="109">
        <f t="shared" si="68"/>
        <v>45439</v>
      </c>
      <c r="D84" s="275" t="s">
        <v>802</v>
      </c>
      <c r="E84" s="144" t="s">
        <v>807</v>
      </c>
      <c r="F84" s="221" t="s">
        <v>559</v>
      </c>
      <c r="G84" s="227" t="s">
        <v>951</v>
      </c>
      <c r="H84" s="246">
        <v>45434</v>
      </c>
      <c r="I84" s="246">
        <v>45439</v>
      </c>
      <c r="J84" s="201" t="s">
        <v>979</v>
      </c>
      <c r="K84" s="162" t="s">
        <v>231</v>
      </c>
      <c r="L84" s="97" t="str">
        <f t="shared" si="41"/>
        <v>Исп. схема № 61.17-АР-76 от 27.05.2024. Монтаж подвесной системы потолков в помещениях 2 этажа, в т.ч. лестничных клеток в/о А-В/5-10; АОРПИ № АИР-1.2-61.17-АР/55 от 22.03.2024г.</v>
      </c>
      <c r="M84" s="175" t="s">
        <v>251</v>
      </c>
      <c r="N84" s="161" t="s">
        <v>177</v>
      </c>
      <c r="O84" s="6" t="s">
        <v>240</v>
      </c>
      <c r="P84" s="111" t="s">
        <v>197</v>
      </c>
      <c r="Q84" s="111" t="s">
        <v>198</v>
      </c>
      <c r="R84" s="111" t="s">
        <v>199</v>
      </c>
      <c r="S84" s="27" t="s">
        <v>172</v>
      </c>
      <c r="T84" s="24" t="s">
        <v>82</v>
      </c>
      <c r="U84" s="150" t="s">
        <v>89</v>
      </c>
      <c r="V84" s="16">
        <f t="shared" si="69"/>
        <v>2</v>
      </c>
      <c r="W84" s="16">
        <f t="shared" si="70"/>
        <v>298</v>
      </c>
      <c r="Y84" s="16">
        <f t="shared" si="71"/>
        <v>108</v>
      </c>
      <c r="Z84" s="16">
        <f t="shared" si="72"/>
        <v>182</v>
      </c>
      <c r="AA84" s="172">
        <f t="shared" si="73"/>
        <v>0</v>
      </c>
      <c r="AC84" s="171">
        <f t="shared" si="74"/>
        <v>45439</v>
      </c>
      <c r="AD84" s="171"/>
    </row>
    <row r="85" spans="1:30" ht="66" x14ac:dyDescent="0.25">
      <c r="A85" s="16">
        <v>77</v>
      </c>
      <c r="B85" s="18" t="s">
        <v>722</v>
      </c>
      <c r="C85" s="109">
        <f t="shared" si="68"/>
        <v>45439</v>
      </c>
      <c r="D85" s="275" t="s">
        <v>801</v>
      </c>
      <c r="E85" s="144" t="s">
        <v>809</v>
      </c>
      <c r="F85" s="204" t="str">
        <f>CONCATENATE("Материалы согласно реестру к п.3 № ",реестр!B85," от ",TEXT(реестр!C85,"ДД.ММ.ГГГГ"))</f>
        <v>Материалы согласно реестру к п.3 № АИР-М-1.2-61.17-АР-77 от 27.05.2024</v>
      </c>
      <c r="G85" s="227" t="s">
        <v>952</v>
      </c>
      <c r="H85" s="246">
        <v>45436</v>
      </c>
      <c r="I85" s="246">
        <v>45439</v>
      </c>
      <c r="J85" s="201" t="s">
        <v>979</v>
      </c>
      <c r="K85" s="162" t="s">
        <v>205</v>
      </c>
      <c r="L85" s="97" t="str">
        <f t="shared" si="41"/>
        <v>Исп. схема № 61.17-АР-77 от 27.05.2024. Монтаж потолочных плит и кассет в помещениях 1 этажа в/о А-В/3-10; АОРПИ: № АИР-1.2-61.17-АР/58 от 22.03.2024г., № АИР-1.2-61.17-АР/56 от 22.03.2024г.</v>
      </c>
      <c r="M85" s="175" t="s">
        <v>251</v>
      </c>
      <c r="N85" s="161" t="s">
        <v>177</v>
      </c>
      <c r="O85" s="6" t="s">
        <v>240</v>
      </c>
      <c r="P85" s="111" t="s">
        <v>197</v>
      </c>
      <c r="Q85" s="111" t="s">
        <v>198</v>
      </c>
      <c r="R85" s="111" t="s">
        <v>199</v>
      </c>
      <c r="S85" s="27" t="s">
        <v>172</v>
      </c>
      <c r="T85" s="24" t="s">
        <v>82</v>
      </c>
      <c r="U85" s="150" t="s">
        <v>89</v>
      </c>
      <c r="V85" s="16">
        <f t="shared" si="69"/>
        <v>2</v>
      </c>
      <c r="W85" s="16">
        <f t="shared" si="70"/>
        <v>298</v>
      </c>
      <c r="Y85" s="16">
        <f t="shared" si="71"/>
        <v>108</v>
      </c>
      <c r="Z85" s="16">
        <f t="shared" si="72"/>
        <v>182</v>
      </c>
      <c r="AA85" s="172">
        <f t="shared" si="73"/>
        <v>0</v>
      </c>
      <c r="AC85" s="171">
        <f t="shared" si="74"/>
        <v>45439</v>
      </c>
      <c r="AD85" s="171"/>
    </row>
    <row r="86" spans="1:30" ht="79.2" x14ac:dyDescent="0.25">
      <c r="A86" s="16">
        <v>78</v>
      </c>
      <c r="B86" s="18" t="s">
        <v>723</v>
      </c>
      <c r="C86" s="109">
        <f t="shared" si="68"/>
        <v>45451</v>
      </c>
      <c r="D86" s="275" t="s">
        <v>953</v>
      </c>
      <c r="E86" s="144" t="s">
        <v>807</v>
      </c>
      <c r="F86" s="204" t="str">
        <f>CONCATENATE("Материалы согласно реестру к п.3 № ",реестр!B86," от ",TEXT(реестр!C86,"ДД.ММ.ГГГГ"))</f>
        <v>Материалы согласно реестру к п.3 № АИР-М-1.2-61.17-АР-78 от 08.06.2024</v>
      </c>
      <c r="G86" s="227" t="s">
        <v>954</v>
      </c>
      <c r="H86" s="246">
        <v>45447</v>
      </c>
      <c r="I86" s="246">
        <v>45451</v>
      </c>
      <c r="J86" s="201" t="s">
        <v>979</v>
      </c>
      <c r="K86" s="162" t="s">
        <v>205</v>
      </c>
      <c r="L86" s="97" t="str">
        <f t="shared" si="41"/>
        <v>Исп. схема № 61.17-АР-78 от 08.06.2024. Монтаж потолочных плит и кассет в помещениях 2 этажа в/о А-В/5-10; АОРПИ: № АИР-1.2-61.17-АР/58 от 22.03.2024г., № АИР-1.2-61.17-АР/56 от 22.03.2024г., № АИР-1.2-61.17-АР/57 от 25.06.2024г.</v>
      </c>
      <c r="M86" s="175" t="s">
        <v>251</v>
      </c>
      <c r="N86" s="161" t="s">
        <v>177</v>
      </c>
      <c r="O86" s="6" t="s">
        <v>240</v>
      </c>
      <c r="P86" s="111" t="s">
        <v>197</v>
      </c>
      <c r="Q86" s="111" t="s">
        <v>198</v>
      </c>
      <c r="R86" s="111" t="s">
        <v>199</v>
      </c>
      <c r="S86" s="27" t="s">
        <v>172</v>
      </c>
      <c r="T86" s="24" t="s">
        <v>82</v>
      </c>
      <c r="U86" s="161" t="s">
        <v>234</v>
      </c>
      <c r="V86" s="16" t="str">
        <f t="shared" si="69"/>
        <v>25/2</v>
      </c>
      <c r="W86" s="16">
        <f t="shared" si="70"/>
        <v>298</v>
      </c>
      <c r="Y86" s="172">
        <f t="shared" si="71"/>
        <v>0</v>
      </c>
      <c r="Z86" s="16">
        <f t="shared" si="72"/>
        <v>182</v>
      </c>
      <c r="AA86" s="16">
        <f t="shared" si="73"/>
        <v>248</v>
      </c>
      <c r="AC86" s="171">
        <f t="shared" si="74"/>
        <v>45451</v>
      </c>
      <c r="AD86" s="171"/>
    </row>
    <row r="87" spans="1:30" ht="66" x14ac:dyDescent="0.25">
      <c r="A87" s="16">
        <v>79</v>
      </c>
      <c r="B87" s="18" t="s">
        <v>724</v>
      </c>
      <c r="C87" s="109">
        <f t="shared" ref="C87:C94" si="75">I87</f>
        <v>45443</v>
      </c>
      <c r="D87" s="276" t="s">
        <v>803</v>
      </c>
      <c r="E87" s="144" t="s">
        <v>804</v>
      </c>
      <c r="F87" s="222" t="s">
        <v>805</v>
      </c>
      <c r="G87" s="228" t="s">
        <v>955</v>
      </c>
      <c r="H87" s="159">
        <v>45441</v>
      </c>
      <c r="I87" s="159">
        <v>45443</v>
      </c>
      <c r="J87" s="201" t="s">
        <v>979</v>
      </c>
      <c r="K87" s="162" t="s">
        <v>205</v>
      </c>
      <c r="L87" s="97" t="str">
        <f t="shared" si="41"/>
        <v>Исп. схема № 61.17-АР-79 от 31.05.2024. Монтаж ограждений лестничных маршей в/о  А-Б/5-5.1 и А-Б/9-10 ; АОРПИ; № АИР 1.2-61.17-АР/43 от 04.03.2024г.</v>
      </c>
      <c r="M87" s="175" t="s">
        <v>251</v>
      </c>
      <c r="N87" s="161" t="s">
        <v>177</v>
      </c>
      <c r="O87" s="6" t="s">
        <v>240</v>
      </c>
      <c r="P87" s="111" t="s">
        <v>197</v>
      </c>
      <c r="Q87" s="111" t="s">
        <v>198</v>
      </c>
      <c r="R87" s="111" t="s">
        <v>199</v>
      </c>
      <c r="S87" s="27" t="s">
        <v>172</v>
      </c>
      <c r="T87" s="24" t="s">
        <v>82</v>
      </c>
      <c r="U87" s="150" t="s">
        <v>89</v>
      </c>
      <c r="V87" s="16">
        <f t="shared" ref="V87:V97" si="76">IF(AND(C87&gt;=DATE(2023,1,9),C87&lt;=DATE(2024,5,31)),2,
IF(AND(C87&gt;=DATE(2024,6,1),C87&lt;=DATE(2024,12,30)),"25/2",0))</f>
        <v>2</v>
      </c>
      <c r="W87" s="16">
        <f t="shared" ref="W87:W97" si="77">IF(AND(C87&gt;=DATE(2023,10,17),C87&lt;=DATE(2024,2,14)),775,
IF(AND(C87&gt;=DATE(2024,2,15),C87&lt;=DATE(2024,2,21)),125,
IF(AND(C87&gt;=DATE(2024,2,22),C87&lt;=DATE(2024,4,4)),127,
IF(AND(C87&gt;=DATE(2024,4,5),C87&lt;=DATE(2024,8,21)),298,IF(AND(C87&gt;=DATE(2024,8,22),C87&lt;=DATE(2024,12,30)),422,0)))))</f>
        <v>298</v>
      </c>
      <c r="Y87" s="172">
        <f t="shared" ref="Y87:Y97" si="78">IF(AND(C87&gt;=DATE(2024,1,25),C87&lt;=DATE(2024,2,25)),798,
IF(AND(C87&gt;=DATE(2024,3,12),C87&lt;=DATE(2024,4,14)),68,
IF(AND(C87&gt;=DATE(2024,4,25),C87&lt;=DATE(2024,5,2)),108,
IF(AND(C87&gt;=DATE(2024,5,14),C87&lt;=DATE(2024,5,29)),108, IF(AND(C87&gt;=DATE(2024,6,25),C87&lt;=DATE(2024,8,4)),248, IF(AND(C87&gt;=DATE(2024,8,21),C87&lt;=DATE(2024,9,22)),357, IF(AND(C87&gt;=DATE(2024,10,18),C87&lt;=DATE(2024,11,12)),480,0)))))))</f>
        <v>0</v>
      </c>
      <c r="Z87" s="16">
        <f t="shared" ref="Z87:Z97" si="79">IF(AND(C87&gt;=DATE(2023,11,24),C87&lt;=DATE(2023,12,21)),631,
IF(AND(C87&gt;=DATE(2024,1,10),C87&lt;=DATE(2024,2,15)),798,
IF(AND(C87&gt;=DATE(2024,2,29),C87&lt;=DATE(2024,4,11)),27,
IF(AND(C87&gt;=DATE(2024,5,7),C87&lt;=DATE(2024,6,13)),182,IF(AND(C87&gt;=DATE(2024,7,11),C87&lt;=DATE(2024,8,21)),290,IF(AND(C87&gt;=DATE(2024,9,6),C87&lt;=DATE(2024,10,16)),419,0))))))</f>
        <v>182</v>
      </c>
      <c r="AA87" s="172">
        <f t="shared" ref="AA87:AA97" si="80">IF(AND(C87&gt;=DATE(2023,10,10),C87&lt;=DATE(2023,11,21)),576,
IF(AND(C87&gt;=DATE(2023,12,6),C87&lt;=DATE(2023,12,25)),709,
IF(AND(C87&gt;=DATE(2024,1,4),C87&lt;=DATE(2024,1,25)),798,
IF(AND(C87&gt;=DATE(2024,2,8),C87&lt;=DATE(2024,3,12)),27, IF(AND(C87&gt;=DATE(2024,4,2),C87&lt;=DATE(2024,5,7)),108, IF(AND(C87&gt;=DATE(2024,6,5),C87&lt;=DATE(2024,7,17)),248,  IF(AND(C87&gt;=DATE(2024,7,31),C87&lt;=DATE(2024,9,1)),290, IF(AND(C87&gt;=DATE(2024,10,8),C87&lt;=DATE(2024,11,1)),480,0))))))))</f>
        <v>0</v>
      </c>
      <c r="AC87" s="171">
        <f t="shared" ref="AC87:AC97" si="81">C87</f>
        <v>45443</v>
      </c>
      <c r="AD87" s="171"/>
    </row>
    <row r="88" spans="1:30" ht="79.2" x14ac:dyDescent="0.25">
      <c r="A88" s="16">
        <v>80</v>
      </c>
      <c r="B88" s="18" t="s">
        <v>725</v>
      </c>
      <c r="C88" s="109">
        <f t="shared" si="75"/>
        <v>45435</v>
      </c>
      <c r="D88" s="276" t="s">
        <v>956</v>
      </c>
      <c r="E88" s="144" t="s">
        <v>806</v>
      </c>
      <c r="F88" s="222" t="s">
        <v>321</v>
      </c>
      <c r="G88" s="228" t="s">
        <v>957</v>
      </c>
      <c r="H88" s="159">
        <v>45434</v>
      </c>
      <c r="I88" s="159">
        <v>45435</v>
      </c>
      <c r="J88" s="201" t="s">
        <v>979</v>
      </c>
      <c r="K88" s="162" t="s">
        <v>205</v>
      </c>
      <c r="L88" s="97" t="str">
        <f t="shared" si="41"/>
        <v>Исп. схема № 61.17-АР-80 от 23.05.2024. Монтаж люков ревизионных инженерных сетей на 1 этаже в/о А-В/5.1-9 и 2 этаже в/о А-В/7-10; АОРПИ № АИР 1.2-61.17-АР/65 от 18.02.2024г.</v>
      </c>
      <c r="M88" s="188" t="s">
        <v>252</v>
      </c>
      <c r="N88" s="189" t="s">
        <v>207</v>
      </c>
      <c r="O88" s="6" t="s">
        <v>240</v>
      </c>
      <c r="P88" s="111" t="s">
        <v>197</v>
      </c>
      <c r="Q88" s="111" t="s">
        <v>198</v>
      </c>
      <c r="R88" s="111" t="s">
        <v>199</v>
      </c>
      <c r="S88" s="27" t="s">
        <v>172</v>
      </c>
      <c r="T88" s="24" t="s">
        <v>82</v>
      </c>
      <c r="U88" s="150" t="s">
        <v>89</v>
      </c>
      <c r="V88" s="16">
        <f t="shared" si="76"/>
        <v>2</v>
      </c>
      <c r="W88" s="16">
        <f t="shared" si="77"/>
        <v>298</v>
      </c>
      <c r="Y88" s="16">
        <f t="shared" si="78"/>
        <v>108</v>
      </c>
      <c r="Z88" s="16">
        <f t="shared" si="79"/>
        <v>182</v>
      </c>
      <c r="AA88" s="172">
        <f t="shared" si="80"/>
        <v>0</v>
      </c>
      <c r="AC88" s="171">
        <f t="shared" si="81"/>
        <v>45435</v>
      </c>
      <c r="AD88" s="171"/>
    </row>
    <row r="89" spans="1:30" ht="79.2" x14ac:dyDescent="0.25">
      <c r="A89" s="16">
        <v>81</v>
      </c>
      <c r="B89" s="18" t="s">
        <v>726</v>
      </c>
      <c r="C89" s="109">
        <f t="shared" si="75"/>
        <v>45433</v>
      </c>
      <c r="D89" s="276" t="s">
        <v>811</v>
      </c>
      <c r="E89" s="144" t="s">
        <v>812</v>
      </c>
      <c r="F89" s="222" t="s">
        <v>293</v>
      </c>
      <c r="G89" s="228" t="s">
        <v>958</v>
      </c>
      <c r="H89" s="159">
        <v>45432</v>
      </c>
      <c r="I89" s="159">
        <v>45433</v>
      </c>
      <c r="J89" s="201" t="s">
        <v>979</v>
      </c>
      <c r="K89" s="250" t="s">
        <v>235</v>
      </c>
      <c r="L89" s="97" t="str">
        <f t="shared" si="41"/>
        <v>Исп. схема № 61.17-АР-81 от 21.05.2024. Монтаж антенны на кровле; АОРПИ № АИР 1.2-61.17-АР/130р от 08.12.2023г.</v>
      </c>
      <c r="M89" s="188" t="s">
        <v>252</v>
      </c>
      <c r="N89" s="189" t="s">
        <v>207</v>
      </c>
      <c r="O89" s="6" t="s">
        <v>240</v>
      </c>
      <c r="P89" s="111" t="s">
        <v>197</v>
      </c>
      <c r="Q89" s="111" t="s">
        <v>198</v>
      </c>
      <c r="R89" s="111" t="s">
        <v>199</v>
      </c>
      <c r="S89" s="27" t="s">
        <v>172</v>
      </c>
      <c r="T89" s="24" t="s">
        <v>82</v>
      </c>
      <c r="U89" s="150" t="s">
        <v>89</v>
      </c>
      <c r="V89" s="16">
        <f t="shared" si="76"/>
        <v>2</v>
      </c>
      <c r="W89" s="16">
        <f t="shared" si="77"/>
        <v>298</v>
      </c>
      <c r="Y89" s="16">
        <f t="shared" si="78"/>
        <v>108</v>
      </c>
      <c r="Z89" s="16">
        <f t="shared" si="79"/>
        <v>182</v>
      </c>
      <c r="AA89" s="172">
        <f t="shared" si="80"/>
        <v>0</v>
      </c>
      <c r="AC89" s="171">
        <f t="shared" si="81"/>
        <v>45433</v>
      </c>
      <c r="AD89" s="171"/>
    </row>
    <row r="90" spans="1:30" ht="79.2" x14ac:dyDescent="0.25">
      <c r="A90" s="16">
        <v>82</v>
      </c>
      <c r="B90" s="18" t="s">
        <v>727</v>
      </c>
      <c r="C90" s="109">
        <f t="shared" si="75"/>
        <v>45434</v>
      </c>
      <c r="D90" s="276" t="s">
        <v>834</v>
      </c>
      <c r="E90" s="144" t="s">
        <v>810</v>
      </c>
      <c r="F90" s="222" t="s">
        <v>322</v>
      </c>
      <c r="G90" s="228" t="s">
        <v>959</v>
      </c>
      <c r="H90" s="159">
        <v>45434</v>
      </c>
      <c r="I90" s="159">
        <v>45434</v>
      </c>
      <c r="J90" s="201" t="s">
        <v>979</v>
      </c>
      <c r="K90" s="250" t="s">
        <v>236</v>
      </c>
      <c r="L90" s="97" t="str">
        <f t="shared" si="41"/>
        <v>Исп. схема № 61.17-АР-82 от 22.05.2024. Подготовка к антикоррозийной обработке сварных соединений антенны на кровле</v>
      </c>
      <c r="M90" s="188" t="s">
        <v>252</v>
      </c>
      <c r="N90" s="189" t="s">
        <v>207</v>
      </c>
      <c r="O90" s="6" t="s">
        <v>240</v>
      </c>
      <c r="P90" s="111" t="s">
        <v>197</v>
      </c>
      <c r="Q90" s="111" t="s">
        <v>198</v>
      </c>
      <c r="R90" s="111" t="s">
        <v>199</v>
      </c>
      <c r="S90" s="27" t="s">
        <v>172</v>
      </c>
      <c r="T90" s="24" t="s">
        <v>82</v>
      </c>
      <c r="U90" s="150" t="s">
        <v>89</v>
      </c>
      <c r="V90" s="16">
        <f t="shared" si="76"/>
        <v>2</v>
      </c>
      <c r="W90" s="16">
        <f t="shared" si="77"/>
        <v>298</v>
      </c>
      <c r="Y90" s="16">
        <f t="shared" si="78"/>
        <v>108</v>
      </c>
      <c r="Z90" s="16">
        <f t="shared" si="79"/>
        <v>182</v>
      </c>
      <c r="AA90" s="172">
        <f t="shared" si="80"/>
        <v>0</v>
      </c>
      <c r="AC90" s="171">
        <f t="shared" si="81"/>
        <v>45434</v>
      </c>
      <c r="AD90" s="171"/>
    </row>
    <row r="91" spans="1:30" ht="79.2" x14ac:dyDescent="0.25">
      <c r="A91" s="16">
        <v>83</v>
      </c>
      <c r="B91" s="18" t="s">
        <v>728</v>
      </c>
      <c r="C91" s="109">
        <f t="shared" si="75"/>
        <v>45435</v>
      </c>
      <c r="D91" s="276" t="s">
        <v>835</v>
      </c>
      <c r="E91" s="144" t="s">
        <v>810</v>
      </c>
      <c r="F91" s="222" t="s">
        <v>323</v>
      </c>
      <c r="G91" s="228" t="s">
        <v>960</v>
      </c>
      <c r="H91" s="159">
        <v>45435</v>
      </c>
      <c r="I91" s="159">
        <v>45435</v>
      </c>
      <c r="J91" s="201" t="s">
        <v>979</v>
      </c>
      <c r="K91" s="162" t="s">
        <v>205</v>
      </c>
      <c r="L91" s="97" t="str">
        <f t="shared" si="41"/>
        <v>Исп. схема № 61.17-АР-83 от 23.05.2024. Антикоррозийная обработка сварных соединений антенны на кровле</v>
      </c>
      <c r="M91" s="188" t="s">
        <v>252</v>
      </c>
      <c r="N91" s="189" t="s">
        <v>207</v>
      </c>
      <c r="O91" s="6" t="s">
        <v>240</v>
      </c>
      <c r="P91" s="111" t="s">
        <v>197</v>
      </c>
      <c r="Q91" s="111" t="s">
        <v>198</v>
      </c>
      <c r="R91" s="111" t="s">
        <v>199</v>
      </c>
      <c r="S91" s="27" t="s">
        <v>172</v>
      </c>
      <c r="T91" s="24" t="s">
        <v>82</v>
      </c>
      <c r="U91" s="150" t="s">
        <v>89</v>
      </c>
      <c r="V91" s="16">
        <f t="shared" si="76"/>
        <v>2</v>
      </c>
      <c r="W91" s="16">
        <f t="shared" si="77"/>
        <v>298</v>
      </c>
      <c r="Y91" s="16">
        <f t="shared" si="78"/>
        <v>108</v>
      </c>
      <c r="Z91" s="16">
        <f t="shared" si="79"/>
        <v>182</v>
      </c>
      <c r="AA91" s="172">
        <f t="shared" si="80"/>
        <v>0</v>
      </c>
      <c r="AC91" s="171">
        <f t="shared" si="81"/>
        <v>45435</v>
      </c>
      <c r="AD91" s="171"/>
    </row>
    <row r="92" spans="1:30" ht="132" x14ac:dyDescent="0.25">
      <c r="A92" s="16">
        <v>84</v>
      </c>
      <c r="B92" s="18" t="s">
        <v>729</v>
      </c>
      <c r="C92" s="109">
        <f t="shared" si="75"/>
        <v>45462</v>
      </c>
      <c r="D92" s="276" t="s">
        <v>961</v>
      </c>
      <c r="E92" s="144" t="s">
        <v>813</v>
      </c>
      <c r="F92" s="222" t="s">
        <v>292</v>
      </c>
      <c r="G92" s="228" t="s">
        <v>962</v>
      </c>
      <c r="H92" s="159">
        <v>45462</v>
      </c>
      <c r="I92" s="159">
        <v>45462</v>
      </c>
      <c r="J92" s="201" t="s">
        <v>979</v>
      </c>
      <c r="K92" s="162" t="s">
        <v>205</v>
      </c>
      <c r="L92" s="97" t="str">
        <f t="shared" si="41"/>
        <v>Исп. схема № 61.17-АР-84 от 19.06.2024. Монтаж сантехнических кабин в пом. санузлов на 1 и 2 этаже;  АОСР № АИР-1.2-61.17-АР/45 от 16.06.2024г.</v>
      </c>
      <c r="M92" s="176" t="s">
        <v>253</v>
      </c>
      <c r="N92" s="177" t="s">
        <v>249</v>
      </c>
      <c r="O92" s="6" t="s">
        <v>240</v>
      </c>
      <c r="P92" s="111" t="s">
        <v>197</v>
      </c>
      <c r="Q92" s="111" t="s">
        <v>198</v>
      </c>
      <c r="R92" s="111" t="s">
        <v>199</v>
      </c>
      <c r="S92" s="27" t="s">
        <v>172</v>
      </c>
      <c r="T92" s="24" t="s">
        <v>82</v>
      </c>
      <c r="U92" s="161" t="s">
        <v>234</v>
      </c>
      <c r="V92" s="16" t="str">
        <f t="shared" si="76"/>
        <v>25/2</v>
      </c>
      <c r="W92" s="16">
        <f t="shared" si="77"/>
        <v>298</v>
      </c>
      <c r="Y92" s="172">
        <f t="shared" si="78"/>
        <v>0</v>
      </c>
      <c r="Z92" s="172">
        <f t="shared" si="79"/>
        <v>0</v>
      </c>
      <c r="AA92" s="16">
        <f t="shared" si="80"/>
        <v>248</v>
      </c>
      <c r="AC92" s="171">
        <f t="shared" si="81"/>
        <v>45462</v>
      </c>
      <c r="AD92" s="171"/>
    </row>
    <row r="93" spans="1:30" ht="79.2" x14ac:dyDescent="0.25">
      <c r="A93" s="16">
        <v>85</v>
      </c>
      <c r="B93" s="18" t="s">
        <v>730</v>
      </c>
      <c r="C93" s="109">
        <f t="shared" si="75"/>
        <v>45540</v>
      </c>
      <c r="D93" s="276" t="s">
        <v>963</v>
      </c>
      <c r="E93" s="144" t="s">
        <v>814</v>
      </c>
      <c r="F93" s="222" t="s">
        <v>661</v>
      </c>
      <c r="G93" s="228" t="s">
        <v>964</v>
      </c>
      <c r="H93" s="159">
        <v>45537</v>
      </c>
      <c r="I93" s="159">
        <v>45540</v>
      </c>
      <c r="J93" s="201" t="s">
        <v>979</v>
      </c>
      <c r="K93" s="144" t="s">
        <v>232</v>
      </c>
      <c r="L93" s="97" t="str">
        <f t="shared" si="41"/>
        <v>Исп. схема № 61.17-АР-85 от 05.09.2024. Монтаж подсистемы обшивки цоколя в/о А-В/1-10; АОРПИ № АИР 1.2-61.17-АР/44 от 29.02.2024г.</v>
      </c>
      <c r="M93" s="178" t="s">
        <v>254</v>
      </c>
      <c r="N93" s="179" t="s">
        <v>207</v>
      </c>
      <c r="O93" s="169" t="s">
        <v>241</v>
      </c>
      <c r="P93" s="111" t="s">
        <v>197</v>
      </c>
      <c r="Q93" s="111" t="s">
        <v>198</v>
      </c>
      <c r="R93" s="111" t="s">
        <v>199</v>
      </c>
      <c r="S93" s="27" t="s">
        <v>172</v>
      </c>
      <c r="T93" s="24" t="s">
        <v>82</v>
      </c>
      <c r="U93" s="161" t="s">
        <v>234</v>
      </c>
      <c r="V93" s="16" t="str">
        <f t="shared" si="76"/>
        <v>25/2</v>
      </c>
      <c r="W93" s="16">
        <f t="shared" si="77"/>
        <v>422</v>
      </c>
      <c r="Y93" s="16">
        <f t="shared" si="78"/>
        <v>357</v>
      </c>
      <c r="Z93" s="172">
        <f t="shared" si="79"/>
        <v>0</v>
      </c>
      <c r="AA93" s="172">
        <f t="shared" si="80"/>
        <v>0</v>
      </c>
      <c r="AC93" s="171">
        <f t="shared" si="81"/>
        <v>45540</v>
      </c>
      <c r="AD93" s="171"/>
    </row>
    <row r="94" spans="1:30" ht="92.4" x14ac:dyDescent="0.25">
      <c r="A94" s="16">
        <v>86</v>
      </c>
      <c r="B94" s="18" t="s">
        <v>731</v>
      </c>
      <c r="C94" s="109">
        <f t="shared" si="75"/>
        <v>45543</v>
      </c>
      <c r="D94" s="276" t="s">
        <v>965</v>
      </c>
      <c r="E94" s="144" t="s">
        <v>814</v>
      </c>
      <c r="F94" s="204" t="str">
        <f>CONCATENATE("Материалы согласно реестру к п.3 № ",реестр!B94," от ",TEXT(реестр!C94,"ДД.ММ.ГГГГ"))</f>
        <v>Материалы согласно реестру к п.3 № АИР-М-1.2-61.17-АР-86 от 08.09.2024</v>
      </c>
      <c r="G94" s="228" t="s">
        <v>966</v>
      </c>
      <c r="H94" s="159">
        <v>45541</v>
      </c>
      <c r="I94" s="159">
        <v>45543</v>
      </c>
      <c r="J94" s="201" t="s">
        <v>979</v>
      </c>
      <c r="K94" s="144" t="s">
        <v>569</v>
      </c>
      <c r="L94" s="97" t="str">
        <f t="shared" si="41"/>
        <v>Исп. схема № 61.17-АР-86 от 08.09.2024. Утепление цокольной части здания минеральной ватой в/о А-В/1-10; АОРПИ:  № АИР 1.2-61.17-АР/36 от 12.10.2023г., № АИР 1.2-61.17АР/37 от 13.10.2023г., № АИР 1.2-61.17-АР/38 от 27.09.2023г., № АИР 1.2-61.17-АР/44 от 29.02.2024г.</v>
      </c>
      <c r="M94" s="178" t="s">
        <v>254</v>
      </c>
      <c r="N94" s="179" t="s">
        <v>207</v>
      </c>
      <c r="O94" s="169" t="s">
        <v>241</v>
      </c>
      <c r="P94" s="111" t="s">
        <v>197</v>
      </c>
      <c r="Q94" s="111" t="s">
        <v>198</v>
      </c>
      <c r="R94" s="111" t="s">
        <v>199</v>
      </c>
      <c r="S94" s="27" t="s">
        <v>172</v>
      </c>
      <c r="T94" s="24" t="s">
        <v>82</v>
      </c>
      <c r="U94" s="161" t="s">
        <v>234</v>
      </c>
      <c r="V94" s="16" t="str">
        <f t="shared" si="76"/>
        <v>25/2</v>
      </c>
      <c r="W94" s="16">
        <f t="shared" si="77"/>
        <v>422</v>
      </c>
      <c r="Y94" s="16">
        <f t="shared" si="78"/>
        <v>357</v>
      </c>
      <c r="Z94" s="16">
        <f t="shared" si="79"/>
        <v>419</v>
      </c>
      <c r="AA94" s="172">
        <f t="shared" si="80"/>
        <v>0</v>
      </c>
      <c r="AC94" s="171">
        <f t="shared" si="81"/>
        <v>45543</v>
      </c>
      <c r="AD94" s="171"/>
    </row>
    <row r="95" spans="1:30" ht="79.2" x14ac:dyDescent="0.25">
      <c r="A95" s="16">
        <v>87</v>
      </c>
      <c r="B95" s="18" t="s">
        <v>732</v>
      </c>
      <c r="C95" s="109">
        <v>45546</v>
      </c>
      <c r="D95" s="276" t="s">
        <v>967</v>
      </c>
      <c r="E95" s="144" t="s">
        <v>814</v>
      </c>
      <c r="F95" s="222" t="s">
        <v>320</v>
      </c>
      <c r="G95" s="228" t="s">
        <v>968</v>
      </c>
      <c r="H95" s="159">
        <v>45544</v>
      </c>
      <c r="I95" s="159">
        <v>45546</v>
      </c>
      <c r="J95" s="201" t="s">
        <v>979</v>
      </c>
      <c r="K95" s="144" t="s">
        <v>662</v>
      </c>
      <c r="L95" s="97" t="str">
        <f t="shared" si="41"/>
        <v>Исп. схема № 61.17-АР-87 от 11.09.2024. Монтаж керамогранитных плит обшивки цоколя в/о А-В/1-10; АОРПИ № АИР 1.2-61.17-АР/39 от 25.10.2023г.</v>
      </c>
      <c r="M95" s="178" t="s">
        <v>254</v>
      </c>
      <c r="N95" s="179" t="s">
        <v>207</v>
      </c>
      <c r="O95" s="169" t="s">
        <v>241</v>
      </c>
      <c r="P95" s="111" t="s">
        <v>197</v>
      </c>
      <c r="Q95" s="111" t="s">
        <v>198</v>
      </c>
      <c r="R95" s="111" t="s">
        <v>199</v>
      </c>
      <c r="S95" s="27" t="s">
        <v>172</v>
      </c>
      <c r="T95" s="24" t="s">
        <v>82</v>
      </c>
      <c r="U95" s="161" t="s">
        <v>234</v>
      </c>
      <c r="V95" s="16" t="str">
        <f t="shared" si="76"/>
        <v>25/2</v>
      </c>
      <c r="W95" s="16">
        <f t="shared" si="77"/>
        <v>422</v>
      </c>
      <c r="Y95" s="16">
        <f t="shared" si="78"/>
        <v>357</v>
      </c>
      <c r="Z95" s="16">
        <f t="shared" si="79"/>
        <v>419</v>
      </c>
      <c r="AA95" s="172">
        <f t="shared" si="80"/>
        <v>0</v>
      </c>
      <c r="AC95" s="171">
        <f t="shared" si="81"/>
        <v>45546</v>
      </c>
      <c r="AD95" s="171"/>
    </row>
    <row r="96" spans="1:30" ht="79.2" x14ac:dyDescent="0.25">
      <c r="A96" s="16">
        <v>88</v>
      </c>
      <c r="B96" s="18" t="s">
        <v>733</v>
      </c>
      <c r="C96" s="109">
        <v>45549</v>
      </c>
      <c r="D96" s="276" t="s">
        <v>969</v>
      </c>
      <c r="E96" s="144" t="s">
        <v>815</v>
      </c>
      <c r="F96" s="222" t="s">
        <v>627</v>
      </c>
      <c r="G96" s="228" t="s">
        <v>970</v>
      </c>
      <c r="H96" s="159">
        <v>45547</v>
      </c>
      <c r="I96" s="159">
        <v>45549</v>
      </c>
      <c r="J96" s="201" t="s">
        <v>979</v>
      </c>
      <c r="K96" s="144" t="s">
        <v>205</v>
      </c>
      <c r="L96" s="97" t="str">
        <f t="shared" si="41"/>
        <v xml:space="preserve">Исп. схема № 61.17-АР-88 от 14.09.2024. Монтаж фасонных элементов цоколя в/о А-В/1-10; АОРПИ: № АИР 1.2-61.17-АР/221 от 06.12.2023г., № АИР 1.2-61.17-АР/41 от 02.11.2023г. </v>
      </c>
      <c r="M96" s="178" t="s">
        <v>254</v>
      </c>
      <c r="N96" s="179" t="s">
        <v>207</v>
      </c>
      <c r="O96" s="169" t="s">
        <v>241</v>
      </c>
      <c r="P96" s="111" t="s">
        <v>197</v>
      </c>
      <c r="Q96" s="111" t="s">
        <v>198</v>
      </c>
      <c r="R96" s="111" t="s">
        <v>199</v>
      </c>
      <c r="S96" s="27" t="s">
        <v>172</v>
      </c>
      <c r="T96" s="24" t="s">
        <v>82</v>
      </c>
      <c r="U96" s="161" t="s">
        <v>234</v>
      </c>
      <c r="V96" s="16" t="str">
        <f t="shared" si="76"/>
        <v>25/2</v>
      </c>
      <c r="W96" s="16">
        <f t="shared" si="77"/>
        <v>422</v>
      </c>
      <c r="Y96" s="16">
        <f t="shared" si="78"/>
        <v>357</v>
      </c>
      <c r="Z96" s="16">
        <f t="shared" si="79"/>
        <v>419</v>
      </c>
      <c r="AA96" s="172">
        <f t="shared" si="80"/>
        <v>0</v>
      </c>
      <c r="AC96" s="171">
        <f t="shared" si="81"/>
        <v>45549</v>
      </c>
      <c r="AD96" s="171"/>
    </row>
    <row r="97" spans="1:30" ht="79.2" x14ac:dyDescent="0.25">
      <c r="A97" s="16">
        <v>89</v>
      </c>
      <c r="B97" s="18" t="s">
        <v>734</v>
      </c>
      <c r="C97" s="109">
        <f>I97</f>
        <v>45548</v>
      </c>
      <c r="D97" s="276" t="s">
        <v>971</v>
      </c>
      <c r="E97" s="144" t="s">
        <v>819</v>
      </c>
      <c r="F97" s="222" t="s">
        <v>627</v>
      </c>
      <c r="G97" s="228" t="s">
        <v>972</v>
      </c>
      <c r="H97" s="159">
        <v>45548</v>
      </c>
      <c r="I97" s="159">
        <v>45548</v>
      </c>
      <c r="J97" s="201" t="s">
        <v>979</v>
      </c>
      <c r="K97" s="162" t="s">
        <v>233</v>
      </c>
      <c r="L97" s="97" t="str">
        <f t="shared" si="41"/>
        <v>Исп. схема № 61.17-АР-89 от 13.09.2024. Монтаж стенового клапана дымоудаления в/о А-Б/1-2; АОРПИ: № АИР 1.2-61.17-АР/221 от 06.12.2023г.</v>
      </c>
      <c r="M97" s="178" t="s">
        <v>254</v>
      </c>
      <c r="N97" s="179" t="s">
        <v>207</v>
      </c>
      <c r="O97" s="169" t="s">
        <v>241</v>
      </c>
      <c r="P97" s="111" t="s">
        <v>197</v>
      </c>
      <c r="Q97" s="111" t="s">
        <v>198</v>
      </c>
      <c r="R97" s="111" t="s">
        <v>199</v>
      </c>
      <c r="S97" s="27" t="s">
        <v>172</v>
      </c>
      <c r="T97" s="24" t="s">
        <v>82</v>
      </c>
      <c r="U97" s="161" t="s">
        <v>234</v>
      </c>
      <c r="V97" s="16" t="str">
        <f t="shared" si="76"/>
        <v>25/2</v>
      </c>
      <c r="W97" s="16">
        <f t="shared" si="77"/>
        <v>422</v>
      </c>
      <c r="Y97" s="16">
        <f t="shared" si="78"/>
        <v>357</v>
      </c>
      <c r="Z97" s="16">
        <f t="shared" si="79"/>
        <v>419</v>
      </c>
      <c r="AA97" s="172">
        <f t="shared" si="80"/>
        <v>0</v>
      </c>
      <c r="AC97" s="171">
        <f t="shared" si="81"/>
        <v>45548</v>
      </c>
      <c r="AD97" s="171"/>
    </row>
    <row r="98" spans="1:30" ht="105.6" x14ac:dyDescent="0.25">
      <c r="A98" s="16">
        <v>90</v>
      </c>
      <c r="B98" s="18" t="s">
        <v>735</v>
      </c>
      <c r="C98" s="109">
        <f>I98</f>
        <v>45424</v>
      </c>
      <c r="D98" s="276" t="s">
        <v>973</v>
      </c>
      <c r="E98" s="144" t="s">
        <v>817</v>
      </c>
      <c r="F98" s="195" t="s">
        <v>656</v>
      </c>
      <c r="G98" s="230" t="s">
        <v>974</v>
      </c>
      <c r="H98" s="155">
        <v>45423</v>
      </c>
      <c r="I98" s="155">
        <v>45424</v>
      </c>
      <c r="J98" s="201" t="s">
        <v>979</v>
      </c>
      <c r="K98" s="250" t="s">
        <v>205</v>
      </c>
      <c r="L98" s="97" t="str">
        <f t="shared" si="41"/>
        <v>Исп. схема № 61.17-АР-90 от 12.05.2024. Монтаж покрытия козырьков крылец в/о А-В/1-10; АОРПИ № АИР 1.2-61.17-АР200 от 15.04.2024г.</v>
      </c>
      <c r="M98" s="149" t="s">
        <v>255</v>
      </c>
      <c r="N98" s="24" t="s">
        <v>177</v>
      </c>
      <c r="O98" s="6" t="s">
        <v>240</v>
      </c>
      <c r="P98" s="111" t="s">
        <v>197</v>
      </c>
      <c r="Q98" s="111" t="s">
        <v>198</v>
      </c>
      <c r="R98" s="111" t="s">
        <v>199</v>
      </c>
      <c r="S98" s="27" t="s">
        <v>172</v>
      </c>
      <c r="T98" s="24" t="s">
        <v>82</v>
      </c>
      <c r="U98" s="150" t="s">
        <v>89</v>
      </c>
      <c r="V98" s="16">
        <f t="shared" ref="V98" si="82">IF(AND(C98&gt;=DATE(2023,1,9),C98&lt;=DATE(2024,5,31)),2,
IF(AND(C98&gt;=DATE(2024,6,1),C98&lt;=DATE(2024,12,30)),"25/2",0))</f>
        <v>2</v>
      </c>
      <c r="W98" s="16">
        <f t="shared" ref="W98" si="83">IF(AND(C98&gt;=DATE(2023,10,17),C98&lt;=DATE(2024,2,14)),775,
IF(AND(C98&gt;=DATE(2024,2,15),C98&lt;=DATE(2024,2,21)),125,
IF(AND(C98&gt;=DATE(2024,2,22),C98&lt;=DATE(2024,4,4)),127,
IF(AND(C98&gt;=DATE(2024,4,5),C98&lt;=DATE(2024,8,21)),298,IF(AND(C98&gt;=DATE(2024,8,22),C98&lt;=DATE(2024,12,30)),422,0)))))</f>
        <v>298</v>
      </c>
      <c r="Y98" s="16">
        <f t="shared" ref="Y98" si="84">IF(AND(C98&gt;=DATE(2024,1,25),C98&lt;=DATE(2024,2,25)),798,
IF(AND(C98&gt;=DATE(2024,3,12),C98&lt;=DATE(2024,4,14)),68,
IF(AND(C98&gt;=DATE(2024,4,25),C98&lt;=DATE(2024,5,2)),108,
IF(AND(C98&gt;=DATE(2024,5,14),C98&lt;=DATE(2024,5,29)),108, IF(AND(C98&gt;=DATE(2024,6,25),C98&lt;=DATE(2024,8,4)),248, IF(AND(C98&gt;=DATE(2024,8,21),C98&lt;=DATE(2024,9,22)),357, IF(AND(C98&gt;=DATE(2024,10,18),C98&lt;=DATE(2024,11,12)),480,0)))))))</f>
        <v>0</v>
      </c>
      <c r="Z98" s="16">
        <f t="shared" ref="Z98" si="85">IF(AND(C98&gt;=DATE(2023,11,24),C98&lt;=DATE(2023,12,21)),631,
IF(AND(C98&gt;=DATE(2024,1,10),C98&lt;=DATE(2024,2,15)),798,
IF(AND(C98&gt;=DATE(2024,2,29),C98&lt;=DATE(2024,4,11)),27,
IF(AND(C98&gt;=DATE(2024,5,7),C98&lt;=DATE(2024,6,13)),182,IF(AND(C98&gt;=DATE(2024,7,11),C98&lt;=DATE(2024,8,21)),290,IF(AND(C98&gt;=DATE(2024,9,6),C98&lt;=DATE(2024,10,16)),419,0))))))</f>
        <v>182</v>
      </c>
      <c r="AA98" s="172">
        <f t="shared" ref="AA98" si="86">IF(AND(C98&gt;=DATE(2023,10,10),C98&lt;=DATE(2023,11,21)),576,
IF(AND(C98&gt;=DATE(2023,12,6),C98&lt;=DATE(2023,12,25)),709,
IF(AND(C98&gt;=DATE(2024,1,4),C98&lt;=DATE(2024,1,25)),798,
IF(AND(C98&gt;=DATE(2024,2,8),C98&lt;=DATE(2024,3,12)),27, IF(AND(C98&gt;=DATE(2024,4,2),C98&lt;=DATE(2024,5,7)),108, IF(AND(C98&gt;=DATE(2024,6,5),C98&lt;=DATE(2024,7,17)),248,  IF(AND(C98&gt;=DATE(2024,7,31),C98&lt;=DATE(2024,9,1)),290, IF(AND(C98&gt;=DATE(2024,10,8),C98&lt;=DATE(2024,11,1)),480,0))))))))</f>
        <v>0</v>
      </c>
      <c r="AC98" s="171">
        <f t="shared" ref="AC98" si="87">C98</f>
        <v>45424</v>
      </c>
      <c r="AD98" s="171"/>
    </row>
    <row r="99" spans="1:30" ht="79.2" x14ac:dyDescent="0.25">
      <c r="A99" s="16">
        <v>91</v>
      </c>
      <c r="B99" s="18" t="s">
        <v>736</v>
      </c>
      <c r="C99" s="109">
        <f>I99</f>
        <v>45424</v>
      </c>
      <c r="D99" s="276" t="s">
        <v>975</v>
      </c>
      <c r="E99" s="144" t="s">
        <v>820</v>
      </c>
      <c r="F99" s="222" t="s">
        <v>627</v>
      </c>
      <c r="G99" s="230" t="s">
        <v>976</v>
      </c>
      <c r="H99" s="155">
        <v>45423</v>
      </c>
      <c r="I99" s="155">
        <v>45424</v>
      </c>
      <c r="J99" s="201" t="s">
        <v>979</v>
      </c>
      <c r="K99" s="250" t="s">
        <v>205</v>
      </c>
      <c r="L99" s="97" t="str">
        <f t="shared" si="41"/>
        <v>Исп. схема № 61.17-АР-91 от 12.05.2024.Монтаж фасонных элементов козырьков крылец в/о А-В/1-10; АОРПИ: № АИР 1.2-61.17-АР/221 от 06.12.2023г.</v>
      </c>
      <c r="M99" s="149" t="s">
        <v>255</v>
      </c>
      <c r="N99" s="24" t="s">
        <v>177</v>
      </c>
      <c r="O99" s="6" t="s">
        <v>240</v>
      </c>
      <c r="P99" s="111" t="s">
        <v>197</v>
      </c>
      <c r="Q99" s="111" t="s">
        <v>198</v>
      </c>
      <c r="R99" s="111" t="s">
        <v>199</v>
      </c>
      <c r="S99" s="27" t="s">
        <v>172</v>
      </c>
      <c r="T99" s="24" t="s">
        <v>82</v>
      </c>
      <c r="U99" s="150" t="s">
        <v>89</v>
      </c>
      <c r="V99" s="16">
        <f t="shared" ref="V99" si="88">IF(AND(C99&gt;=DATE(2023,1,9),C99&lt;=DATE(2024,5,31)),2,
IF(AND(C99&gt;=DATE(2024,6,1),C99&lt;=DATE(2024,12,30)),"25/2",0))</f>
        <v>2</v>
      </c>
      <c r="W99" s="16">
        <f t="shared" ref="W99" si="89">IF(AND(C99&gt;=DATE(2023,10,17),C99&lt;=DATE(2024,2,14)),775,
IF(AND(C99&gt;=DATE(2024,2,15),C99&lt;=DATE(2024,2,21)),125,
IF(AND(C99&gt;=DATE(2024,2,22),C99&lt;=DATE(2024,4,4)),127,
IF(AND(C99&gt;=DATE(2024,4,5),C99&lt;=DATE(2024,8,21)),298,IF(AND(C99&gt;=DATE(2024,8,22),C99&lt;=DATE(2024,12,30)),422,0)))))</f>
        <v>298</v>
      </c>
      <c r="Y99" s="16">
        <f t="shared" ref="Y99" si="90">IF(AND(C99&gt;=DATE(2024,1,25),C99&lt;=DATE(2024,2,25)),798,
IF(AND(C99&gt;=DATE(2024,3,12),C99&lt;=DATE(2024,4,14)),68,
IF(AND(C99&gt;=DATE(2024,4,25),C99&lt;=DATE(2024,5,2)),108,
IF(AND(C99&gt;=DATE(2024,5,14),C99&lt;=DATE(2024,5,29)),108, IF(AND(C99&gt;=DATE(2024,6,25),C99&lt;=DATE(2024,8,4)),248, IF(AND(C99&gt;=DATE(2024,8,21),C99&lt;=DATE(2024,9,22)),357, IF(AND(C99&gt;=DATE(2024,10,18),C99&lt;=DATE(2024,11,12)),480,0)))))))</f>
        <v>0</v>
      </c>
      <c r="Z99" s="16">
        <f t="shared" ref="Z99" si="91">IF(AND(C99&gt;=DATE(2023,11,24),C99&lt;=DATE(2023,12,21)),631,
IF(AND(C99&gt;=DATE(2024,1,10),C99&lt;=DATE(2024,2,15)),798,
IF(AND(C99&gt;=DATE(2024,2,29),C99&lt;=DATE(2024,4,11)),27,
IF(AND(C99&gt;=DATE(2024,5,7),C99&lt;=DATE(2024,6,13)),182,IF(AND(C99&gt;=DATE(2024,7,11),C99&lt;=DATE(2024,8,21)),290,IF(AND(C99&gt;=DATE(2024,9,6),C99&lt;=DATE(2024,10,16)),419,0))))))</f>
        <v>182</v>
      </c>
      <c r="AA99" s="172">
        <f t="shared" ref="AA99" si="92">IF(AND(C99&gt;=DATE(2023,10,10),C99&lt;=DATE(2023,11,21)),576,
IF(AND(C99&gt;=DATE(2023,12,6),C99&lt;=DATE(2023,12,25)),709,
IF(AND(C99&gt;=DATE(2024,1,4),C99&lt;=DATE(2024,1,25)),798,
IF(AND(C99&gt;=DATE(2024,2,8),C99&lt;=DATE(2024,3,12)),27, IF(AND(C99&gt;=DATE(2024,4,2),C99&lt;=DATE(2024,5,7)),108, IF(AND(C99&gt;=DATE(2024,6,5),C99&lt;=DATE(2024,7,17)),248,  IF(AND(C99&gt;=DATE(2024,7,31),C99&lt;=DATE(2024,9,1)),290, IF(AND(C99&gt;=DATE(2024,10,8),C99&lt;=DATE(2024,11,1)),480,0))))))))</f>
        <v>0</v>
      </c>
      <c r="AC99" s="171">
        <f t="shared" ref="AC99" si="93">C99</f>
        <v>45424</v>
      </c>
      <c r="AD99" s="171"/>
    </row>
    <row r="105" spans="1:30" x14ac:dyDescent="0.25">
      <c r="G105" s="20"/>
      <c r="I105" s="23"/>
      <c r="J105" s="16"/>
      <c r="K105" s="97"/>
      <c r="L105" s="16"/>
    </row>
    <row r="106" spans="1:30" x14ac:dyDescent="0.25">
      <c r="G106" s="20"/>
      <c r="I106" s="23"/>
      <c r="J106" s="16"/>
      <c r="K106" s="97"/>
      <c r="L106" s="16"/>
    </row>
    <row r="107" spans="1:30" x14ac:dyDescent="0.25">
      <c r="G107" s="20"/>
      <c r="I107" s="23"/>
      <c r="J107" s="16"/>
      <c r="K107" s="97"/>
      <c r="L107" s="16"/>
    </row>
    <row r="108" spans="1:30" x14ac:dyDescent="0.25">
      <c r="G108" s="20"/>
      <c r="I108" s="23"/>
      <c r="J108" s="16"/>
      <c r="K108" s="97"/>
      <c r="L108" s="16"/>
    </row>
    <row r="109" spans="1:30" x14ac:dyDescent="0.25">
      <c r="G109" s="20"/>
      <c r="I109" s="23"/>
      <c r="J109" s="16"/>
      <c r="K109" s="97"/>
      <c r="L109" s="16"/>
    </row>
    <row r="110" spans="1:30" x14ac:dyDescent="0.25">
      <c r="G110" s="20"/>
      <c r="I110" s="23"/>
      <c r="J110" s="16"/>
      <c r="K110" s="97"/>
      <c r="L110" s="16"/>
    </row>
    <row r="111" spans="1:30" x14ac:dyDescent="0.25">
      <c r="G111" s="20"/>
      <c r="I111" s="23"/>
      <c r="J111" s="16"/>
      <c r="K111" s="97"/>
      <c r="L111" s="16"/>
    </row>
    <row r="112" spans="1:30" x14ac:dyDescent="0.25">
      <c r="G112" s="20"/>
      <c r="I112" s="23"/>
      <c r="J112" s="16"/>
      <c r="K112" s="97"/>
      <c r="L112" s="16"/>
    </row>
    <row r="113" spans="7:12" x14ac:dyDescent="0.25">
      <c r="G113" s="20"/>
      <c r="I113" s="23"/>
      <c r="J113" s="16"/>
      <c r="K113" s="97"/>
      <c r="L113" s="16"/>
    </row>
    <row r="114" spans="7:12" x14ac:dyDescent="0.25">
      <c r="G114" s="20"/>
      <c r="I114" s="23"/>
      <c r="J114" s="16"/>
      <c r="K114" s="97"/>
      <c r="L114" s="16"/>
    </row>
    <row r="115" spans="7:12" x14ac:dyDescent="0.25">
      <c r="G115" s="20"/>
      <c r="I115" s="23"/>
      <c r="J115" s="16"/>
      <c r="K115" s="97"/>
      <c r="L115" s="16"/>
    </row>
    <row r="116" spans="7:12" x14ac:dyDescent="0.25">
      <c r="G116" s="20"/>
      <c r="I116" s="23"/>
      <c r="J116" s="16"/>
      <c r="K116" s="97"/>
      <c r="L116" s="16"/>
    </row>
    <row r="117" spans="7:12" x14ac:dyDescent="0.25">
      <c r="G117" s="20"/>
      <c r="I117" s="23"/>
      <c r="J117" s="16"/>
      <c r="K117" s="97"/>
      <c r="L117" s="16"/>
    </row>
    <row r="118" spans="7:12" x14ac:dyDescent="0.25">
      <c r="G118" s="20"/>
      <c r="I118" s="23"/>
      <c r="J118" s="16"/>
      <c r="K118" s="97"/>
      <c r="L118" s="16"/>
    </row>
    <row r="119" spans="7:12" x14ac:dyDescent="0.25">
      <c r="G119" s="20"/>
      <c r="I119" s="23"/>
      <c r="J119" s="16"/>
      <c r="K119" s="97"/>
      <c r="L119" s="16"/>
    </row>
    <row r="120" spans="7:12" x14ac:dyDescent="0.25">
      <c r="G120" s="20"/>
      <c r="I120" s="23"/>
      <c r="J120" s="16"/>
      <c r="K120" s="97"/>
      <c r="L120" s="16"/>
    </row>
    <row r="121" spans="7:12" x14ac:dyDescent="0.25">
      <c r="G121" s="20"/>
      <c r="I121" s="23"/>
      <c r="J121" s="16"/>
      <c r="K121" s="97"/>
      <c r="L121" s="16"/>
    </row>
    <row r="122" spans="7:12" x14ac:dyDescent="0.25">
      <c r="G122" s="20"/>
      <c r="I122" s="23"/>
      <c r="J122" s="16"/>
      <c r="K122" s="97"/>
      <c r="L122" s="16"/>
    </row>
    <row r="123" spans="7:12" x14ac:dyDescent="0.25">
      <c r="G123" s="20"/>
      <c r="I123" s="23"/>
      <c r="J123" s="16"/>
      <c r="K123" s="97"/>
      <c r="L123" s="16"/>
    </row>
    <row r="124" spans="7:12" x14ac:dyDescent="0.25">
      <c r="G124" s="20"/>
      <c r="I124" s="23"/>
      <c r="J124" s="16"/>
      <c r="K124" s="97"/>
      <c r="L124" s="16"/>
    </row>
    <row r="125" spans="7:12" x14ac:dyDescent="0.25">
      <c r="G125" s="20"/>
      <c r="I125" s="23"/>
      <c r="J125" s="16"/>
      <c r="K125" s="97"/>
      <c r="L125" s="16"/>
    </row>
    <row r="126" spans="7:12" x14ac:dyDescent="0.25">
      <c r="G126" s="20"/>
      <c r="I126" s="23"/>
      <c r="J126" s="16"/>
      <c r="K126" s="97"/>
      <c r="L126" s="16"/>
    </row>
    <row r="127" spans="7:12" x14ac:dyDescent="0.25">
      <c r="G127" s="20"/>
      <c r="I127" s="23"/>
      <c r="J127" s="16"/>
      <c r="K127" s="97"/>
      <c r="L127" s="16"/>
    </row>
    <row r="128" spans="7:12" x14ac:dyDescent="0.25">
      <c r="G128" s="20"/>
      <c r="I128" s="23"/>
      <c r="J128" s="16"/>
      <c r="K128" s="97"/>
      <c r="L128" s="16"/>
    </row>
    <row r="129" spans="7:12" x14ac:dyDescent="0.25">
      <c r="G129" s="20"/>
      <c r="I129" s="23"/>
      <c r="J129" s="16"/>
      <c r="K129" s="97"/>
      <c r="L129" s="16"/>
    </row>
    <row r="130" spans="7:12" x14ac:dyDescent="0.25">
      <c r="G130" s="20"/>
      <c r="I130" s="23"/>
      <c r="J130" s="16"/>
      <c r="K130" s="97"/>
      <c r="L130" s="16"/>
    </row>
    <row r="131" spans="7:12" x14ac:dyDescent="0.25">
      <c r="G131" s="20"/>
      <c r="I131" s="23"/>
      <c r="J131" s="16"/>
      <c r="K131" s="97"/>
      <c r="L131" s="16"/>
    </row>
    <row r="132" spans="7:12" x14ac:dyDescent="0.25">
      <c r="G132" s="20"/>
      <c r="I132" s="23"/>
      <c r="J132" s="16"/>
      <c r="K132" s="97"/>
      <c r="L132" s="16"/>
    </row>
    <row r="133" spans="7:12" x14ac:dyDescent="0.25">
      <c r="G133" s="20"/>
      <c r="I133" s="23"/>
      <c r="J133" s="16"/>
      <c r="K133" s="97"/>
      <c r="L133" s="16"/>
    </row>
    <row r="134" spans="7:12" x14ac:dyDescent="0.25">
      <c r="G134" s="20"/>
      <c r="I134" s="23"/>
      <c r="J134" s="16"/>
      <c r="K134" s="97"/>
      <c r="L134" s="16"/>
    </row>
    <row r="135" spans="7:12" x14ac:dyDescent="0.25">
      <c r="G135" s="20"/>
      <c r="I135" s="23"/>
      <c r="J135" s="16"/>
      <c r="K135" s="97"/>
      <c r="L135" s="16"/>
    </row>
    <row r="136" spans="7:12" x14ac:dyDescent="0.25">
      <c r="G136" s="20"/>
      <c r="I136" s="23"/>
      <c r="J136" s="16"/>
      <c r="K136" s="97"/>
      <c r="L136" s="16"/>
    </row>
    <row r="137" spans="7:12" x14ac:dyDescent="0.25">
      <c r="G137" s="20"/>
      <c r="I137" s="23"/>
      <c r="J137" s="16"/>
      <c r="K137" s="97"/>
      <c r="L137" s="16"/>
    </row>
    <row r="138" spans="7:12" x14ac:dyDescent="0.25">
      <c r="G138" s="20"/>
      <c r="I138" s="23"/>
      <c r="J138" s="16"/>
      <c r="K138" s="97"/>
      <c r="L138" s="16"/>
    </row>
    <row r="139" spans="7:12" x14ac:dyDescent="0.25">
      <c r="G139" s="20"/>
      <c r="I139" s="23"/>
      <c r="J139" s="16"/>
      <c r="K139" s="97"/>
      <c r="L139" s="16"/>
    </row>
    <row r="140" spans="7:12" x14ac:dyDescent="0.25">
      <c r="G140" s="20"/>
      <c r="I140" s="23"/>
      <c r="J140" s="16"/>
      <c r="K140" s="97"/>
      <c r="L140" s="16"/>
    </row>
    <row r="141" spans="7:12" x14ac:dyDescent="0.25">
      <c r="G141" s="20"/>
      <c r="I141" s="23"/>
      <c r="J141" s="16"/>
      <c r="K141" s="97"/>
      <c r="L141" s="16"/>
    </row>
    <row r="142" spans="7:12" x14ac:dyDescent="0.25">
      <c r="G142" s="20"/>
      <c r="I142" s="23"/>
      <c r="J142" s="16"/>
      <c r="K142" s="97"/>
      <c r="L142" s="16"/>
    </row>
    <row r="143" spans="7:12" x14ac:dyDescent="0.25">
      <c r="G143" s="20"/>
      <c r="I143" s="23"/>
      <c r="J143" s="16"/>
      <c r="K143" s="97"/>
      <c r="L143" s="16"/>
    </row>
    <row r="144" spans="7:12" x14ac:dyDescent="0.25">
      <c r="G144" s="20"/>
      <c r="I144" s="23"/>
      <c r="J144" s="16"/>
      <c r="K144" s="97"/>
      <c r="L144" s="16"/>
    </row>
    <row r="145" spans="7:12" x14ac:dyDescent="0.25">
      <c r="G145" s="20"/>
      <c r="I145" s="23"/>
      <c r="J145" s="16"/>
      <c r="K145" s="97"/>
      <c r="L145" s="16"/>
    </row>
    <row r="146" spans="7:12" x14ac:dyDescent="0.25">
      <c r="G146" s="20"/>
      <c r="I146" s="23"/>
      <c r="J146" s="16"/>
      <c r="K146" s="97"/>
      <c r="L146" s="16"/>
    </row>
    <row r="147" spans="7:12" x14ac:dyDescent="0.25">
      <c r="G147" s="20"/>
      <c r="I147" s="23"/>
      <c r="J147" s="16"/>
      <c r="K147" s="97"/>
      <c r="L147" s="16"/>
    </row>
    <row r="148" spans="7:12" x14ac:dyDescent="0.25">
      <c r="G148" s="20"/>
      <c r="I148" s="23"/>
      <c r="J148" s="16"/>
      <c r="K148" s="97"/>
      <c r="L148" s="16"/>
    </row>
    <row r="149" spans="7:12" x14ac:dyDescent="0.25">
      <c r="G149" s="20"/>
      <c r="I149" s="23"/>
      <c r="J149" s="16"/>
      <c r="K149" s="97"/>
      <c r="L149" s="16"/>
    </row>
    <row r="150" spans="7:12" x14ac:dyDescent="0.25">
      <c r="G150" s="20"/>
      <c r="I150" s="23"/>
      <c r="J150" s="16"/>
      <c r="K150" s="97"/>
      <c r="L150" s="16"/>
    </row>
    <row r="151" spans="7:12" x14ac:dyDescent="0.25">
      <c r="G151" s="20"/>
      <c r="I151" s="23"/>
      <c r="J151" s="16"/>
      <c r="K151" s="97"/>
      <c r="L151" s="16"/>
    </row>
    <row r="152" spans="7:12" x14ac:dyDescent="0.25">
      <c r="G152" s="20"/>
      <c r="I152" s="23"/>
      <c r="J152" s="16"/>
      <c r="K152" s="97"/>
      <c r="L152" s="16"/>
    </row>
    <row r="153" spans="7:12" x14ac:dyDescent="0.25">
      <c r="G153" s="20"/>
      <c r="I153" s="23"/>
      <c r="J153" s="16"/>
      <c r="K153" s="97"/>
      <c r="L153" s="16"/>
    </row>
    <row r="154" spans="7:12" x14ac:dyDescent="0.25">
      <c r="G154" s="20"/>
      <c r="I154" s="23"/>
      <c r="J154" s="16"/>
      <c r="K154" s="97"/>
      <c r="L154" s="16"/>
    </row>
    <row r="155" spans="7:12" x14ac:dyDescent="0.25">
      <c r="G155" s="20"/>
      <c r="I155" s="23"/>
      <c r="J155" s="16"/>
      <c r="K155" s="97"/>
      <c r="L155" s="16"/>
    </row>
    <row r="156" spans="7:12" x14ac:dyDescent="0.25">
      <c r="G156" s="20"/>
      <c r="I156" s="23"/>
      <c r="J156" s="16"/>
      <c r="K156" s="97"/>
      <c r="L156" s="16"/>
    </row>
    <row r="157" spans="7:12" x14ac:dyDescent="0.25">
      <c r="G157" s="20"/>
      <c r="I157" s="23"/>
      <c r="J157" s="16"/>
      <c r="K157" s="97"/>
      <c r="L157" s="16"/>
    </row>
    <row r="158" spans="7:12" x14ac:dyDescent="0.25">
      <c r="G158" s="20"/>
      <c r="I158" s="23"/>
      <c r="J158" s="16"/>
      <c r="K158" s="97"/>
      <c r="L158" s="16"/>
    </row>
    <row r="159" spans="7:12" x14ac:dyDescent="0.25">
      <c r="G159" s="20"/>
      <c r="I159" s="23"/>
      <c r="J159" s="16"/>
      <c r="K159" s="97"/>
      <c r="L159" s="16"/>
    </row>
    <row r="160" spans="7:12" x14ac:dyDescent="0.25">
      <c r="G160" s="20"/>
      <c r="I160" s="23"/>
      <c r="J160" s="16"/>
      <c r="K160" s="97"/>
      <c r="L160" s="16"/>
    </row>
    <row r="161" spans="7:12" x14ac:dyDescent="0.25">
      <c r="G161" s="20"/>
      <c r="I161" s="23"/>
      <c r="J161" s="16"/>
      <c r="K161" s="97"/>
      <c r="L161" s="16"/>
    </row>
    <row r="162" spans="7:12" x14ac:dyDescent="0.25">
      <c r="G162" s="20"/>
      <c r="I162" s="23"/>
      <c r="J162" s="16"/>
      <c r="K162" s="97"/>
      <c r="L162" s="16"/>
    </row>
    <row r="163" spans="7:12" x14ac:dyDescent="0.25">
      <c r="G163" s="20"/>
      <c r="I163" s="23"/>
      <c r="J163" s="16"/>
      <c r="K163" s="97"/>
      <c r="L163" s="16"/>
    </row>
    <row r="164" spans="7:12" x14ac:dyDescent="0.25">
      <c r="G164" s="20"/>
      <c r="I164" s="23"/>
      <c r="J164" s="16"/>
      <c r="K164" s="97"/>
      <c r="L164" s="16"/>
    </row>
    <row r="165" spans="7:12" x14ac:dyDescent="0.25">
      <c r="G165" s="20"/>
      <c r="I165" s="23"/>
      <c r="J165" s="16"/>
      <c r="K165" s="97"/>
      <c r="L165" s="16"/>
    </row>
    <row r="166" spans="7:12" x14ac:dyDescent="0.25">
      <c r="G166" s="20"/>
      <c r="I166" s="23"/>
      <c r="J166" s="16"/>
      <c r="K166" s="97"/>
      <c r="L166" s="16"/>
    </row>
    <row r="167" spans="7:12" x14ac:dyDescent="0.25">
      <c r="G167" s="20"/>
      <c r="I167" s="23"/>
      <c r="J167" s="16"/>
      <c r="K167" s="97"/>
      <c r="L167" s="16"/>
    </row>
    <row r="168" spans="7:12" x14ac:dyDescent="0.25">
      <c r="G168" s="20"/>
      <c r="I168" s="23"/>
      <c r="J168" s="16"/>
      <c r="K168" s="97"/>
      <c r="L168" s="16"/>
    </row>
    <row r="169" spans="7:12" x14ac:dyDescent="0.25">
      <c r="G169" s="20"/>
      <c r="I169" s="23"/>
      <c r="J169" s="16"/>
      <c r="K169" s="97"/>
      <c r="L169" s="16"/>
    </row>
    <row r="170" spans="7:12" x14ac:dyDescent="0.25">
      <c r="G170" s="20"/>
      <c r="I170" s="23"/>
      <c r="J170" s="16"/>
      <c r="K170" s="97"/>
      <c r="L170" s="16"/>
    </row>
    <row r="171" spans="7:12" x14ac:dyDescent="0.25">
      <c r="G171" s="20"/>
      <c r="I171" s="23"/>
      <c r="J171" s="16"/>
      <c r="K171" s="97"/>
      <c r="L171" s="16"/>
    </row>
    <row r="172" spans="7:12" x14ac:dyDescent="0.25">
      <c r="G172" s="20"/>
      <c r="I172" s="23"/>
      <c r="J172" s="16"/>
      <c r="K172" s="97"/>
      <c r="L172" s="16"/>
    </row>
    <row r="173" spans="7:12" x14ac:dyDescent="0.25">
      <c r="G173" s="20"/>
      <c r="I173" s="23"/>
      <c r="J173" s="16"/>
      <c r="K173" s="97"/>
      <c r="L173" s="16"/>
    </row>
    <row r="174" spans="7:12" x14ac:dyDescent="0.25">
      <c r="G174" s="20"/>
      <c r="I174" s="23"/>
      <c r="J174" s="16"/>
      <c r="K174" s="97"/>
      <c r="L174" s="16"/>
    </row>
    <row r="175" spans="7:12" x14ac:dyDescent="0.25">
      <c r="G175" s="20"/>
      <c r="I175" s="23"/>
      <c r="J175" s="16"/>
      <c r="K175" s="97"/>
      <c r="L175" s="16"/>
    </row>
    <row r="176" spans="7:12" x14ac:dyDescent="0.25">
      <c r="G176" s="20"/>
      <c r="I176" s="23"/>
      <c r="J176" s="16"/>
      <c r="K176" s="97"/>
      <c r="L176" s="16"/>
    </row>
    <row r="177" spans="7:12" x14ac:dyDescent="0.25">
      <c r="G177" s="20"/>
      <c r="I177" s="23"/>
      <c r="J177" s="16"/>
      <c r="K177" s="97"/>
      <c r="L177" s="16"/>
    </row>
    <row r="178" spans="7:12" x14ac:dyDescent="0.25">
      <c r="G178" s="20"/>
      <c r="I178" s="23"/>
      <c r="J178" s="16"/>
      <c r="K178" s="97"/>
      <c r="L178" s="16"/>
    </row>
    <row r="179" spans="7:12" x14ac:dyDescent="0.25">
      <c r="G179" s="20"/>
      <c r="I179" s="23"/>
      <c r="J179" s="16"/>
      <c r="K179" s="97"/>
      <c r="L179" s="16"/>
    </row>
    <row r="180" spans="7:12" x14ac:dyDescent="0.25">
      <c r="G180" s="20"/>
      <c r="I180" s="23"/>
      <c r="J180" s="16"/>
      <c r="K180" s="97"/>
      <c r="L180" s="16"/>
    </row>
    <row r="181" spans="7:12" x14ac:dyDescent="0.25">
      <c r="G181" s="20"/>
      <c r="I181" s="23"/>
      <c r="J181" s="16"/>
      <c r="K181" s="97"/>
      <c r="L181" s="16"/>
    </row>
    <row r="182" spans="7:12" x14ac:dyDescent="0.25">
      <c r="G182" s="20"/>
      <c r="I182" s="23"/>
      <c r="J182" s="16"/>
      <c r="K182" s="97"/>
      <c r="L182" s="16"/>
    </row>
    <row r="183" spans="7:12" x14ac:dyDescent="0.25">
      <c r="G183" s="20"/>
      <c r="I183" s="23"/>
      <c r="J183" s="16"/>
      <c r="K183" s="97"/>
      <c r="L183" s="16"/>
    </row>
    <row r="184" spans="7:12" x14ac:dyDescent="0.25">
      <c r="G184" s="20"/>
      <c r="I184" s="23"/>
      <c r="J184" s="16"/>
      <c r="K184" s="97"/>
      <c r="L184" s="16"/>
    </row>
    <row r="185" spans="7:12" x14ac:dyDescent="0.25">
      <c r="G185" s="20"/>
      <c r="I185" s="23"/>
      <c r="J185" s="16"/>
      <c r="K185" s="97"/>
      <c r="L185" s="16"/>
    </row>
    <row r="186" spans="7:12" x14ac:dyDescent="0.25">
      <c r="G186" s="20"/>
      <c r="I186" s="23"/>
      <c r="J186" s="16"/>
      <c r="K186" s="97"/>
      <c r="L186" s="16"/>
    </row>
    <row r="187" spans="7:12" x14ac:dyDescent="0.25">
      <c r="G187" s="20"/>
      <c r="I187" s="23"/>
      <c r="J187" s="16"/>
      <c r="K187" s="97"/>
      <c r="L187" s="16"/>
    </row>
    <row r="188" spans="7:12" x14ac:dyDescent="0.25">
      <c r="G188" s="20"/>
      <c r="I188" s="23"/>
      <c r="J188" s="16"/>
      <c r="K188" s="97"/>
      <c r="L188" s="16"/>
    </row>
    <row r="189" spans="7:12" x14ac:dyDescent="0.25">
      <c r="G189" s="20"/>
      <c r="I189" s="23"/>
      <c r="J189" s="16"/>
      <c r="K189" s="97"/>
      <c r="L189" s="16"/>
    </row>
    <row r="190" spans="7:12" x14ac:dyDescent="0.25">
      <c r="G190" s="20"/>
      <c r="I190" s="23"/>
      <c r="J190" s="16"/>
      <c r="K190" s="97"/>
      <c r="L190" s="16"/>
    </row>
    <row r="191" spans="7:12" x14ac:dyDescent="0.25">
      <c r="G191" s="20"/>
      <c r="I191" s="23"/>
      <c r="J191" s="16"/>
      <c r="K191" s="97"/>
      <c r="L191" s="16"/>
    </row>
    <row r="192" spans="7:12" x14ac:dyDescent="0.25">
      <c r="G192" s="20"/>
      <c r="I192" s="23"/>
      <c r="J192" s="16"/>
      <c r="K192" s="97"/>
      <c r="L192" s="16"/>
    </row>
    <row r="193" spans="7:12" x14ac:dyDescent="0.25">
      <c r="G193" s="20"/>
      <c r="I193" s="23"/>
      <c r="J193" s="16"/>
      <c r="K193" s="97"/>
      <c r="L193" s="16"/>
    </row>
    <row r="194" spans="7:12" x14ac:dyDescent="0.25">
      <c r="G194" s="20"/>
      <c r="I194" s="23"/>
      <c r="J194" s="16"/>
      <c r="K194" s="97"/>
      <c r="L194" s="16"/>
    </row>
    <row r="195" spans="7:12" x14ac:dyDescent="0.25">
      <c r="G195" s="20"/>
      <c r="I195" s="23"/>
      <c r="J195" s="16"/>
      <c r="K195" s="97"/>
      <c r="L195" s="16"/>
    </row>
    <row r="196" spans="7:12" x14ac:dyDescent="0.25">
      <c r="G196" s="20"/>
      <c r="I196" s="23"/>
      <c r="J196" s="16"/>
      <c r="K196" s="97"/>
      <c r="L196" s="16"/>
    </row>
    <row r="197" spans="7:12" x14ac:dyDescent="0.25">
      <c r="G197" s="20"/>
      <c r="I197" s="23"/>
      <c r="J197" s="16"/>
      <c r="K197" s="97"/>
      <c r="L197" s="16"/>
    </row>
    <row r="198" spans="7:12" x14ac:dyDescent="0.25">
      <c r="G198" s="20"/>
      <c r="I198" s="23"/>
      <c r="J198" s="16"/>
      <c r="K198" s="97"/>
      <c r="L198" s="16"/>
    </row>
    <row r="199" spans="7:12" x14ac:dyDescent="0.25">
      <c r="G199" s="20"/>
      <c r="I199" s="23"/>
      <c r="J199" s="16"/>
      <c r="K199" s="97"/>
      <c r="L199" s="16"/>
    </row>
    <row r="200" spans="7:12" x14ac:dyDescent="0.25">
      <c r="G200" s="20"/>
      <c r="I200" s="23"/>
      <c r="J200" s="16"/>
      <c r="K200" s="97"/>
      <c r="L200" s="16"/>
    </row>
    <row r="201" spans="7:12" x14ac:dyDescent="0.25">
      <c r="G201" s="20"/>
      <c r="I201" s="23"/>
      <c r="J201" s="16"/>
      <c r="K201" s="97"/>
      <c r="L201" s="16"/>
    </row>
    <row r="202" spans="7:12" x14ac:dyDescent="0.25">
      <c r="G202" s="20"/>
      <c r="I202" s="23"/>
      <c r="J202" s="16"/>
      <c r="K202" s="97"/>
      <c r="L202" s="16"/>
    </row>
    <row r="203" spans="7:12" x14ac:dyDescent="0.25">
      <c r="G203" s="20"/>
      <c r="I203" s="23"/>
      <c r="J203" s="16"/>
      <c r="K203" s="97"/>
      <c r="L203" s="16"/>
    </row>
    <row r="204" spans="7:12" x14ac:dyDescent="0.25">
      <c r="G204" s="20"/>
      <c r="I204" s="23"/>
      <c r="J204" s="16"/>
      <c r="K204" s="97"/>
      <c r="L204" s="16"/>
    </row>
    <row r="205" spans="7:12" x14ac:dyDescent="0.25">
      <c r="G205" s="20"/>
      <c r="I205" s="23"/>
      <c r="J205" s="16"/>
      <c r="K205" s="97"/>
      <c r="L205" s="16"/>
    </row>
    <row r="206" spans="7:12" x14ac:dyDescent="0.25">
      <c r="G206" s="20"/>
      <c r="I206" s="23"/>
      <c r="J206" s="16"/>
      <c r="K206" s="97"/>
      <c r="L206" s="16"/>
    </row>
    <row r="207" spans="7:12" x14ac:dyDescent="0.25">
      <c r="G207" s="20"/>
      <c r="I207" s="23"/>
      <c r="J207" s="16"/>
      <c r="K207" s="97"/>
      <c r="L207" s="16"/>
    </row>
    <row r="208" spans="7:12" x14ac:dyDescent="0.25">
      <c r="G208" s="20"/>
      <c r="I208" s="23"/>
      <c r="J208" s="16"/>
      <c r="K208" s="97"/>
      <c r="L208" s="16"/>
    </row>
    <row r="209" spans="7:12" x14ac:dyDescent="0.25">
      <c r="G209" s="20"/>
      <c r="I209" s="23"/>
      <c r="J209" s="16"/>
      <c r="K209" s="97"/>
      <c r="L209" s="16"/>
    </row>
    <row r="210" spans="7:12" x14ac:dyDescent="0.25">
      <c r="G210" s="20"/>
      <c r="I210" s="23"/>
      <c r="J210" s="16"/>
      <c r="K210" s="97"/>
      <c r="L210" s="16"/>
    </row>
    <row r="211" spans="7:12" x14ac:dyDescent="0.25">
      <c r="G211" s="20"/>
      <c r="I211" s="23"/>
      <c r="J211" s="16"/>
      <c r="K211" s="97"/>
      <c r="L211" s="16"/>
    </row>
    <row r="212" spans="7:12" x14ac:dyDescent="0.25">
      <c r="G212" s="20"/>
      <c r="I212" s="23"/>
      <c r="J212" s="16"/>
      <c r="K212" s="97"/>
      <c r="L212" s="16"/>
    </row>
    <row r="213" spans="7:12" x14ac:dyDescent="0.25">
      <c r="G213" s="20"/>
      <c r="I213" s="23"/>
      <c r="J213" s="16"/>
      <c r="K213" s="97"/>
      <c r="L213" s="16"/>
    </row>
    <row r="214" spans="7:12" x14ac:dyDescent="0.25">
      <c r="G214" s="20"/>
      <c r="I214" s="23"/>
      <c r="J214" s="16"/>
      <c r="K214" s="97"/>
      <c r="L214" s="16"/>
    </row>
    <row r="215" spans="7:12" x14ac:dyDescent="0.25">
      <c r="G215" s="20"/>
      <c r="I215" s="23"/>
      <c r="J215" s="16"/>
      <c r="K215" s="97"/>
      <c r="L215" s="16"/>
    </row>
    <row r="216" spans="7:12" x14ac:dyDescent="0.25">
      <c r="G216" s="20"/>
      <c r="I216" s="23"/>
      <c r="J216" s="16"/>
      <c r="K216" s="97"/>
      <c r="L216" s="16"/>
    </row>
    <row r="217" spans="7:12" x14ac:dyDescent="0.25">
      <c r="G217" s="20"/>
      <c r="I217" s="23"/>
      <c r="J217" s="16"/>
      <c r="K217" s="97"/>
      <c r="L217" s="16"/>
    </row>
    <row r="218" spans="7:12" x14ac:dyDescent="0.25">
      <c r="G218" s="20"/>
      <c r="I218" s="23"/>
      <c r="J218" s="16"/>
      <c r="K218" s="97"/>
      <c r="L218" s="16"/>
    </row>
    <row r="219" spans="7:12" x14ac:dyDescent="0.25">
      <c r="G219" s="20"/>
      <c r="I219" s="23"/>
      <c r="J219" s="16"/>
      <c r="K219" s="97"/>
      <c r="L219" s="16"/>
    </row>
    <row r="220" spans="7:12" x14ac:dyDescent="0.25">
      <c r="G220" s="20"/>
      <c r="I220" s="23"/>
      <c r="J220" s="16"/>
      <c r="K220" s="97"/>
      <c r="L220" s="16"/>
    </row>
    <row r="221" spans="7:12" x14ac:dyDescent="0.25">
      <c r="G221" s="20"/>
      <c r="I221" s="23"/>
      <c r="J221" s="16"/>
      <c r="K221" s="97"/>
      <c r="L221" s="16"/>
    </row>
    <row r="222" spans="7:12" x14ac:dyDescent="0.25">
      <c r="G222" s="20"/>
      <c r="I222" s="23"/>
      <c r="J222" s="16"/>
      <c r="K222" s="97"/>
      <c r="L222" s="16"/>
    </row>
    <row r="223" spans="7:12" x14ac:dyDescent="0.25">
      <c r="G223" s="20"/>
      <c r="I223" s="23"/>
      <c r="J223" s="16"/>
      <c r="K223" s="97"/>
      <c r="L223" s="16"/>
    </row>
    <row r="224" spans="7:12" x14ac:dyDescent="0.25">
      <c r="G224" s="20"/>
      <c r="I224" s="23"/>
      <c r="J224" s="16"/>
      <c r="K224" s="97"/>
      <c r="L224" s="16"/>
    </row>
    <row r="225" spans="7:12" x14ac:dyDescent="0.25">
      <c r="G225" s="20"/>
      <c r="I225" s="23"/>
      <c r="J225" s="16"/>
      <c r="K225" s="97"/>
      <c r="L225" s="16"/>
    </row>
    <row r="226" spans="7:12" x14ac:dyDescent="0.25">
      <c r="G226" s="20"/>
      <c r="I226" s="23"/>
      <c r="J226" s="16"/>
      <c r="K226" s="97"/>
      <c r="L226" s="16"/>
    </row>
    <row r="227" spans="7:12" x14ac:dyDescent="0.25">
      <c r="G227" s="20"/>
      <c r="I227" s="23"/>
      <c r="J227" s="16"/>
      <c r="K227" s="97"/>
      <c r="L227" s="16"/>
    </row>
    <row r="228" spans="7:12" x14ac:dyDescent="0.25">
      <c r="G228" s="20"/>
      <c r="I228" s="23"/>
      <c r="J228" s="16"/>
      <c r="K228" s="97"/>
      <c r="L228" s="16"/>
    </row>
    <row r="229" spans="7:12" x14ac:dyDescent="0.25">
      <c r="G229" s="20"/>
      <c r="I229" s="23"/>
      <c r="J229" s="16"/>
      <c r="K229" s="97"/>
      <c r="L229" s="16"/>
    </row>
    <row r="230" spans="7:12" x14ac:dyDescent="0.25">
      <c r="G230" s="20"/>
      <c r="I230" s="23"/>
      <c r="J230" s="16"/>
      <c r="K230" s="97"/>
      <c r="L230" s="16"/>
    </row>
    <row r="231" spans="7:12" x14ac:dyDescent="0.25">
      <c r="G231" s="20"/>
      <c r="I231" s="23"/>
      <c r="J231" s="16"/>
      <c r="K231" s="97"/>
      <c r="L231" s="16"/>
    </row>
    <row r="232" spans="7:12" x14ac:dyDescent="0.25">
      <c r="G232" s="20"/>
      <c r="I232" s="23"/>
      <c r="J232" s="16"/>
      <c r="K232" s="97"/>
      <c r="L232" s="16"/>
    </row>
    <row r="233" spans="7:12" x14ac:dyDescent="0.25">
      <c r="G233" s="20"/>
      <c r="I233" s="23"/>
      <c r="J233" s="16"/>
      <c r="K233" s="97"/>
      <c r="L233" s="16"/>
    </row>
    <row r="234" spans="7:12" x14ac:dyDescent="0.25">
      <c r="G234" s="20"/>
      <c r="I234" s="23"/>
      <c r="J234" s="16"/>
      <c r="K234" s="97"/>
      <c r="L234" s="16"/>
    </row>
    <row r="235" spans="7:12" x14ac:dyDescent="0.25">
      <c r="G235" s="20"/>
      <c r="I235" s="23"/>
      <c r="J235" s="16"/>
      <c r="K235" s="97"/>
      <c r="L235" s="16"/>
    </row>
    <row r="236" spans="7:12" x14ac:dyDescent="0.25">
      <c r="G236" s="20"/>
      <c r="I236" s="23"/>
      <c r="J236" s="16"/>
      <c r="K236" s="97"/>
      <c r="L236" s="16"/>
    </row>
    <row r="237" spans="7:12" x14ac:dyDescent="0.25">
      <c r="G237" s="20"/>
      <c r="I237" s="23"/>
      <c r="J237" s="16"/>
      <c r="K237" s="97"/>
      <c r="L237" s="16"/>
    </row>
    <row r="238" spans="7:12" x14ac:dyDescent="0.25">
      <c r="G238" s="20"/>
      <c r="I238" s="23"/>
      <c r="J238" s="16"/>
      <c r="K238" s="97"/>
      <c r="L238" s="16"/>
    </row>
    <row r="239" spans="7:12" x14ac:dyDescent="0.25">
      <c r="G239" s="20"/>
      <c r="I239" s="23"/>
      <c r="J239" s="16"/>
      <c r="K239" s="97"/>
      <c r="L239" s="16"/>
    </row>
    <row r="240" spans="7:12" x14ac:dyDescent="0.25">
      <c r="G240" s="20"/>
      <c r="I240" s="23"/>
      <c r="J240" s="16"/>
      <c r="K240" s="97"/>
      <c r="L240" s="16"/>
    </row>
    <row r="241" spans="7:12" x14ac:dyDescent="0.25">
      <c r="G241" s="20"/>
      <c r="I241" s="23"/>
      <c r="J241" s="16"/>
      <c r="K241" s="97"/>
      <c r="L241" s="16"/>
    </row>
    <row r="242" spans="7:12" x14ac:dyDescent="0.25">
      <c r="G242" s="20"/>
      <c r="I242" s="23"/>
      <c r="J242" s="16"/>
      <c r="K242" s="97"/>
      <c r="L242" s="16"/>
    </row>
    <row r="243" spans="7:12" x14ac:dyDescent="0.25">
      <c r="G243" s="20"/>
      <c r="I243" s="23"/>
      <c r="J243" s="16"/>
      <c r="K243" s="97"/>
      <c r="L243" s="16"/>
    </row>
    <row r="244" spans="7:12" x14ac:dyDescent="0.25">
      <c r="G244" s="20"/>
      <c r="I244" s="23"/>
      <c r="J244" s="16"/>
      <c r="K244" s="97"/>
      <c r="L244" s="16"/>
    </row>
    <row r="245" spans="7:12" x14ac:dyDescent="0.25">
      <c r="G245" s="20"/>
      <c r="I245" s="23"/>
      <c r="J245" s="16"/>
      <c r="K245" s="97"/>
      <c r="L245" s="16"/>
    </row>
    <row r="246" spans="7:12" x14ac:dyDescent="0.25">
      <c r="G246" s="20"/>
      <c r="I246" s="23"/>
      <c r="J246" s="16"/>
      <c r="K246" s="97"/>
      <c r="L246" s="16"/>
    </row>
    <row r="247" spans="7:12" x14ac:dyDescent="0.25">
      <c r="G247" s="20"/>
      <c r="I247" s="23"/>
      <c r="J247" s="16"/>
      <c r="K247" s="97"/>
      <c r="L247" s="16"/>
    </row>
    <row r="248" spans="7:12" x14ac:dyDescent="0.25">
      <c r="G248" s="20"/>
      <c r="I248" s="23"/>
      <c r="J248" s="16"/>
      <c r="K248" s="97"/>
      <c r="L248" s="16"/>
    </row>
    <row r="249" spans="7:12" x14ac:dyDescent="0.25">
      <c r="G249" s="20"/>
      <c r="I249" s="23"/>
      <c r="J249" s="16"/>
      <c r="K249" s="97"/>
      <c r="L249" s="16"/>
    </row>
    <row r="250" spans="7:12" x14ac:dyDescent="0.25">
      <c r="G250" s="20"/>
      <c r="I250" s="23"/>
      <c r="J250" s="16"/>
      <c r="K250" s="97"/>
      <c r="L250" s="16"/>
    </row>
    <row r="251" spans="7:12" x14ac:dyDescent="0.25">
      <c r="G251" s="20"/>
      <c r="I251" s="23"/>
      <c r="J251" s="16"/>
      <c r="K251" s="97"/>
      <c r="L251" s="16"/>
    </row>
    <row r="252" spans="7:12" x14ac:dyDescent="0.25">
      <c r="G252" s="20"/>
      <c r="I252" s="23"/>
      <c r="J252" s="16"/>
      <c r="K252" s="97"/>
      <c r="L252" s="16"/>
    </row>
    <row r="253" spans="7:12" x14ac:dyDescent="0.25">
      <c r="G253" s="20"/>
      <c r="I253" s="23"/>
      <c r="J253" s="16"/>
      <c r="K253" s="97"/>
      <c r="L253" s="16"/>
    </row>
    <row r="254" spans="7:12" x14ac:dyDescent="0.25">
      <c r="G254" s="20"/>
      <c r="I254" s="23"/>
      <c r="J254" s="16"/>
      <c r="K254" s="97"/>
      <c r="L254" s="16"/>
    </row>
    <row r="255" spans="7:12" x14ac:dyDescent="0.25">
      <c r="G255" s="20"/>
      <c r="I255" s="23"/>
      <c r="J255" s="16"/>
      <c r="K255" s="97"/>
      <c r="L255" s="16"/>
    </row>
    <row r="256" spans="7:12" x14ac:dyDescent="0.25">
      <c r="G256" s="20"/>
      <c r="I256" s="23"/>
      <c r="J256" s="16"/>
      <c r="K256" s="97"/>
      <c r="L256" s="16"/>
    </row>
    <row r="257" spans="7:12" x14ac:dyDescent="0.25">
      <c r="G257" s="20"/>
      <c r="I257" s="23"/>
      <c r="J257" s="16"/>
      <c r="K257" s="97"/>
      <c r="L257" s="16"/>
    </row>
    <row r="258" spans="7:12" x14ac:dyDescent="0.25">
      <c r="G258" s="20"/>
      <c r="I258" s="23"/>
      <c r="J258" s="16"/>
      <c r="K258" s="97"/>
      <c r="L258" s="16"/>
    </row>
    <row r="259" spans="7:12" x14ac:dyDescent="0.25">
      <c r="G259" s="20"/>
      <c r="I259" s="23"/>
      <c r="J259" s="16"/>
      <c r="K259" s="97"/>
      <c r="L259" s="16"/>
    </row>
    <row r="260" spans="7:12" x14ac:dyDescent="0.25">
      <c r="G260" s="20"/>
      <c r="I260" s="23"/>
      <c r="J260" s="16"/>
      <c r="K260" s="97"/>
      <c r="L260" s="16"/>
    </row>
    <row r="261" spans="7:12" x14ac:dyDescent="0.25">
      <c r="G261" s="20"/>
      <c r="I261" s="23"/>
      <c r="J261" s="16"/>
      <c r="K261" s="97"/>
      <c r="L261" s="16"/>
    </row>
    <row r="262" spans="7:12" x14ac:dyDescent="0.25">
      <c r="G262" s="20"/>
      <c r="I262" s="23"/>
      <c r="J262" s="16"/>
      <c r="K262" s="97"/>
      <c r="L262" s="16"/>
    </row>
    <row r="263" spans="7:12" x14ac:dyDescent="0.25">
      <c r="G263" s="20"/>
      <c r="I263" s="23"/>
      <c r="J263" s="16"/>
      <c r="K263" s="97"/>
      <c r="L263" s="16"/>
    </row>
    <row r="264" spans="7:12" x14ac:dyDescent="0.25">
      <c r="G264" s="20"/>
      <c r="I264" s="23"/>
      <c r="J264" s="16"/>
      <c r="K264" s="97"/>
      <c r="L264" s="16"/>
    </row>
    <row r="265" spans="7:12" x14ac:dyDescent="0.25">
      <c r="G265" s="20"/>
      <c r="I265" s="23"/>
      <c r="J265" s="16"/>
      <c r="K265" s="97"/>
      <c r="L265" s="16"/>
    </row>
    <row r="266" spans="7:12" x14ac:dyDescent="0.25">
      <c r="G266" s="20"/>
      <c r="I266" s="23"/>
      <c r="J266" s="16"/>
      <c r="K266" s="97"/>
      <c r="L266" s="16"/>
    </row>
    <row r="267" spans="7:12" x14ac:dyDescent="0.25">
      <c r="G267" s="20"/>
      <c r="I267" s="23"/>
      <c r="J267" s="16"/>
      <c r="K267" s="97"/>
      <c r="L267" s="16"/>
    </row>
    <row r="268" spans="7:12" x14ac:dyDescent="0.25">
      <c r="G268" s="20"/>
      <c r="I268" s="23"/>
      <c r="J268" s="16"/>
      <c r="K268" s="97"/>
      <c r="L268" s="16"/>
    </row>
    <row r="269" spans="7:12" x14ac:dyDescent="0.25">
      <c r="G269" s="20"/>
      <c r="I269" s="23"/>
      <c r="J269" s="16"/>
      <c r="K269" s="97"/>
      <c r="L269" s="16"/>
    </row>
    <row r="270" spans="7:12" x14ac:dyDescent="0.25">
      <c r="G270" s="20"/>
      <c r="I270" s="23"/>
      <c r="J270" s="16"/>
      <c r="K270" s="97"/>
      <c r="L270" s="16"/>
    </row>
    <row r="271" spans="7:12" x14ac:dyDescent="0.25">
      <c r="G271" s="20"/>
      <c r="I271" s="23"/>
      <c r="J271" s="16"/>
      <c r="K271" s="97"/>
      <c r="L271" s="16"/>
    </row>
    <row r="272" spans="7:12" x14ac:dyDescent="0.25">
      <c r="G272" s="20"/>
      <c r="I272" s="23"/>
      <c r="J272" s="16"/>
      <c r="K272" s="97"/>
      <c r="L272" s="16"/>
    </row>
    <row r="273" spans="7:12" x14ac:dyDescent="0.25">
      <c r="G273" s="20"/>
      <c r="I273" s="23"/>
      <c r="J273" s="16"/>
      <c r="K273" s="97"/>
      <c r="L273" s="16"/>
    </row>
    <row r="274" spans="7:12" x14ac:dyDescent="0.25">
      <c r="G274" s="20"/>
      <c r="I274" s="23"/>
      <c r="J274" s="16"/>
      <c r="K274" s="97"/>
      <c r="L274" s="16"/>
    </row>
    <row r="275" spans="7:12" x14ac:dyDescent="0.25">
      <c r="G275" s="20"/>
      <c r="I275" s="23"/>
      <c r="J275" s="16"/>
      <c r="K275" s="97"/>
      <c r="L275" s="16"/>
    </row>
    <row r="276" spans="7:12" x14ac:dyDescent="0.25">
      <c r="G276" s="20"/>
      <c r="I276" s="23"/>
      <c r="J276" s="16"/>
      <c r="K276" s="97"/>
      <c r="L276" s="16"/>
    </row>
    <row r="277" spans="7:12" x14ac:dyDescent="0.25">
      <c r="G277" s="20"/>
      <c r="I277" s="23"/>
      <c r="J277" s="16"/>
      <c r="K277" s="97"/>
      <c r="L277" s="16"/>
    </row>
    <row r="278" spans="7:12" x14ac:dyDescent="0.25">
      <c r="G278" s="20"/>
      <c r="I278" s="23"/>
      <c r="J278" s="16"/>
      <c r="K278" s="97"/>
      <c r="L278" s="16"/>
    </row>
    <row r="279" spans="7:12" x14ac:dyDescent="0.25">
      <c r="G279" s="20"/>
      <c r="I279" s="23"/>
      <c r="J279" s="16"/>
      <c r="K279" s="97"/>
      <c r="L279" s="16"/>
    </row>
    <row r="280" spans="7:12" x14ac:dyDescent="0.25">
      <c r="G280" s="20"/>
      <c r="I280" s="23"/>
      <c r="J280" s="16"/>
      <c r="K280" s="97"/>
      <c r="L280" s="16"/>
    </row>
    <row r="281" spans="7:12" x14ac:dyDescent="0.25">
      <c r="G281" s="20"/>
      <c r="I281" s="23"/>
      <c r="J281" s="16"/>
      <c r="K281" s="97"/>
      <c r="L281" s="16"/>
    </row>
    <row r="282" spans="7:12" x14ac:dyDescent="0.25">
      <c r="G282" s="20"/>
      <c r="I282" s="23"/>
      <c r="J282" s="16"/>
      <c r="K282" s="97"/>
      <c r="L282" s="16"/>
    </row>
  </sheetData>
  <autoFilter ref="A1:AG284" xr:uid="{00000000-0001-0000-0100-000000000000}"/>
  <mergeCells count="2">
    <mergeCell ref="C2:J2"/>
    <mergeCell ref="C3:F3"/>
  </mergeCells>
  <phoneticPr fontId="12" type="noConversion"/>
  <pageMargins left="0.39370078740157483" right="0.39370078740157483" top="0.98818897637795278" bottom="0.39370078740157483" header="0" footer="0"/>
  <pageSetup paperSize="9" scale="10" fitToWidth="0"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30A24B-0CB4-4A8E-9347-BE2E950F11A5}">
  <sheetPr codeName="Лист8">
    <tabColor theme="0"/>
  </sheetPr>
  <dimension ref="A1:H30"/>
  <sheetViews>
    <sheetView view="pageBreakPreview" zoomScale="92" zoomScaleNormal="115" zoomScaleSheetLayoutView="115" workbookViewId="0">
      <selection activeCell="B3" sqref="B3"/>
    </sheetView>
  </sheetViews>
  <sheetFormatPr defaultColWidth="9.109375" defaultRowHeight="15.6" x14ac:dyDescent="0.25"/>
  <cols>
    <col min="1" max="1" width="5.88671875" style="135" customWidth="1"/>
    <col min="2" max="2" width="55.44140625" style="135" customWidth="1"/>
    <col min="3" max="3" width="42.6640625" style="136" customWidth="1"/>
    <col min="4" max="4" width="9.33203125" style="128" customWidth="1"/>
    <col min="5" max="16384" width="9.109375" style="143"/>
  </cols>
  <sheetData>
    <row r="1" spans="1:8" ht="17.399999999999999" thickBot="1" x14ac:dyDescent="0.3">
      <c r="A1" s="126"/>
      <c r="B1" s="126"/>
      <c r="C1" s="339" t="s">
        <v>195</v>
      </c>
      <c r="D1" s="339"/>
      <c r="E1" s="225"/>
      <c r="F1" s="226">
        <v>1</v>
      </c>
      <c r="G1" s="223"/>
      <c r="H1" s="223"/>
    </row>
    <row r="2" spans="1:8" x14ac:dyDescent="0.25">
      <c r="A2" s="129"/>
      <c r="B2" s="340" t="str">
        <f xml:space="preserve"> CONCATENATE("к АОСР ",A5)</f>
        <v>к АОСР № АИР-М-1.2-61.17-АР-1 от 21.11.2023</v>
      </c>
      <c r="C2" s="340"/>
      <c r="D2" s="340"/>
    </row>
    <row r="3" spans="1:8" ht="16.8" x14ac:dyDescent="0.3">
      <c r="A3" s="126"/>
      <c r="B3" s="126"/>
      <c r="C3" s="130"/>
      <c r="D3" s="130"/>
    </row>
    <row r="4" spans="1:8" ht="13.8" x14ac:dyDescent="0.25">
      <c r="A4" s="341" t="s">
        <v>179</v>
      </c>
      <c r="B4" s="341"/>
      <c r="C4" s="341"/>
      <c r="D4" s="341"/>
    </row>
    <row r="5" spans="1:8" ht="15" customHeight="1" x14ac:dyDescent="0.25">
      <c r="A5" s="341" t="str">
        <f>CONCATENATE("№ ", INDEX(реестр!B:B, F1+8), " от ", TEXT(INDEX(реестр!C:C, F1+8), "ДД.ММ.ГГГГ"))</f>
        <v>№ АИР-М-1.2-61.17-АР-1 от 21.11.2023</v>
      </c>
      <c r="B5" s="341"/>
      <c r="C5" s="341"/>
      <c r="D5" s="341"/>
      <c r="F5" s="170"/>
    </row>
    <row r="6" spans="1:8" s="142" customFormat="1" ht="16.8" x14ac:dyDescent="0.3">
      <c r="A6" s="131"/>
      <c r="B6" s="131"/>
      <c r="C6" s="131"/>
      <c r="D6" s="132"/>
    </row>
    <row r="7" spans="1:8" s="142" customFormat="1" ht="27.6" x14ac:dyDescent="0.25">
      <c r="A7" s="133" t="s">
        <v>180</v>
      </c>
      <c r="B7" s="133" t="s">
        <v>181</v>
      </c>
      <c r="C7" s="133" t="s">
        <v>182</v>
      </c>
      <c r="D7" s="134" t="s">
        <v>183</v>
      </c>
    </row>
    <row r="8" spans="1:8" s="142" customFormat="1" ht="13.8" x14ac:dyDescent="0.25">
      <c r="A8" s="137">
        <v>1</v>
      </c>
      <c r="B8" s="138" t="s">
        <v>634</v>
      </c>
      <c r="C8" s="138" t="s">
        <v>187</v>
      </c>
      <c r="D8" s="139">
        <v>1</v>
      </c>
    </row>
    <row r="9" spans="1:8" s="142" customFormat="1" ht="13.8" x14ac:dyDescent="0.25">
      <c r="A9" s="137">
        <v>2</v>
      </c>
      <c r="B9" s="138" t="s">
        <v>635</v>
      </c>
      <c r="C9" s="138" t="s">
        <v>188</v>
      </c>
      <c r="D9" s="139">
        <v>1</v>
      </c>
    </row>
    <row r="10" spans="1:8" s="142" customFormat="1" ht="13.8" x14ac:dyDescent="0.25">
      <c r="A10" s="137">
        <v>3</v>
      </c>
      <c r="B10" s="138" t="s">
        <v>636</v>
      </c>
      <c r="C10" s="138" t="s">
        <v>189</v>
      </c>
      <c r="D10" s="139">
        <v>1</v>
      </c>
    </row>
    <row r="11" spans="1:8" s="142" customFormat="1" ht="13.8" x14ac:dyDescent="0.25">
      <c r="A11" s="137">
        <v>4</v>
      </c>
      <c r="B11" s="138" t="s">
        <v>637</v>
      </c>
      <c r="C11" s="140" t="s">
        <v>191</v>
      </c>
      <c r="D11" s="139">
        <v>1</v>
      </c>
    </row>
    <row r="12" spans="1:8" s="142" customFormat="1" ht="27.6" x14ac:dyDescent="0.25">
      <c r="A12" s="137">
        <v>5</v>
      </c>
      <c r="B12" s="138" t="s">
        <v>638</v>
      </c>
      <c r="C12" s="140" t="s">
        <v>190</v>
      </c>
      <c r="D12" s="139">
        <v>1</v>
      </c>
    </row>
    <row r="13" spans="1:8" s="142" customFormat="1" ht="27.6" x14ac:dyDescent="0.25">
      <c r="A13" s="137">
        <v>6</v>
      </c>
      <c r="B13" s="138" t="s">
        <v>642</v>
      </c>
      <c r="C13" s="140" t="s">
        <v>639</v>
      </c>
      <c r="D13" s="139">
        <v>1</v>
      </c>
    </row>
    <row r="14" spans="1:8" s="142" customFormat="1" ht="27.6" x14ac:dyDescent="0.25">
      <c r="A14" s="137">
        <v>7</v>
      </c>
      <c r="B14" s="138" t="s">
        <v>640</v>
      </c>
      <c r="C14" s="140" t="s">
        <v>192</v>
      </c>
      <c r="D14" s="139">
        <v>1</v>
      </c>
    </row>
    <row r="15" spans="1:8" s="142" customFormat="1" ht="27.6" x14ac:dyDescent="0.25">
      <c r="A15" s="137">
        <v>8</v>
      </c>
      <c r="B15" s="138" t="s">
        <v>641</v>
      </c>
      <c r="C15" s="138" t="s">
        <v>193</v>
      </c>
      <c r="D15" s="139">
        <v>1</v>
      </c>
    </row>
    <row r="16" spans="1:8" s="142" customFormat="1" x14ac:dyDescent="0.25">
      <c r="A16" s="135"/>
      <c r="B16" s="135"/>
      <c r="C16" s="136"/>
      <c r="D16" s="128"/>
    </row>
    <row r="17" spans="1:4" ht="13.8" x14ac:dyDescent="0.25">
      <c r="A17" s="338" t="s">
        <v>184</v>
      </c>
      <c r="B17" s="338"/>
      <c r="C17" s="338"/>
      <c r="D17" s="338"/>
    </row>
    <row r="18" spans="1:4" ht="13.8" x14ac:dyDescent="0.25">
      <c r="A18" s="338" t="s">
        <v>77</v>
      </c>
      <c r="B18" s="338"/>
      <c r="C18" s="338"/>
      <c r="D18" s="338"/>
    </row>
    <row r="19" spans="1:4" ht="30" customHeight="1" x14ac:dyDescent="0.25">
      <c r="A19" s="343" t="str">
        <f xml:space="preserve"> INDEX(реестр!N:N, F1+8)</f>
        <v>Сураев С.П.</v>
      </c>
      <c r="B19" s="343"/>
      <c r="C19" s="343"/>
      <c r="D19" s="343"/>
    </row>
    <row r="20" spans="1:4" ht="13.8" x14ac:dyDescent="0.25">
      <c r="A20" s="342" t="s">
        <v>26</v>
      </c>
      <c r="B20" s="342"/>
      <c r="C20" s="342"/>
      <c r="D20" s="342"/>
    </row>
    <row r="21" spans="1:4" ht="13.8" x14ac:dyDescent="0.25">
      <c r="A21" s="338" t="s">
        <v>185</v>
      </c>
      <c r="B21" s="338"/>
      <c r="C21" s="338"/>
      <c r="D21" s="338"/>
    </row>
    <row r="22" spans="1:4" ht="13.8" x14ac:dyDescent="0.25">
      <c r="A22" s="338" t="s">
        <v>80</v>
      </c>
      <c r="B22" s="338"/>
      <c r="C22" s="338"/>
      <c r="D22" s="338"/>
    </row>
    <row r="23" spans="1:4" ht="30" customHeight="1" x14ac:dyDescent="0.25">
      <c r="A23" s="343" t="s">
        <v>76</v>
      </c>
      <c r="B23" s="343"/>
      <c r="C23" s="343"/>
      <c r="D23" s="343"/>
    </row>
    <row r="24" spans="1:4" ht="13.8" x14ac:dyDescent="0.25">
      <c r="A24" s="342" t="s">
        <v>26</v>
      </c>
      <c r="B24" s="342"/>
      <c r="C24" s="342"/>
      <c r="D24" s="342"/>
    </row>
    <row r="25" spans="1:4" ht="13.8" x14ac:dyDescent="0.25">
      <c r="A25" s="344" t="s">
        <v>66</v>
      </c>
      <c r="B25" s="344"/>
      <c r="C25" s="344"/>
      <c r="D25" s="344"/>
    </row>
    <row r="26" spans="1:4" ht="30" customHeight="1" x14ac:dyDescent="0.25">
      <c r="A26" s="343" t="s">
        <v>82</v>
      </c>
      <c r="B26" s="343"/>
      <c r="C26" s="343"/>
      <c r="D26" s="343"/>
    </row>
    <row r="27" spans="1:4" ht="13.8" x14ac:dyDescent="0.25">
      <c r="A27" s="342" t="s">
        <v>26</v>
      </c>
      <c r="B27" s="342"/>
      <c r="C27" s="342"/>
      <c r="D27" s="342"/>
    </row>
    <row r="28" spans="1:4" ht="13.8" x14ac:dyDescent="0.25">
      <c r="A28" s="344" t="s">
        <v>186</v>
      </c>
      <c r="B28" s="344"/>
      <c r="C28" s="344"/>
      <c r="D28" s="344"/>
    </row>
    <row r="29" spans="1:4" ht="30" customHeight="1" x14ac:dyDescent="0.25">
      <c r="A29" s="343" t="s">
        <v>256</v>
      </c>
      <c r="B29" s="343"/>
      <c r="C29" s="343"/>
      <c r="D29" s="343"/>
    </row>
    <row r="30" spans="1:4" ht="13.8" x14ac:dyDescent="0.25">
      <c r="A30" s="342" t="s">
        <v>26</v>
      </c>
      <c r="B30" s="342"/>
      <c r="C30" s="342"/>
      <c r="D30" s="342"/>
    </row>
  </sheetData>
  <mergeCells count="18">
    <mergeCell ref="A30:D30"/>
    <mergeCell ref="A19:D19"/>
    <mergeCell ref="A20:D20"/>
    <mergeCell ref="A21:D21"/>
    <mergeCell ref="A22:D22"/>
    <mergeCell ref="A23:D23"/>
    <mergeCell ref="A24:D24"/>
    <mergeCell ref="A25:D25"/>
    <mergeCell ref="A26:D26"/>
    <mergeCell ref="A27:D27"/>
    <mergeCell ref="A28:D28"/>
    <mergeCell ref="A29:D29"/>
    <mergeCell ref="A18:D18"/>
    <mergeCell ref="C1:D1"/>
    <mergeCell ref="B2:D2"/>
    <mergeCell ref="A4:D4"/>
    <mergeCell ref="A5:D5"/>
    <mergeCell ref="A17:D17"/>
  </mergeCells>
  <pageMargins left="0.7" right="0.7" top="0.75" bottom="0.75" header="0.3" footer="0.3"/>
  <pageSetup paperSize="9" scale="78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A03A47-4996-411A-B434-83711BCBB686}">
  <sheetPr codeName="Лист16">
    <tabColor theme="0"/>
  </sheetPr>
  <dimension ref="A1:H28"/>
  <sheetViews>
    <sheetView view="pageBreakPreview" zoomScale="90" zoomScaleNormal="115" zoomScaleSheetLayoutView="115" workbookViewId="0">
      <selection activeCell="F2" sqref="F2"/>
    </sheetView>
  </sheetViews>
  <sheetFormatPr defaultColWidth="9.109375" defaultRowHeight="15.6" x14ac:dyDescent="0.25"/>
  <cols>
    <col min="1" max="1" width="5.88671875" style="135" customWidth="1"/>
    <col min="2" max="2" width="55.44140625" style="136" customWidth="1"/>
    <col min="3" max="3" width="42.6640625" style="136" customWidth="1"/>
    <col min="4" max="4" width="9.33203125" style="128" customWidth="1"/>
    <col min="5" max="16384" width="9.109375" style="143"/>
  </cols>
  <sheetData>
    <row r="1" spans="1:8" ht="17.399999999999999" thickBot="1" x14ac:dyDescent="0.3">
      <c r="A1" s="126"/>
      <c r="B1" s="127"/>
      <c r="C1" s="339" t="s">
        <v>195</v>
      </c>
      <c r="D1" s="339"/>
      <c r="E1" s="225"/>
      <c r="F1" s="226">
        <v>7</v>
      </c>
      <c r="G1" s="223"/>
      <c r="H1" s="223"/>
    </row>
    <row r="2" spans="1:8" x14ac:dyDescent="0.25">
      <c r="A2" s="129"/>
      <c r="B2" s="340" t="str">
        <f xml:space="preserve"> CONCATENATE("к АОСР ",A5)</f>
        <v>к АОСР № АИР-М-1.2-61.17-АР-7 от 07.12.2023</v>
      </c>
      <c r="C2" s="340"/>
      <c r="D2" s="340"/>
    </row>
    <row r="3" spans="1:8" ht="16.8" x14ac:dyDescent="0.3">
      <c r="A3" s="126"/>
      <c r="B3" s="126"/>
      <c r="C3" s="130"/>
      <c r="D3" s="130"/>
    </row>
    <row r="4" spans="1:8" ht="13.8" x14ac:dyDescent="0.25">
      <c r="A4" s="341" t="s">
        <v>179</v>
      </c>
      <c r="B4" s="341"/>
      <c r="C4" s="341"/>
      <c r="D4" s="341"/>
    </row>
    <row r="5" spans="1:8" ht="15" customHeight="1" x14ac:dyDescent="0.25">
      <c r="A5" s="341" t="str">
        <f>CONCATENATE("№ ", INDEX(реестр!B:B, F1+8), " от ", TEXT(INDEX(реестр!C:C, F1+8), "ДД.ММ.ГГГГ"))</f>
        <v>№ АИР-М-1.2-61.17-АР-7 от 07.12.2023</v>
      </c>
      <c r="B5" s="341"/>
      <c r="C5" s="341"/>
      <c r="D5" s="341"/>
      <c r="F5" s="170"/>
    </row>
    <row r="6" spans="1:8" s="142" customFormat="1" ht="16.8" x14ac:dyDescent="0.3">
      <c r="A6" s="131"/>
      <c r="B6" s="131"/>
      <c r="C6" s="131"/>
      <c r="D6" s="132"/>
    </row>
    <row r="7" spans="1:8" s="142" customFormat="1" ht="27.6" x14ac:dyDescent="0.25">
      <c r="A7" s="133" t="s">
        <v>180</v>
      </c>
      <c r="B7" s="133" t="s">
        <v>181</v>
      </c>
      <c r="C7" s="133" t="s">
        <v>182</v>
      </c>
      <c r="D7" s="134" t="s">
        <v>183</v>
      </c>
    </row>
    <row r="8" spans="1:8" s="142" customFormat="1" ht="26.4" x14ac:dyDescent="0.25">
      <c r="A8" s="137">
        <v>1</v>
      </c>
      <c r="B8" s="247" t="s">
        <v>518</v>
      </c>
      <c r="C8" s="214" t="s">
        <v>259</v>
      </c>
      <c r="D8" s="214">
        <v>1</v>
      </c>
    </row>
    <row r="9" spans="1:8" s="142" customFormat="1" ht="26.4" x14ac:dyDescent="0.25">
      <c r="A9" s="137">
        <v>2</v>
      </c>
      <c r="B9" s="247" t="s">
        <v>519</v>
      </c>
      <c r="C9" s="214" t="s">
        <v>260</v>
      </c>
      <c r="D9" s="214">
        <v>1</v>
      </c>
    </row>
    <row r="10" spans="1:8" s="142" customFormat="1" ht="26.4" x14ac:dyDescent="0.25">
      <c r="A10" s="137">
        <v>3</v>
      </c>
      <c r="B10" s="247" t="s">
        <v>520</v>
      </c>
      <c r="C10" s="214" t="s">
        <v>263</v>
      </c>
      <c r="D10" s="214">
        <v>1</v>
      </c>
    </row>
    <row r="11" spans="1:8" s="142" customFormat="1" ht="26.4" x14ac:dyDescent="0.25">
      <c r="A11" s="137">
        <v>4</v>
      </c>
      <c r="B11" s="247" t="s">
        <v>521</v>
      </c>
      <c r="C11" s="214" t="s">
        <v>262</v>
      </c>
      <c r="D11" s="214">
        <v>1</v>
      </c>
    </row>
    <row r="12" spans="1:8" s="142" customFormat="1" ht="26.4" x14ac:dyDescent="0.25">
      <c r="A12" s="137">
        <v>5</v>
      </c>
      <c r="B12" s="247" t="s">
        <v>522</v>
      </c>
      <c r="C12" s="214" t="s">
        <v>261</v>
      </c>
      <c r="D12" s="214">
        <v>1</v>
      </c>
    </row>
    <row r="13" spans="1:8" s="142" customFormat="1" ht="26.4" x14ac:dyDescent="0.25">
      <c r="A13" s="137">
        <v>6</v>
      </c>
      <c r="B13" s="247" t="s">
        <v>523</v>
      </c>
      <c r="C13" s="214" t="s">
        <v>264</v>
      </c>
      <c r="D13" s="214">
        <v>1</v>
      </c>
    </row>
    <row r="14" spans="1:8" s="142" customFormat="1" x14ac:dyDescent="0.25">
      <c r="A14" s="135"/>
      <c r="B14" s="136"/>
      <c r="C14" s="136"/>
      <c r="D14" s="128"/>
    </row>
    <row r="15" spans="1:8" ht="13.8" x14ac:dyDescent="0.25">
      <c r="A15" s="338" t="s">
        <v>184</v>
      </c>
      <c r="B15" s="338"/>
      <c r="C15" s="338"/>
      <c r="D15" s="338"/>
    </row>
    <row r="16" spans="1:8" ht="13.8" x14ac:dyDescent="0.25">
      <c r="A16" s="338" t="s">
        <v>77</v>
      </c>
      <c r="B16" s="338"/>
      <c r="C16" s="338"/>
      <c r="D16" s="338"/>
    </row>
    <row r="17" spans="1:4" ht="30" customHeight="1" x14ac:dyDescent="0.25">
      <c r="A17" s="343" t="str">
        <f xml:space="preserve"> INDEX(реестр!N:N, F1+8)</f>
        <v>Серов А.В.</v>
      </c>
      <c r="B17" s="343"/>
      <c r="C17" s="343"/>
      <c r="D17" s="343"/>
    </row>
    <row r="18" spans="1:4" ht="13.8" x14ac:dyDescent="0.25">
      <c r="A18" s="342" t="s">
        <v>26</v>
      </c>
      <c r="B18" s="342"/>
      <c r="C18" s="342"/>
      <c r="D18" s="342"/>
    </row>
    <row r="19" spans="1:4" ht="13.8" x14ac:dyDescent="0.25">
      <c r="A19" s="338" t="s">
        <v>185</v>
      </c>
      <c r="B19" s="338"/>
      <c r="C19" s="338"/>
      <c r="D19" s="338"/>
    </row>
    <row r="20" spans="1:4" ht="13.8" x14ac:dyDescent="0.25">
      <c r="A20" s="338" t="s">
        <v>80</v>
      </c>
      <c r="B20" s="338"/>
      <c r="C20" s="338"/>
      <c r="D20" s="338"/>
    </row>
    <row r="21" spans="1:4" ht="30" customHeight="1" x14ac:dyDescent="0.25">
      <c r="A21" s="343" t="s">
        <v>76</v>
      </c>
      <c r="B21" s="343"/>
      <c r="C21" s="343"/>
      <c r="D21" s="343"/>
    </row>
    <row r="22" spans="1:4" ht="13.8" x14ac:dyDescent="0.25">
      <c r="A22" s="342" t="s">
        <v>26</v>
      </c>
      <c r="B22" s="342"/>
      <c r="C22" s="342"/>
      <c r="D22" s="342"/>
    </row>
    <row r="23" spans="1:4" ht="13.8" x14ac:dyDescent="0.25">
      <c r="A23" s="344" t="s">
        <v>66</v>
      </c>
      <c r="B23" s="344"/>
      <c r="C23" s="344"/>
      <c r="D23" s="344"/>
    </row>
    <row r="24" spans="1:4" ht="30" customHeight="1" x14ac:dyDescent="0.25">
      <c r="A24" s="343" t="s">
        <v>82</v>
      </c>
      <c r="B24" s="343"/>
      <c r="C24" s="343"/>
      <c r="D24" s="343"/>
    </row>
    <row r="25" spans="1:4" ht="13.8" x14ac:dyDescent="0.25">
      <c r="A25" s="342" t="s">
        <v>26</v>
      </c>
      <c r="B25" s="342"/>
      <c r="C25" s="342"/>
      <c r="D25" s="342"/>
    </row>
    <row r="26" spans="1:4" ht="13.8" x14ac:dyDescent="0.25">
      <c r="A26" s="344" t="s">
        <v>186</v>
      </c>
      <c r="B26" s="344"/>
      <c r="C26" s="344"/>
      <c r="D26" s="344"/>
    </row>
    <row r="27" spans="1:4" ht="30" customHeight="1" x14ac:dyDescent="0.25">
      <c r="A27" s="343" t="s">
        <v>256</v>
      </c>
      <c r="B27" s="343"/>
      <c r="C27" s="343"/>
      <c r="D27" s="343"/>
    </row>
    <row r="28" spans="1:4" ht="13.8" x14ac:dyDescent="0.25">
      <c r="A28" s="342" t="s">
        <v>26</v>
      </c>
      <c r="B28" s="342"/>
      <c r="C28" s="342"/>
      <c r="D28" s="342"/>
    </row>
  </sheetData>
  <mergeCells count="18">
    <mergeCell ref="A28:D28"/>
    <mergeCell ref="A22:D22"/>
    <mergeCell ref="A23:D23"/>
    <mergeCell ref="A24:D24"/>
    <mergeCell ref="A25:D25"/>
    <mergeCell ref="A26:D26"/>
    <mergeCell ref="A27:D27"/>
    <mergeCell ref="A21:D21"/>
    <mergeCell ref="C1:D1"/>
    <mergeCell ref="B2:D2"/>
    <mergeCell ref="A4:D4"/>
    <mergeCell ref="A5:D5"/>
    <mergeCell ref="A15:D15"/>
    <mergeCell ref="A16:D16"/>
    <mergeCell ref="A17:D17"/>
    <mergeCell ref="A18:D18"/>
    <mergeCell ref="A19:D19"/>
    <mergeCell ref="A20:D20"/>
  </mergeCells>
  <pageMargins left="0.7" right="0.7" top="0.75" bottom="0.75" header="0.3" footer="0.3"/>
  <pageSetup paperSize="9" scale="78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C7B30E-BDBE-4590-B22E-BAF596B598BC}">
  <sheetPr codeName="Лист25">
    <tabColor theme="0"/>
  </sheetPr>
  <dimension ref="A1:I25"/>
  <sheetViews>
    <sheetView view="pageBreakPreview" zoomScaleNormal="115" zoomScaleSheetLayoutView="100" workbookViewId="0">
      <selection activeCell="F2" sqref="F2"/>
    </sheetView>
  </sheetViews>
  <sheetFormatPr defaultColWidth="9.109375" defaultRowHeight="15.6" x14ac:dyDescent="0.25"/>
  <cols>
    <col min="1" max="1" width="5.88671875" style="135" customWidth="1"/>
    <col min="2" max="2" width="55.44140625" style="136" customWidth="1"/>
    <col min="3" max="3" width="42.6640625" style="136" customWidth="1"/>
    <col min="4" max="4" width="9.33203125" style="128" customWidth="1"/>
    <col min="5" max="7" width="9.109375" style="143"/>
    <col min="8" max="8" width="63.44140625" style="143" customWidth="1"/>
    <col min="9" max="9" width="36.6640625" style="143" customWidth="1"/>
    <col min="10" max="16384" width="9.109375" style="143"/>
  </cols>
  <sheetData>
    <row r="1" spans="1:9" ht="17.399999999999999" thickBot="1" x14ac:dyDescent="0.3">
      <c r="A1" s="126"/>
      <c r="B1" s="127"/>
      <c r="C1" s="339" t="s">
        <v>195</v>
      </c>
      <c r="D1" s="339"/>
      <c r="E1" s="225"/>
      <c r="F1" s="226">
        <v>15</v>
      </c>
      <c r="G1" s="223"/>
      <c r="H1" s="223"/>
    </row>
    <row r="2" spans="1:9" x14ac:dyDescent="0.25">
      <c r="A2" s="129"/>
      <c r="B2" s="340" t="str">
        <f xml:space="preserve"> CONCATENATE("к АОСР ",A5)</f>
        <v>к АОСР № АИР-М-1.2-61.17-АР-15 от 16.12.2023</v>
      </c>
      <c r="C2" s="340"/>
      <c r="D2" s="340"/>
    </row>
    <row r="3" spans="1:9" ht="16.8" x14ac:dyDescent="0.3">
      <c r="A3" s="126"/>
      <c r="B3" s="126"/>
      <c r="C3" s="130"/>
      <c r="D3" s="130"/>
    </row>
    <row r="4" spans="1:9" ht="13.8" x14ac:dyDescent="0.25">
      <c r="A4" s="341" t="s">
        <v>179</v>
      </c>
      <c r="B4" s="341"/>
      <c r="C4" s="341"/>
      <c r="D4" s="341"/>
    </row>
    <row r="5" spans="1:9" ht="15" customHeight="1" x14ac:dyDescent="0.25">
      <c r="A5" s="341" t="str">
        <f>CONCATENATE("№ ", INDEX(реестр!B:B, F1+8), " от ", TEXT(INDEX(реестр!C:C, F1+8), "ДД.ММ.ГГГГ"))</f>
        <v>№ АИР-М-1.2-61.17-АР-15 от 16.12.2023</v>
      </c>
      <c r="B5" s="341"/>
      <c r="C5" s="341"/>
      <c r="D5" s="341"/>
      <c r="F5" s="341"/>
      <c r="G5" s="341"/>
      <c r="H5" s="341"/>
      <c r="I5" s="341"/>
    </row>
    <row r="6" spans="1:9" s="142" customFormat="1" ht="16.8" x14ac:dyDescent="0.3">
      <c r="A6" s="131"/>
      <c r="B6" s="131"/>
      <c r="C6" s="131"/>
      <c r="D6" s="132"/>
    </row>
    <row r="7" spans="1:9" s="142" customFormat="1" ht="27.6" x14ac:dyDescent="0.25">
      <c r="A7" s="133" t="s">
        <v>180</v>
      </c>
      <c r="B7" s="133" t="s">
        <v>181</v>
      </c>
      <c r="C7" s="133" t="s">
        <v>182</v>
      </c>
      <c r="D7" s="134" t="s">
        <v>183</v>
      </c>
    </row>
    <row r="8" spans="1:9" s="142" customFormat="1" ht="13.8" x14ac:dyDescent="0.25">
      <c r="A8" s="137">
        <v>1</v>
      </c>
      <c r="B8" s="214" t="s">
        <v>258</v>
      </c>
      <c r="C8" s="214" t="s">
        <v>332</v>
      </c>
      <c r="D8" s="214">
        <v>1</v>
      </c>
    </row>
    <row r="9" spans="1:9" s="142" customFormat="1" ht="13.8" x14ac:dyDescent="0.25">
      <c r="A9" s="137">
        <v>2</v>
      </c>
      <c r="B9" s="214" t="s">
        <v>258</v>
      </c>
      <c r="C9" s="214" t="s">
        <v>333</v>
      </c>
      <c r="D9" s="214">
        <v>1</v>
      </c>
    </row>
    <row r="10" spans="1:9" s="142" customFormat="1" ht="13.8" x14ac:dyDescent="0.25">
      <c r="A10" s="137">
        <v>3</v>
      </c>
      <c r="B10" s="214" t="s">
        <v>258</v>
      </c>
      <c r="C10" s="214" t="s">
        <v>334</v>
      </c>
      <c r="D10" s="214">
        <v>1</v>
      </c>
    </row>
    <row r="11" spans="1:9" s="142" customFormat="1" x14ac:dyDescent="0.25">
      <c r="A11" s="135"/>
      <c r="B11" s="136"/>
      <c r="C11" s="136"/>
      <c r="D11" s="128"/>
    </row>
    <row r="12" spans="1:9" ht="13.8" x14ac:dyDescent="0.25">
      <c r="A12" s="338" t="s">
        <v>184</v>
      </c>
      <c r="B12" s="338"/>
      <c r="C12" s="338"/>
      <c r="D12" s="338"/>
    </row>
    <row r="13" spans="1:9" ht="13.8" x14ac:dyDescent="0.25">
      <c r="A13" s="338" t="s">
        <v>77</v>
      </c>
      <c r="B13" s="338"/>
      <c r="C13" s="338"/>
      <c r="D13" s="338"/>
    </row>
    <row r="14" spans="1:9" ht="30" customHeight="1" x14ac:dyDescent="0.25">
      <c r="A14" s="343" t="str">
        <f xml:space="preserve"> INDEX(реестр!N:N, F1+8)</f>
        <v>Серов А.В.</v>
      </c>
      <c r="B14" s="343"/>
      <c r="C14" s="343"/>
      <c r="D14" s="343"/>
    </row>
    <row r="15" spans="1:9" ht="13.8" x14ac:dyDescent="0.25">
      <c r="A15" s="342" t="s">
        <v>26</v>
      </c>
      <c r="B15" s="342"/>
      <c r="C15" s="342"/>
      <c r="D15" s="342"/>
    </row>
    <row r="16" spans="1:9" ht="13.8" x14ac:dyDescent="0.25">
      <c r="A16" s="338" t="s">
        <v>185</v>
      </c>
      <c r="B16" s="338"/>
      <c r="C16" s="338"/>
      <c r="D16" s="338"/>
    </row>
    <row r="17" spans="1:4" ht="13.8" x14ac:dyDescent="0.25">
      <c r="A17" s="338" t="s">
        <v>80</v>
      </c>
      <c r="B17" s="338"/>
      <c r="C17" s="338"/>
      <c r="D17" s="338"/>
    </row>
    <row r="18" spans="1:4" ht="30" customHeight="1" x14ac:dyDescent="0.25">
      <c r="A18" s="343" t="s">
        <v>76</v>
      </c>
      <c r="B18" s="343"/>
      <c r="C18" s="343"/>
      <c r="D18" s="343"/>
    </row>
    <row r="19" spans="1:4" ht="13.8" x14ac:dyDescent="0.25">
      <c r="A19" s="342" t="s">
        <v>26</v>
      </c>
      <c r="B19" s="342"/>
      <c r="C19" s="342"/>
      <c r="D19" s="342"/>
    </row>
    <row r="20" spans="1:4" ht="13.8" x14ac:dyDescent="0.25">
      <c r="A20" s="344" t="s">
        <v>66</v>
      </c>
      <c r="B20" s="344"/>
      <c r="C20" s="344"/>
      <c r="D20" s="344"/>
    </row>
    <row r="21" spans="1:4" ht="30" customHeight="1" x14ac:dyDescent="0.25">
      <c r="A21" s="343" t="s">
        <v>82</v>
      </c>
      <c r="B21" s="343"/>
      <c r="C21" s="343"/>
      <c r="D21" s="343"/>
    </row>
    <row r="22" spans="1:4" ht="13.8" x14ac:dyDescent="0.25">
      <c r="A22" s="342" t="s">
        <v>26</v>
      </c>
      <c r="B22" s="342"/>
      <c r="C22" s="342"/>
      <c r="D22" s="342"/>
    </row>
    <row r="23" spans="1:4" ht="13.8" x14ac:dyDescent="0.25">
      <c r="A23" s="344" t="s">
        <v>186</v>
      </c>
      <c r="B23" s="344"/>
      <c r="C23" s="344"/>
      <c r="D23" s="344"/>
    </row>
    <row r="24" spans="1:4" ht="30" customHeight="1" x14ac:dyDescent="0.25">
      <c r="A24" s="343" t="s">
        <v>256</v>
      </c>
      <c r="B24" s="343"/>
      <c r="C24" s="343"/>
      <c r="D24" s="343"/>
    </row>
    <row r="25" spans="1:4" ht="13.8" x14ac:dyDescent="0.25">
      <c r="A25" s="342" t="s">
        <v>26</v>
      </c>
      <c r="B25" s="342"/>
      <c r="C25" s="342"/>
      <c r="D25" s="342"/>
    </row>
  </sheetData>
  <mergeCells count="19">
    <mergeCell ref="F5:I5"/>
    <mergeCell ref="A20:D20"/>
    <mergeCell ref="A21:D21"/>
    <mergeCell ref="A22:D22"/>
    <mergeCell ref="A23:D23"/>
    <mergeCell ref="A13:D13"/>
    <mergeCell ref="A24:D24"/>
    <mergeCell ref="A25:D25"/>
    <mergeCell ref="A14:D14"/>
    <mergeCell ref="A15:D15"/>
    <mergeCell ref="A16:D16"/>
    <mergeCell ref="A17:D17"/>
    <mergeCell ref="A18:D18"/>
    <mergeCell ref="A19:D19"/>
    <mergeCell ref="C1:D1"/>
    <mergeCell ref="B2:D2"/>
    <mergeCell ref="A4:D4"/>
    <mergeCell ref="A5:D5"/>
    <mergeCell ref="A12:D12"/>
  </mergeCells>
  <pageMargins left="0.7" right="0.7" top="0.75" bottom="0.75" header="0.3" footer="0.3"/>
  <pageSetup paperSize="9" scale="78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67E95C-BCE3-4B4C-8BEA-5574231EDFD6}">
  <sheetPr codeName="Лист31">
    <tabColor theme="0"/>
  </sheetPr>
  <dimension ref="A1:I27"/>
  <sheetViews>
    <sheetView view="pageBreakPreview" zoomScaleNormal="115" zoomScaleSheetLayoutView="100" workbookViewId="0">
      <selection activeCell="F2" sqref="F2"/>
    </sheetView>
  </sheetViews>
  <sheetFormatPr defaultColWidth="9.109375" defaultRowHeight="15.6" x14ac:dyDescent="0.25"/>
  <cols>
    <col min="1" max="1" width="5.88671875" style="135" customWidth="1"/>
    <col min="2" max="2" width="55.44140625" style="136" customWidth="1"/>
    <col min="3" max="3" width="42.6640625" style="136" customWidth="1"/>
    <col min="4" max="4" width="9.33203125" style="128" customWidth="1"/>
    <col min="5" max="7" width="9.109375" style="143"/>
    <col min="8" max="8" width="63.44140625" style="143" customWidth="1"/>
    <col min="9" max="9" width="36.6640625" style="143" customWidth="1"/>
    <col min="10" max="16384" width="9.109375" style="143"/>
  </cols>
  <sheetData>
    <row r="1" spans="1:9" ht="17.399999999999999" thickBot="1" x14ac:dyDescent="0.3">
      <c r="A1" s="126"/>
      <c r="B1" s="127"/>
      <c r="C1" s="339" t="s">
        <v>195</v>
      </c>
      <c r="D1" s="339"/>
      <c r="E1" s="225"/>
      <c r="F1" s="226">
        <v>16</v>
      </c>
      <c r="G1" s="223"/>
      <c r="H1" s="223"/>
    </row>
    <row r="2" spans="1:9" x14ac:dyDescent="0.25">
      <c r="A2" s="129"/>
      <c r="B2" s="340" t="str">
        <f xml:space="preserve"> CONCATENATE("к АОСР ",A5)</f>
        <v>к АОСР № АИР-М-1.2-61.17-АР-16 от 13.12.2023</v>
      </c>
      <c r="C2" s="340"/>
      <c r="D2" s="340"/>
    </row>
    <row r="3" spans="1:9" ht="16.8" x14ac:dyDescent="0.3">
      <c r="A3" s="126"/>
      <c r="B3" s="126"/>
      <c r="C3" s="130"/>
      <c r="D3" s="130"/>
    </row>
    <row r="4" spans="1:9" ht="13.8" x14ac:dyDescent="0.25">
      <c r="A4" s="341" t="s">
        <v>179</v>
      </c>
      <c r="B4" s="341"/>
      <c r="C4" s="341"/>
      <c r="D4" s="341"/>
    </row>
    <row r="5" spans="1:9" ht="15" customHeight="1" x14ac:dyDescent="0.25">
      <c r="A5" s="341" t="str">
        <f>CONCATENATE("№ ", INDEX(реестр!B:B, F1+8), " от ", TEXT(INDEX(реестр!C:C, F1+8), "ДД.ММ.ГГГГ"))</f>
        <v>№ АИР-М-1.2-61.17-АР-16 от 13.12.2023</v>
      </c>
      <c r="B5" s="341"/>
      <c r="C5" s="341"/>
      <c r="D5" s="341"/>
      <c r="F5" s="341"/>
      <c r="G5" s="341"/>
      <c r="H5" s="341"/>
      <c r="I5" s="341"/>
    </row>
    <row r="6" spans="1:9" s="142" customFormat="1" ht="16.8" x14ac:dyDescent="0.3">
      <c r="A6" s="131"/>
      <c r="B6" s="131"/>
      <c r="C6" s="131"/>
      <c r="D6" s="132"/>
    </row>
    <row r="7" spans="1:9" s="142" customFormat="1" ht="27.6" x14ac:dyDescent="0.25">
      <c r="A7" s="133" t="s">
        <v>180</v>
      </c>
      <c r="B7" s="133" t="s">
        <v>181</v>
      </c>
      <c r="C7" s="133" t="s">
        <v>182</v>
      </c>
      <c r="D7" s="134" t="s">
        <v>183</v>
      </c>
    </row>
    <row r="8" spans="1:9" s="142" customFormat="1" ht="13.8" x14ac:dyDescent="0.25">
      <c r="A8" s="137">
        <v>1</v>
      </c>
      <c r="B8" s="214" t="s">
        <v>472</v>
      </c>
      <c r="C8" s="214" t="s">
        <v>470</v>
      </c>
      <c r="D8" s="214">
        <v>1</v>
      </c>
    </row>
    <row r="9" spans="1:9" s="142" customFormat="1" ht="13.8" x14ac:dyDescent="0.25">
      <c r="A9" s="137">
        <v>2</v>
      </c>
      <c r="B9" s="214" t="s">
        <v>473</v>
      </c>
      <c r="C9" s="214" t="s">
        <v>469</v>
      </c>
      <c r="D9" s="214">
        <v>1</v>
      </c>
    </row>
    <row r="10" spans="1:9" s="142" customFormat="1" ht="27.6" x14ac:dyDescent="0.25">
      <c r="A10" s="137">
        <v>3</v>
      </c>
      <c r="B10" s="214" t="s">
        <v>474</v>
      </c>
      <c r="C10" s="214" t="s">
        <v>471</v>
      </c>
      <c r="D10" s="214">
        <v>2</v>
      </c>
    </row>
    <row r="11" spans="1:9" s="142" customFormat="1" ht="13.8" x14ac:dyDescent="0.25">
      <c r="A11" s="137">
        <v>4</v>
      </c>
      <c r="B11" s="214" t="s">
        <v>476</v>
      </c>
      <c r="C11" s="214" t="s">
        <v>475</v>
      </c>
      <c r="D11" s="214">
        <v>1</v>
      </c>
    </row>
    <row r="12" spans="1:9" s="142" customFormat="1" ht="13.8" x14ac:dyDescent="0.25">
      <c r="A12" s="137">
        <v>5</v>
      </c>
      <c r="B12" s="214" t="s">
        <v>477</v>
      </c>
      <c r="C12" s="214" t="s">
        <v>475</v>
      </c>
      <c r="D12" s="214">
        <v>1</v>
      </c>
    </row>
    <row r="13" spans="1:9" s="142" customFormat="1" x14ac:dyDescent="0.25">
      <c r="A13" s="135"/>
      <c r="B13" s="136"/>
      <c r="C13" s="136"/>
      <c r="D13" s="128"/>
    </row>
    <row r="14" spans="1:9" ht="13.8" x14ac:dyDescent="0.25">
      <c r="A14" s="338" t="s">
        <v>184</v>
      </c>
      <c r="B14" s="338"/>
      <c r="C14" s="338"/>
      <c r="D14" s="338"/>
    </row>
    <row r="15" spans="1:9" ht="13.8" x14ac:dyDescent="0.25">
      <c r="A15" s="338" t="s">
        <v>77</v>
      </c>
      <c r="B15" s="338"/>
      <c r="C15" s="338"/>
      <c r="D15" s="338"/>
    </row>
    <row r="16" spans="1:9" ht="30" customHeight="1" x14ac:dyDescent="0.25">
      <c r="A16" s="343" t="str">
        <f xml:space="preserve"> INDEX(реестр!N:N, F1+8)</f>
        <v>Серов А.В.</v>
      </c>
      <c r="B16" s="343"/>
      <c r="C16" s="343"/>
      <c r="D16" s="343"/>
    </row>
    <row r="17" spans="1:4" ht="13.8" x14ac:dyDescent="0.25">
      <c r="A17" s="342" t="s">
        <v>26</v>
      </c>
      <c r="B17" s="342"/>
      <c r="C17" s="342"/>
      <c r="D17" s="342"/>
    </row>
    <row r="18" spans="1:4" ht="13.8" x14ac:dyDescent="0.25">
      <c r="A18" s="338" t="s">
        <v>185</v>
      </c>
      <c r="B18" s="338"/>
      <c r="C18" s="338"/>
      <c r="D18" s="338"/>
    </row>
    <row r="19" spans="1:4" ht="13.8" x14ac:dyDescent="0.25">
      <c r="A19" s="338" t="s">
        <v>80</v>
      </c>
      <c r="B19" s="338"/>
      <c r="C19" s="338"/>
      <c r="D19" s="338"/>
    </row>
    <row r="20" spans="1:4" ht="30" customHeight="1" x14ac:dyDescent="0.25">
      <c r="A20" s="343" t="s">
        <v>76</v>
      </c>
      <c r="B20" s="343"/>
      <c r="C20" s="343"/>
      <c r="D20" s="343"/>
    </row>
    <row r="21" spans="1:4" ht="13.8" x14ac:dyDescent="0.25">
      <c r="A21" s="342" t="s">
        <v>26</v>
      </c>
      <c r="B21" s="342"/>
      <c r="C21" s="342"/>
      <c r="D21" s="342"/>
    </row>
    <row r="22" spans="1:4" ht="13.8" x14ac:dyDescent="0.25">
      <c r="A22" s="344" t="s">
        <v>66</v>
      </c>
      <c r="B22" s="344"/>
      <c r="C22" s="344"/>
      <c r="D22" s="344"/>
    </row>
    <row r="23" spans="1:4" ht="30" customHeight="1" x14ac:dyDescent="0.25">
      <c r="A23" s="343" t="s">
        <v>82</v>
      </c>
      <c r="B23" s="343"/>
      <c r="C23" s="343"/>
      <c r="D23" s="343"/>
    </row>
    <row r="24" spans="1:4" ht="13.8" x14ac:dyDescent="0.25">
      <c r="A24" s="342" t="s">
        <v>26</v>
      </c>
      <c r="B24" s="342"/>
      <c r="C24" s="342"/>
      <c r="D24" s="342"/>
    </row>
    <row r="25" spans="1:4" ht="13.8" x14ac:dyDescent="0.25">
      <c r="A25" s="344" t="s">
        <v>186</v>
      </c>
      <c r="B25" s="344"/>
      <c r="C25" s="344"/>
      <c r="D25" s="344"/>
    </row>
    <row r="26" spans="1:4" ht="30" customHeight="1" x14ac:dyDescent="0.25">
      <c r="A26" s="343" t="s">
        <v>256</v>
      </c>
      <c r="B26" s="343"/>
      <c r="C26" s="343"/>
      <c r="D26" s="343"/>
    </row>
    <row r="27" spans="1:4" ht="13.8" x14ac:dyDescent="0.25">
      <c r="A27" s="342" t="s">
        <v>26</v>
      </c>
      <c r="B27" s="342"/>
      <c r="C27" s="342"/>
      <c r="D27" s="342"/>
    </row>
  </sheetData>
  <mergeCells count="19">
    <mergeCell ref="A27:D27"/>
    <mergeCell ref="A21:D21"/>
    <mergeCell ref="A22:D22"/>
    <mergeCell ref="A23:D23"/>
    <mergeCell ref="A24:D24"/>
    <mergeCell ref="A25:D25"/>
    <mergeCell ref="A26:D26"/>
    <mergeCell ref="F5:I5"/>
    <mergeCell ref="A14:D14"/>
    <mergeCell ref="A20:D20"/>
    <mergeCell ref="C1:D1"/>
    <mergeCell ref="B2:D2"/>
    <mergeCell ref="A4:D4"/>
    <mergeCell ref="A5:D5"/>
    <mergeCell ref="A15:D15"/>
    <mergeCell ref="A16:D16"/>
    <mergeCell ref="A17:D17"/>
    <mergeCell ref="A18:D18"/>
    <mergeCell ref="A19:D19"/>
  </mergeCells>
  <pageMargins left="0.7" right="0.7" top="0.75" bottom="0.75" header="0.3" footer="0.3"/>
  <pageSetup paperSize="9" scale="78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0FC3B-385E-418E-B4E2-FF5E7FD9FAD8}">
  <sheetPr codeName="Лист32">
    <tabColor theme="0"/>
  </sheetPr>
  <dimension ref="A1:I28"/>
  <sheetViews>
    <sheetView view="pageBreakPreview" zoomScaleNormal="115" zoomScaleSheetLayoutView="100" workbookViewId="0">
      <selection activeCell="F2" sqref="F2"/>
    </sheetView>
  </sheetViews>
  <sheetFormatPr defaultColWidth="9.109375" defaultRowHeight="15.6" x14ac:dyDescent="0.25"/>
  <cols>
    <col min="1" max="1" width="5.88671875" style="135" customWidth="1"/>
    <col min="2" max="2" width="55.44140625" style="136" customWidth="1"/>
    <col min="3" max="3" width="42.6640625" style="136" customWidth="1"/>
    <col min="4" max="4" width="9.33203125" style="128" customWidth="1"/>
    <col min="5" max="7" width="9.109375" style="143"/>
    <col min="8" max="8" width="63.44140625" style="143" customWidth="1"/>
    <col min="9" max="9" width="36.6640625" style="143" customWidth="1"/>
    <col min="10" max="16384" width="9.109375" style="143"/>
  </cols>
  <sheetData>
    <row r="1" spans="1:9" ht="17.399999999999999" thickBot="1" x14ac:dyDescent="0.3">
      <c r="A1" s="126"/>
      <c r="B1" s="127"/>
      <c r="C1" s="339" t="s">
        <v>195</v>
      </c>
      <c r="D1" s="339"/>
      <c r="E1" s="225"/>
      <c r="F1" s="226">
        <v>17</v>
      </c>
      <c r="G1" s="223"/>
      <c r="H1" s="223"/>
    </row>
    <row r="2" spans="1:9" x14ac:dyDescent="0.25">
      <c r="A2" s="129"/>
      <c r="B2" s="340" t="str">
        <f xml:space="preserve"> CONCATENATE("к АОСР ",A5)</f>
        <v>к АОСР № АИР-М-1.2-61.17-АР-17 от 14.12.2023</v>
      </c>
      <c r="C2" s="340"/>
      <c r="D2" s="340"/>
    </row>
    <row r="3" spans="1:9" ht="16.8" x14ac:dyDescent="0.3">
      <c r="A3" s="126"/>
      <c r="B3" s="126"/>
      <c r="C3" s="130"/>
      <c r="D3" s="130"/>
    </row>
    <row r="4" spans="1:9" ht="13.8" x14ac:dyDescent="0.25">
      <c r="A4" s="341" t="s">
        <v>179</v>
      </c>
      <c r="B4" s="341"/>
      <c r="C4" s="341"/>
      <c r="D4" s="341"/>
    </row>
    <row r="5" spans="1:9" ht="15" customHeight="1" x14ac:dyDescent="0.25">
      <c r="A5" s="341" t="str">
        <f>CONCATENATE("№ ", INDEX(реестр!B:B, F1+8), " от ", TEXT(INDEX(реестр!C:C, F1+8), "ДД.ММ.ГГГГ"))</f>
        <v>№ АИР-М-1.2-61.17-АР-17 от 14.12.2023</v>
      </c>
      <c r="B5" s="341"/>
      <c r="C5" s="341"/>
      <c r="D5" s="341"/>
      <c r="F5" s="341"/>
      <c r="G5" s="341"/>
      <c r="H5" s="341"/>
      <c r="I5" s="341"/>
    </row>
    <row r="6" spans="1:9" s="142" customFormat="1" ht="16.8" x14ac:dyDescent="0.3">
      <c r="A6" s="131"/>
      <c r="B6" s="131"/>
      <c r="C6" s="131"/>
      <c r="D6" s="132"/>
    </row>
    <row r="7" spans="1:9" s="142" customFormat="1" ht="27.6" x14ac:dyDescent="0.25">
      <c r="A7" s="133" t="s">
        <v>180</v>
      </c>
      <c r="B7" s="133" t="s">
        <v>181</v>
      </c>
      <c r="C7" s="133" t="s">
        <v>182</v>
      </c>
      <c r="D7" s="134" t="s">
        <v>183</v>
      </c>
    </row>
    <row r="8" spans="1:9" s="142" customFormat="1" ht="13.8" x14ac:dyDescent="0.25">
      <c r="A8" s="137">
        <v>1</v>
      </c>
      <c r="B8" s="214" t="s">
        <v>478</v>
      </c>
      <c r="C8" s="214" t="s">
        <v>312</v>
      </c>
      <c r="D8" s="214">
        <v>1</v>
      </c>
    </row>
    <row r="9" spans="1:9" s="142" customFormat="1" ht="27.6" x14ac:dyDescent="0.25">
      <c r="A9" s="137">
        <v>2</v>
      </c>
      <c r="B9" s="214" t="s">
        <v>480</v>
      </c>
      <c r="C9" s="214" t="s">
        <v>479</v>
      </c>
      <c r="D9" s="214">
        <v>1</v>
      </c>
    </row>
    <row r="10" spans="1:9" s="142" customFormat="1" ht="27.6" x14ac:dyDescent="0.25">
      <c r="A10" s="137">
        <v>3</v>
      </c>
      <c r="B10" s="214" t="s">
        <v>481</v>
      </c>
      <c r="C10" s="214" t="s">
        <v>314</v>
      </c>
      <c r="D10" s="214">
        <v>3</v>
      </c>
    </row>
    <row r="11" spans="1:9" s="142" customFormat="1" ht="13.8" x14ac:dyDescent="0.25">
      <c r="A11" s="137">
        <v>4</v>
      </c>
      <c r="B11" s="214" t="s">
        <v>483</v>
      </c>
      <c r="C11" s="214" t="s">
        <v>482</v>
      </c>
      <c r="D11" s="214">
        <v>1</v>
      </c>
    </row>
    <row r="12" spans="1:9" s="142" customFormat="1" ht="27.6" x14ac:dyDescent="0.25">
      <c r="A12" s="137">
        <v>5</v>
      </c>
      <c r="B12" s="214" t="s">
        <v>486</v>
      </c>
      <c r="C12" s="214" t="s">
        <v>485</v>
      </c>
      <c r="D12" s="214">
        <v>2</v>
      </c>
    </row>
    <row r="13" spans="1:9" s="142" customFormat="1" ht="27.6" x14ac:dyDescent="0.25">
      <c r="A13" s="137">
        <v>6</v>
      </c>
      <c r="B13" s="214" t="s">
        <v>487</v>
      </c>
      <c r="C13" s="214" t="s">
        <v>484</v>
      </c>
      <c r="D13" s="214">
        <v>2</v>
      </c>
    </row>
    <row r="14" spans="1:9" s="142" customFormat="1" x14ac:dyDescent="0.25">
      <c r="A14" s="135"/>
      <c r="B14" s="136"/>
      <c r="C14" s="136"/>
      <c r="D14" s="128"/>
    </row>
    <row r="15" spans="1:9" ht="13.8" x14ac:dyDescent="0.25">
      <c r="A15" s="338" t="s">
        <v>184</v>
      </c>
      <c r="B15" s="338"/>
      <c r="C15" s="338"/>
      <c r="D15" s="338"/>
    </row>
    <row r="16" spans="1:9" ht="13.8" x14ac:dyDescent="0.25">
      <c r="A16" s="338" t="s">
        <v>77</v>
      </c>
      <c r="B16" s="338"/>
      <c r="C16" s="338"/>
      <c r="D16" s="338"/>
    </row>
    <row r="17" spans="1:4" ht="30" customHeight="1" x14ac:dyDescent="0.25">
      <c r="A17" s="343" t="str">
        <f xml:space="preserve"> INDEX(реестр!N:N, F1+8)</f>
        <v>Серов А.В.</v>
      </c>
      <c r="B17" s="343"/>
      <c r="C17" s="343"/>
      <c r="D17" s="343"/>
    </row>
    <row r="18" spans="1:4" ht="13.8" x14ac:dyDescent="0.25">
      <c r="A18" s="342" t="s">
        <v>26</v>
      </c>
      <c r="B18" s="342"/>
      <c r="C18" s="342"/>
      <c r="D18" s="342"/>
    </row>
    <row r="19" spans="1:4" ht="13.8" x14ac:dyDescent="0.25">
      <c r="A19" s="338" t="s">
        <v>185</v>
      </c>
      <c r="B19" s="338"/>
      <c r="C19" s="338"/>
      <c r="D19" s="338"/>
    </row>
    <row r="20" spans="1:4" ht="13.8" x14ac:dyDescent="0.25">
      <c r="A20" s="338" t="s">
        <v>80</v>
      </c>
      <c r="B20" s="338"/>
      <c r="C20" s="338"/>
      <c r="D20" s="338"/>
    </row>
    <row r="21" spans="1:4" ht="30" customHeight="1" x14ac:dyDescent="0.25">
      <c r="A21" s="343" t="s">
        <v>76</v>
      </c>
      <c r="B21" s="343"/>
      <c r="C21" s="343"/>
      <c r="D21" s="343"/>
    </row>
    <row r="22" spans="1:4" ht="13.8" x14ac:dyDescent="0.25">
      <c r="A22" s="342" t="s">
        <v>26</v>
      </c>
      <c r="B22" s="342"/>
      <c r="C22" s="342"/>
      <c r="D22" s="342"/>
    </row>
    <row r="23" spans="1:4" ht="13.8" x14ac:dyDescent="0.25">
      <c r="A23" s="344" t="s">
        <v>66</v>
      </c>
      <c r="B23" s="344"/>
      <c r="C23" s="344"/>
      <c r="D23" s="344"/>
    </row>
    <row r="24" spans="1:4" ht="30" customHeight="1" x14ac:dyDescent="0.25">
      <c r="A24" s="343" t="s">
        <v>82</v>
      </c>
      <c r="B24" s="343"/>
      <c r="C24" s="343"/>
      <c r="D24" s="343"/>
    </row>
    <row r="25" spans="1:4" ht="13.8" x14ac:dyDescent="0.25">
      <c r="A25" s="342" t="s">
        <v>26</v>
      </c>
      <c r="B25" s="342"/>
      <c r="C25" s="342"/>
      <c r="D25" s="342"/>
    </row>
    <row r="26" spans="1:4" ht="13.8" x14ac:dyDescent="0.25">
      <c r="A26" s="344" t="s">
        <v>186</v>
      </c>
      <c r="B26" s="344"/>
      <c r="C26" s="344"/>
      <c r="D26" s="344"/>
    </row>
    <row r="27" spans="1:4" ht="30" customHeight="1" x14ac:dyDescent="0.25">
      <c r="A27" s="343" t="s">
        <v>256</v>
      </c>
      <c r="B27" s="343"/>
      <c r="C27" s="343"/>
      <c r="D27" s="343"/>
    </row>
    <row r="28" spans="1:4" ht="13.8" x14ac:dyDescent="0.25">
      <c r="A28" s="342" t="s">
        <v>26</v>
      </c>
      <c r="B28" s="342"/>
      <c r="C28" s="342"/>
      <c r="D28" s="342"/>
    </row>
  </sheetData>
  <mergeCells count="19">
    <mergeCell ref="A28:D28"/>
    <mergeCell ref="A22:D22"/>
    <mergeCell ref="A23:D23"/>
    <mergeCell ref="A24:D24"/>
    <mergeCell ref="A25:D25"/>
    <mergeCell ref="A26:D26"/>
    <mergeCell ref="A27:D27"/>
    <mergeCell ref="F5:I5"/>
    <mergeCell ref="A15:D15"/>
    <mergeCell ref="A21:D21"/>
    <mergeCell ref="C1:D1"/>
    <mergeCell ref="B2:D2"/>
    <mergeCell ref="A4:D4"/>
    <mergeCell ref="A5:D5"/>
    <mergeCell ref="A16:D16"/>
    <mergeCell ref="A17:D17"/>
    <mergeCell ref="A18:D18"/>
    <mergeCell ref="A19:D19"/>
    <mergeCell ref="A20:D20"/>
  </mergeCells>
  <pageMargins left="0.7" right="0.7" top="0.75" bottom="0.75" header="0.3" footer="0.3"/>
  <pageSetup paperSize="9" scale="78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053534-CC02-4FA2-BA0A-CC79E0D676D6}">
  <sheetPr codeName="Лист34">
    <tabColor theme="0"/>
  </sheetPr>
  <dimension ref="A1:I27"/>
  <sheetViews>
    <sheetView view="pageBreakPreview" zoomScaleNormal="115" zoomScaleSheetLayoutView="100" workbookViewId="0">
      <selection activeCell="F2" sqref="F2"/>
    </sheetView>
  </sheetViews>
  <sheetFormatPr defaultColWidth="9.109375" defaultRowHeight="15.6" x14ac:dyDescent="0.25"/>
  <cols>
    <col min="1" max="1" width="5.88671875" style="135" customWidth="1"/>
    <col min="2" max="2" width="55.44140625" style="136" customWidth="1"/>
    <col min="3" max="3" width="42.6640625" style="136" customWidth="1"/>
    <col min="4" max="4" width="9.33203125" style="128" customWidth="1"/>
    <col min="5" max="7" width="9.109375" style="143"/>
    <col min="8" max="8" width="63.44140625" style="143" customWidth="1"/>
    <col min="9" max="9" width="36.6640625" style="143" customWidth="1"/>
    <col min="10" max="16384" width="9.109375" style="143"/>
  </cols>
  <sheetData>
    <row r="1" spans="1:9" ht="17.399999999999999" thickBot="1" x14ac:dyDescent="0.3">
      <c r="A1" s="126"/>
      <c r="B1" s="127"/>
      <c r="C1" s="339" t="s">
        <v>195</v>
      </c>
      <c r="D1" s="339"/>
      <c r="E1" s="225"/>
      <c r="F1" s="226">
        <v>18</v>
      </c>
      <c r="G1" s="223"/>
      <c r="H1" s="223"/>
    </row>
    <row r="2" spans="1:9" x14ac:dyDescent="0.25">
      <c r="A2" s="129"/>
      <c r="B2" s="340" t="str">
        <f xml:space="preserve"> CONCATENATE("к АОСР ",A5)</f>
        <v>к АОСР № АИР-М-1.2-61.17-АР-18 от 15.12.2023</v>
      </c>
      <c r="C2" s="340"/>
      <c r="D2" s="340"/>
    </row>
    <row r="3" spans="1:9" ht="16.8" x14ac:dyDescent="0.3">
      <c r="A3" s="126"/>
      <c r="B3" s="126"/>
      <c r="C3" s="130"/>
      <c r="D3" s="130"/>
    </row>
    <row r="4" spans="1:9" ht="13.8" x14ac:dyDescent="0.25">
      <c r="A4" s="341" t="s">
        <v>179</v>
      </c>
      <c r="B4" s="341"/>
      <c r="C4" s="341"/>
      <c r="D4" s="341"/>
    </row>
    <row r="5" spans="1:9" ht="15" customHeight="1" x14ac:dyDescent="0.25">
      <c r="A5" s="341" t="str">
        <f>CONCATENATE("№ ", INDEX(реестр!B:B, F1+8), " от ", TEXT(INDEX(реестр!C:C, F1+8), "ДД.ММ.ГГГГ"))</f>
        <v>№ АИР-М-1.2-61.17-АР-18 от 15.12.2023</v>
      </c>
      <c r="B5" s="341"/>
      <c r="C5" s="341"/>
      <c r="D5" s="341"/>
      <c r="F5" s="341"/>
      <c r="G5" s="341"/>
      <c r="H5" s="341"/>
      <c r="I5" s="341"/>
    </row>
    <row r="6" spans="1:9" s="142" customFormat="1" ht="16.8" x14ac:dyDescent="0.3">
      <c r="A6" s="131"/>
      <c r="B6" s="131"/>
      <c r="C6" s="131"/>
      <c r="D6" s="132"/>
    </row>
    <row r="7" spans="1:9" s="142" customFormat="1" ht="27.6" x14ac:dyDescent="0.25">
      <c r="A7" s="133" t="s">
        <v>180</v>
      </c>
      <c r="B7" s="133" t="s">
        <v>181</v>
      </c>
      <c r="C7" s="133" t="s">
        <v>182</v>
      </c>
      <c r="D7" s="134" t="s">
        <v>183</v>
      </c>
    </row>
    <row r="8" spans="1:9" s="142" customFormat="1" ht="13.8" x14ac:dyDescent="0.25">
      <c r="A8" s="137">
        <v>1</v>
      </c>
      <c r="B8" s="214" t="s">
        <v>489</v>
      </c>
      <c r="C8" s="214" t="s">
        <v>488</v>
      </c>
      <c r="D8" s="214">
        <v>1</v>
      </c>
    </row>
    <row r="9" spans="1:9" s="142" customFormat="1" ht="27.6" x14ac:dyDescent="0.25">
      <c r="A9" s="137">
        <v>2</v>
      </c>
      <c r="B9" s="214" t="s">
        <v>495</v>
      </c>
      <c r="C9" s="214" t="s">
        <v>490</v>
      </c>
      <c r="D9" s="214">
        <v>1</v>
      </c>
    </row>
    <row r="10" spans="1:9" s="142" customFormat="1" ht="27.6" x14ac:dyDescent="0.25">
      <c r="A10" s="137">
        <v>3</v>
      </c>
      <c r="B10" s="214" t="s">
        <v>494</v>
      </c>
      <c r="C10" s="214" t="s">
        <v>491</v>
      </c>
      <c r="D10" s="214">
        <v>1</v>
      </c>
    </row>
    <row r="11" spans="1:9" s="142" customFormat="1" ht="13.8" x14ac:dyDescent="0.25">
      <c r="A11" s="137">
        <v>4</v>
      </c>
      <c r="B11" s="214" t="s">
        <v>496</v>
      </c>
      <c r="C11" s="214" t="s">
        <v>492</v>
      </c>
      <c r="D11" s="214">
        <v>1</v>
      </c>
    </row>
    <row r="12" spans="1:9" s="142" customFormat="1" ht="27.6" x14ac:dyDescent="0.25">
      <c r="A12" s="137">
        <v>5</v>
      </c>
      <c r="B12" s="214" t="s">
        <v>497</v>
      </c>
      <c r="C12" s="214" t="s">
        <v>493</v>
      </c>
      <c r="D12" s="214">
        <v>1</v>
      </c>
    </row>
    <row r="13" spans="1:9" s="142" customFormat="1" x14ac:dyDescent="0.25">
      <c r="A13" s="135"/>
      <c r="B13" s="136"/>
      <c r="C13" s="136"/>
      <c r="D13" s="128"/>
    </row>
    <row r="14" spans="1:9" ht="13.8" x14ac:dyDescent="0.25">
      <c r="A14" s="338" t="s">
        <v>184</v>
      </c>
      <c r="B14" s="338"/>
      <c r="C14" s="338"/>
      <c r="D14" s="338"/>
    </row>
    <row r="15" spans="1:9" ht="13.8" x14ac:dyDescent="0.25">
      <c r="A15" s="338" t="s">
        <v>77</v>
      </c>
      <c r="B15" s="338"/>
      <c r="C15" s="338"/>
      <c r="D15" s="338"/>
    </row>
    <row r="16" spans="1:9" ht="30" customHeight="1" x14ac:dyDescent="0.25">
      <c r="A16" s="343" t="str">
        <f xml:space="preserve"> INDEX(реестр!N:N, F1+8)</f>
        <v>Серов А.В.</v>
      </c>
      <c r="B16" s="343"/>
      <c r="C16" s="343"/>
      <c r="D16" s="343"/>
    </row>
    <row r="17" spans="1:4" ht="13.8" x14ac:dyDescent="0.25">
      <c r="A17" s="342" t="s">
        <v>26</v>
      </c>
      <c r="B17" s="342"/>
      <c r="C17" s="342"/>
      <c r="D17" s="342"/>
    </row>
    <row r="18" spans="1:4" ht="13.8" x14ac:dyDescent="0.25">
      <c r="A18" s="338" t="s">
        <v>185</v>
      </c>
      <c r="B18" s="338"/>
      <c r="C18" s="338"/>
      <c r="D18" s="338"/>
    </row>
    <row r="19" spans="1:4" ht="13.8" x14ac:dyDescent="0.25">
      <c r="A19" s="338" t="s">
        <v>80</v>
      </c>
      <c r="B19" s="338"/>
      <c r="C19" s="338"/>
      <c r="D19" s="338"/>
    </row>
    <row r="20" spans="1:4" ht="30" customHeight="1" x14ac:dyDescent="0.25">
      <c r="A20" s="343" t="s">
        <v>76</v>
      </c>
      <c r="B20" s="343"/>
      <c r="C20" s="343"/>
      <c r="D20" s="343"/>
    </row>
    <row r="21" spans="1:4" ht="13.8" x14ac:dyDescent="0.25">
      <c r="A21" s="342" t="s">
        <v>26</v>
      </c>
      <c r="B21" s="342"/>
      <c r="C21" s="342"/>
      <c r="D21" s="342"/>
    </row>
    <row r="22" spans="1:4" ht="13.8" x14ac:dyDescent="0.25">
      <c r="A22" s="344" t="s">
        <v>66</v>
      </c>
      <c r="B22" s="344"/>
      <c r="C22" s="344"/>
      <c r="D22" s="344"/>
    </row>
    <row r="23" spans="1:4" ht="30" customHeight="1" x14ac:dyDescent="0.25">
      <c r="A23" s="343" t="s">
        <v>82</v>
      </c>
      <c r="B23" s="343"/>
      <c r="C23" s="343"/>
      <c r="D23" s="343"/>
    </row>
    <row r="24" spans="1:4" ht="13.8" x14ac:dyDescent="0.25">
      <c r="A24" s="342" t="s">
        <v>26</v>
      </c>
      <c r="B24" s="342"/>
      <c r="C24" s="342"/>
      <c r="D24" s="342"/>
    </row>
    <row r="25" spans="1:4" ht="13.8" x14ac:dyDescent="0.25">
      <c r="A25" s="344" t="s">
        <v>186</v>
      </c>
      <c r="B25" s="344"/>
      <c r="C25" s="344"/>
      <c r="D25" s="344"/>
    </row>
    <row r="26" spans="1:4" ht="30" customHeight="1" x14ac:dyDescent="0.25">
      <c r="A26" s="343" t="s">
        <v>256</v>
      </c>
      <c r="B26" s="343"/>
      <c r="C26" s="343"/>
      <c r="D26" s="343"/>
    </row>
    <row r="27" spans="1:4" ht="13.8" x14ac:dyDescent="0.25">
      <c r="A27" s="342" t="s">
        <v>26</v>
      </c>
      <c r="B27" s="342"/>
      <c r="C27" s="342"/>
      <c r="D27" s="342"/>
    </row>
  </sheetData>
  <mergeCells count="19">
    <mergeCell ref="A27:D27"/>
    <mergeCell ref="A21:D21"/>
    <mergeCell ref="A22:D22"/>
    <mergeCell ref="A23:D23"/>
    <mergeCell ref="A24:D24"/>
    <mergeCell ref="A25:D25"/>
    <mergeCell ref="A26:D26"/>
    <mergeCell ref="F5:I5"/>
    <mergeCell ref="A14:D14"/>
    <mergeCell ref="A20:D20"/>
    <mergeCell ref="C1:D1"/>
    <mergeCell ref="B2:D2"/>
    <mergeCell ref="A4:D4"/>
    <mergeCell ref="A5:D5"/>
    <mergeCell ref="A15:D15"/>
    <mergeCell ref="A16:D16"/>
    <mergeCell ref="A17:D17"/>
    <mergeCell ref="A18:D18"/>
    <mergeCell ref="A19:D19"/>
  </mergeCells>
  <pageMargins left="0.7" right="0.7" top="0.75" bottom="0.75" header="0.3" footer="0.3"/>
  <pageSetup paperSize="9" scale="78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75B517-42B2-4989-A2D4-10D14895D726}">
  <sheetPr codeName="Лист35">
    <tabColor theme="0"/>
  </sheetPr>
  <dimension ref="A1:I27"/>
  <sheetViews>
    <sheetView view="pageBreakPreview" zoomScaleNormal="115" zoomScaleSheetLayoutView="100" workbookViewId="0">
      <selection activeCell="F2" sqref="F2"/>
    </sheetView>
  </sheetViews>
  <sheetFormatPr defaultColWidth="9.109375" defaultRowHeight="15.6" x14ac:dyDescent="0.25"/>
  <cols>
    <col min="1" max="1" width="5.88671875" style="135" customWidth="1"/>
    <col min="2" max="2" width="55.44140625" style="136" customWidth="1"/>
    <col min="3" max="3" width="42.6640625" style="136" customWidth="1"/>
    <col min="4" max="4" width="9.33203125" style="128" customWidth="1"/>
    <col min="5" max="7" width="9.109375" style="143"/>
    <col min="8" max="8" width="63.44140625" style="143" customWidth="1"/>
    <col min="9" max="9" width="36.6640625" style="143" customWidth="1"/>
    <col min="10" max="16384" width="9.109375" style="143"/>
  </cols>
  <sheetData>
    <row r="1" spans="1:9" ht="17.399999999999999" thickBot="1" x14ac:dyDescent="0.3">
      <c r="A1" s="126"/>
      <c r="B1" s="127"/>
      <c r="C1" s="339" t="s">
        <v>195</v>
      </c>
      <c r="D1" s="339"/>
      <c r="E1" s="225"/>
      <c r="F1" s="226">
        <v>19</v>
      </c>
      <c r="G1" s="223"/>
      <c r="H1" s="223"/>
    </row>
    <row r="2" spans="1:9" x14ac:dyDescent="0.25">
      <c r="A2" s="129"/>
      <c r="B2" s="340" t="str">
        <f xml:space="preserve"> CONCATENATE("к АОСР ",A5)</f>
        <v>к АОСР № АИР-М-1.2-61.17-АР-19 от 19.12.2023</v>
      </c>
      <c r="C2" s="340"/>
      <c r="D2" s="340"/>
    </row>
    <row r="3" spans="1:9" ht="16.8" x14ac:dyDescent="0.3">
      <c r="A3" s="126"/>
      <c r="B3" s="126"/>
      <c r="C3" s="130"/>
      <c r="D3" s="130"/>
    </row>
    <row r="4" spans="1:9" ht="13.8" x14ac:dyDescent="0.25">
      <c r="A4" s="341" t="s">
        <v>179</v>
      </c>
      <c r="B4" s="341"/>
      <c r="C4" s="341"/>
      <c r="D4" s="341"/>
    </row>
    <row r="5" spans="1:9" ht="15" customHeight="1" x14ac:dyDescent="0.25">
      <c r="A5" s="341" t="str">
        <f>CONCATENATE("№ ", INDEX(реестр!B:B, F1+8), " от ", TEXT(INDEX(реестр!C:C, F1+8), "ДД.ММ.ГГГГ"))</f>
        <v>№ АИР-М-1.2-61.17-АР-19 от 19.12.2023</v>
      </c>
      <c r="B5" s="341"/>
      <c r="C5" s="341"/>
      <c r="D5" s="341"/>
      <c r="F5" s="341"/>
      <c r="G5" s="341"/>
      <c r="H5" s="341"/>
      <c r="I5" s="341"/>
    </row>
    <row r="6" spans="1:9" s="142" customFormat="1" ht="16.8" x14ac:dyDescent="0.3">
      <c r="A6" s="131"/>
      <c r="B6" s="131"/>
      <c r="C6" s="131"/>
      <c r="D6" s="132"/>
    </row>
    <row r="7" spans="1:9" s="142" customFormat="1" ht="27.6" x14ac:dyDescent="0.25">
      <c r="A7" s="133" t="s">
        <v>180</v>
      </c>
      <c r="B7" s="133" t="s">
        <v>181</v>
      </c>
      <c r="C7" s="133" t="s">
        <v>182</v>
      </c>
      <c r="D7" s="134" t="s">
        <v>183</v>
      </c>
    </row>
    <row r="8" spans="1:9" s="142" customFormat="1" ht="13.8" x14ac:dyDescent="0.25">
      <c r="A8" s="137">
        <v>1</v>
      </c>
      <c r="B8" s="214" t="s">
        <v>499</v>
      </c>
      <c r="C8" s="214" t="s">
        <v>498</v>
      </c>
      <c r="D8" s="214">
        <v>1</v>
      </c>
    </row>
    <row r="9" spans="1:9" s="142" customFormat="1" ht="13.8" x14ac:dyDescent="0.25">
      <c r="A9" s="137">
        <v>2</v>
      </c>
      <c r="B9" s="214" t="s">
        <v>505</v>
      </c>
      <c r="C9" s="214" t="s">
        <v>500</v>
      </c>
      <c r="D9" s="214">
        <v>1</v>
      </c>
    </row>
    <row r="10" spans="1:9" s="142" customFormat="1" ht="27.6" x14ac:dyDescent="0.25">
      <c r="A10" s="137">
        <v>3</v>
      </c>
      <c r="B10" s="214" t="s">
        <v>502</v>
      </c>
      <c r="C10" s="214" t="s">
        <v>501</v>
      </c>
      <c r="D10" s="214">
        <v>1</v>
      </c>
    </row>
    <row r="11" spans="1:9" s="142" customFormat="1" ht="27.6" x14ac:dyDescent="0.25">
      <c r="A11" s="137">
        <v>4</v>
      </c>
      <c r="B11" s="214" t="s">
        <v>506</v>
      </c>
      <c r="C11" s="214" t="s">
        <v>503</v>
      </c>
      <c r="D11" s="214">
        <v>1</v>
      </c>
    </row>
    <row r="12" spans="1:9" s="142" customFormat="1" ht="27.6" x14ac:dyDescent="0.25">
      <c r="A12" s="137">
        <v>5</v>
      </c>
      <c r="B12" s="214" t="s">
        <v>507</v>
      </c>
      <c r="C12" s="214" t="s">
        <v>504</v>
      </c>
      <c r="D12" s="214">
        <v>1</v>
      </c>
    </row>
    <row r="13" spans="1:9" s="142" customFormat="1" x14ac:dyDescent="0.25">
      <c r="A13" s="135"/>
      <c r="B13" s="136"/>
      <c r="C13" s="136"/>
      <c r="D13" s="128"/>
    </row>
    <row r="14" spans="1:9" ht="13.8" x14ac:dyDescent="0.25">
      <c r="A14" s="338" t="s">
        <v>184</v>
      </c>
      <c r="B14" s="338"/>
      <c r="C14" s="338"/>
      <c r="D14" s="338"/>
    </row>
    <row r="15" spans="1:9" ht="13.8" x14ac:dyDescent="0.25">
      <c r="A15" s="338" t="s">
        <v>77</v>
      </c>
      <c r="B15" s="338"/>
      <c r="C15" s="338"/>
      <c r="D15" s="338"/>
    </row>
    <row r="16" spans="1:9" ht="30" customHeight="1" x14ac:dyDescent="0.25">
      <c r="A16" s="343" t="str">
        <f xml:space="preserve"> INDEX(реестр!N:N, F1+8)</f>
        <v>Серов А.В.</v>
      </c>
      <c r="B16" s="343"/>
      <c r="C16" s="343"/>
      <c r="D16" s="343"/>
    </row>
    <row r="17" spans="1:4" ht="13.8" x14ac:dyDescent="0.25">
      <c r="A17" s="342" t="s">
        <v>26</v>
      </c>
      <c r="B17" s="342"/>
      <c r="C17" s="342"/>
      <c r="D17" s="342"/>
    </row>
    <row r="18" spans="1:4" ht="13.8" x14ac:dyDescent="0.25">
      <c r="A18" s="338" t="s">
        <v>185</v>
      </c>
      <c r="B18" s="338"/>
      <c r="C18" s="338"/>
      <c r="D18" s="338"/>
    </row>
    <row r="19" spans="1:4" ht="13.8" x14ac:dyDescent="0.25">
      <c r="A19" s="338" t="s">
        <v>80</v>
      </c>
      <c r="B19" s="338"/>
      <c r="C19" s="338"/>
      <c r="D19" s="338"/>
    </row>
    <row r="20" spans="1:4" ht="30" customHeight="1" x14ac:dyDescent="0.25">
      <c r="A20" s="343" t="s">
        <v>76</v>
      </c>
      <c r="B20" s="343"/>
      <c r="C20" s="343"/>
      <c r="D20" s="343"/>
    </row>
    <row r="21" spans="1:4" ht="13.8" x14ac:dyDescent="0.25">
      <c r="A21" s="342" t="s">
        <v>26</v>
      </c>
      <c r="B21" s="342"/>
      <c r="C21" s="342"/>
      <c r="D21" s="342"/>
    </row>
    <row r="22" spans="1:4" ht="13.8" x14ac:dyDescent="0.25">
      <c r="A22" s="344" t="s">
        <v>66</v>
      </c>
      <c r="B22" s="344"/>
      <c r="C22" s="344"/>
      <c r="D22" s="344"/>
    </row>
    <row r="23" spans="1:4" ht="30" customHeight="1" x14ac:dyDescent="0.25">
      <c r="A23" s="343" t="s">
        <v>82</v>
      </c>
      <c r="B23" s="343"/>
      <c r="C23" s="343"/>
      <c r="D23" s="343"/>
    </row>
    <row r="24" spans="1:4" ht="13.8" x14ac:dyDescent="0.25">
      <c r="A24" s="342" t="s">
        <v>26</v>
      </c>
      <c r="B24" s="342"/>
      <c r="C24" s="342"/>
      <c r="D24" s="342"/>
    </row>
    <row r="25" spans="1:4" ht="13.8" x14ac:dyDescent="0.25">
      <c r="A25" s="344" t="s">
        <v>186</v>
      </c>
      <c r="B25" s="344"/>
      <c r="C25" s="344"/>
      <c r="D25" s="344"/>
    </row>
    <row r="26" spans="1:4" ht="30" customHeight="1" x14ac:dyDescent="0.25">
      <c r="A26" s="343" t="s">
        <v>256</v>
      </c>
      <c r="B26" s="343"/>
      <c r="C26" s="343"/>
      <c r="D26" s="343"/>
    </row>
    <row r="27" spans="1:4" ht="13.8" x14ac:dyDescent="0.25">
      <c r="A27" s="342" t="s">
        <v>26</v>
      </c>
      <c r="B27" s="342"/>
      <c r="C27" s="342"/>
      <c r="D27" s="342"/>
    </row>
  </sheetData>
  <mergeCells count="19">
    <mergeCell ref="A27:D27"/>
    <mergeCell ref="A21:D21"/>
    <mergeCell ref="A22:D22"/>
    <mergeCell ref="A23:D23"/>
    <mergeCell ref="A24:D24"/>
    <mergeCell ref="A25:D25"/>
    <mergeCell ref="A26:D26"/>
    <mergeCell ref="F5:I5"/>
    <mergeCell ref="A14:D14"/>
    <mergeCell ref="A20:D20"/>
    <mergeCell ref="C1:D1"/>
    <mergeCell ref="B2:D2"/>
    <mergeCell ref="A4:D4"/>
    <mergeCell ref="A5:D5"/>
    <mergeCell ref="A15:D15"/>
    <mergeCell ref="A16:D16"/>
    <mergeCell ref="A17:D17"/>
    <mergeCell ref="A18:D18"/>
    <mergeCell ref="A19:D19"/>
  </mergeCells>
  <pageMargins left="0.7" right="0.7" top="0.75" bottom="0.75" header="0.3" footer="0.3"/>
  <pageSetup paperSize="9" scale="78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F39C1-BF66-4DD7-ABD9-3D3AAEE42777}">
  <sheetPr codeName="Лист36">
    <tabColor theme="0"/>
  </sheetPr>
  <dimension ref="A1:I27"/>
  <sheetViews>
    <sheetView view="pageBreakPreview" zoomScaleNormal="115" zoomScaleSheetLayoutView="100" workbookViewId="0">
      <selection activeCell="A14" sqref="A14:D14"/>
    </sheetView>
  </sheetViews>
  <sheetFormatPr defaultColWidth="9.109375" defaultRowHeight="15.6" x14ac:dyDescent="0.25"/>
  <cols>
    <col min="1" max="1" width="5.88671875" style="135" customWidth="1"/>
    <col min="2" max="2" width="55.44140625" style="136" customWidth="1"/>
    <col min="3" max="3" width="42.6640625" style="136" customWidth="1"/>
    <col min="4" max="4" width="9.33203125" style="128" customWidth="1"/>
    <col min="5" max="7" width="9.109375" style="143"/>
    <col min="8" max="8" width="63.44140625" style="143" customWidth="1"/>
    <col min="9" max="9" width="36.6640625" style="143" customWidth="1"/>
    <col min="10" max="16384" width="9.109375" style="143"/>
  </cols>
  <sheetData>
    <row r="1" spans="1:9" ht="17.399999999999999" thickBot="1" x14ac:dyDescent="0.3">
      <c r="A1" s="126"/>
      <c r="B1" s="127"/>
      <c r="C1" s="339" t="s">
        <v>195</v>
      </c>
      <c r="D1" s="339"/>
      <c r="E1" s="225"/>
      <c r="F1" s="226">
        <v>20</v>
      </c>
      <c r="G1" s="223"/>
      <c r="H1" s="223"/>
    </row>
    <row r="2" spans="1:9" x14ac:dyDescent="0.25">
      <c r="A2" s="129"/>
      <c r="B2" s="340" t="str">
        <f xml:space="preserve"> CONCATENATE("к АОСР ",A5)</f>
        <v>к АОСР № АИР-М-1.2-61.17-АР-20 от 05.02.2024</v>
      </c>
      <c r="C2" s="340"/>
      <c r="D2" s="340"/>
    </row>
    <row r="3" spans="1:9" ht="16.8" x14ac:dyDescent="0.3">
      <c r="A3" s="126"/>
      <c r="B3" s="126"/>
      <c r="C3" s="130"/>
      <c r="D3" s="130"/>
    </row>
    <row r="4" spans="1:9" ht="13.8" x14ac:dyDescent="0.25">
      <c r="A4" s="341" t="s">
        <v>179</v>
      </c>
      <c r="B4" s="341"/>
      <c r="C4" s="341"/>
      <c r="D4" s="341"/>
    </row>
    <row r="5" spans="1:9" ht="15" customHeight="1" x14ac:dyDescent="0.25">
      <c r="A5" s="341" t="str">
        <f>CONCATENATE("№ ", INDEX(реестр!B:B, F1+8), " от ", TEXT(INDEX(реестр!C:C, F1+8), "ДД.ММ.ГГГГ"))</f>
        <v>№ АИР-М-1.2-61.17-АР-20 от 05.02.2024</v>
      </c>
      <c r="B5" s="341"/>
      <c r="C5" s="341"/>
      <c r="D5" s="341"/>
      <c r="F5" s="341"/>
      <c r="G5" s="341"/>
      <c r="H5" s="341"/>
      <c r="I5" s="341"/>
    </row>
    <row r="6" spans="1:9" s="142" customFormat="1" ht="16.8" x14ac:dyDescent="0.3">
      <c r="A6" s="131"/>
      <c r="B6" s="131"/>
      <c r="C6" s="131"/>
      <c r="D6" s="132"/>
    </row>
    <row r="7" spans="1:9" s="142" customFormat="1" ht="27.6" x14ac:dyDescent="0.25">
      <c r="A7" s="133" t="s">
        <v>180</v>
      </c>
      <c r="B7" s="133" t="s">
        <v>181</v>
      </c>
      <c r="C7" s="133" t="s">
        <v>182</v>
      </c>
      <c r="D7" s="134" t="s">
        <v>183</v>
      </c>
    </row>
    <row r="8" spans="1:9" s="142" customFormat="1" ht="27.6" x14ac:dyDescent="0.25">
      <c r="A8" s="137">
        <v>1</v>
      </c>
      <c r="B8" s="214" t="s">
        <v>509</v>
      </c>
      <c r="C8" s="214" t="s">
        <v>508</v>
      </c>
      <c r="D8" s="214">
        <v>2</v>
      </c>
    </row>
    <row r="9" spans="1:9" s="142" customFormat="1" ht="13.8" x14ac:dyDescent="0.25">
      <c r="A9" s="137">
        <v>2</v>
      </c>
      <c r="B9" s="214" t="s">
        <v>511</v>
      </c>
      <c r="C9" s="214" t="s">
        <v>510</v>
      </c>
      <c r="D9" s="214">
        <v>2</v>
      </c>
    </row>
    <row r="10" spans="1:9" s="142" customFormat="1" ht="13.8" x14ac:dyDescent="0.25">
      <c r="A10" s="137">
        <v>3</v>
      </c>
      <c r="B10" s="214" t="s">
        <v>512</v>
      </c>
      <c r="C10" s="214" t="s">
        <v>513</v>
      </c>
      <c r="D10" s="214">
        <v>2</v>
      </c>
    </row>
    <row r="11" spans="1:9" s="142" customFormat="1" ht="13.8" x14ac:dyDescent="0.25">
      <c r="A11" s="137">
        <v>4</v>
      </c>
      <c r="B11" s="214" t="s">
        <v>514</v>
      </c>
      <c r="C11" s="214" t="s">
        <v>515</v>
      </c>
      <c r="D11" s="214">
        <v>1</v>
      </c>
    </row>
    <row r="12" spans="1:9" s="142" customFormat="1" ht="13.8" x14ac:dyDescent="0.25">
      <c r="A12" s="137">
        <v>5</v>
      </c>
      <c r="B12" s="214" t="s">
        <v>517</v>
      </c>
      <c r="C12" s="214" t="s">
        <v>516</v>
      </c>
      <c r="D12" s="214">
        <v>4</v>
      </c>
    </row>
    <row r="13" spans="1:9" s="142" customFormat="1" x14ac:dyDescent="0.25">
      <c r="A13" s="135"/>
      <c r="B13" s="136"/>
      <c r="C13" s="136"/>
      <c r="D13" s="128"/>
    </row>
    <row r="14" spans="1:9" ht="13.8" x14ac:dyDescent="0.25">
      <c r="A14" s="338" t="s">
        <v>184</v>
      </c>
      <c r="B14" s="338"/>
      <c r="C14" s="338"/>
      <c r="D14" s="338"/>
    </row>
    <row r="15" spans="1:9" ht="13.8" x14ac:dyDescent="0.25">
      <c r="A15" s="338" t="s">
        <v>77</v>
      </c>
      <c r="B15" s="338"/>
      <c r="C15" s="338"/>
      <c r="D15" s="338"/>
    </row>
    <row r="16" spans="1:9" ht="30" customHeight="1" x14ac:dyDescent="0.25">
      <c r="A16" s="343" t="str">
        <f xml:space="preserve"> INDEX(реестр!N:N, F1+8)</f>
        <v>Алгушаев Р.Р.</v>
      </c>
      <c r="B16" s="343"/>
      <c r="C16" s="343"/>
      <c r="D16" s="343"/>
    </row>
    <row r="17" spans="1:4" ht="13.8" x14ac:dyDescent="0.25">
      <c r="A17" s="342" t="s">
        <v>26</v>
      </c>
      <c r="B17" s="342"/>
      <c r="C17" s="342"/>
      <c r="D17" s="342"/>
    </row>
    <row r="18" spans="1:4" ht="13.8" x14ac:dyDescent="0.25">
      <c r="A18" s="338" t="s">
        <v>185</v>
      </c>
      <c r="B18" s="338"/>
      <c r="C18" s="338"/>
      <c r="D18" s="338"/>
    </row>
    <row r="19" spans="1:4" ht="13.8" x14ac:dyDescent="0.25">
      <c r="A19" s="338" t="s">
        <v>80</v>
      </c>
      <c r="B19" s="338"/>
      <c r="C19" s="338"/>
      <c r="D19" s="338"/>
    </row>
    <row r="20" spans="1:4" ht="30" customHeight="1" x14ac:dyDescent="0.25">
      <c r="A20" s="343" t="s">
        <v>76</v>
      </c>
      <c r="B20" s="343"/>
      <c r="C20" s="343"/>
      <c r="D20" s="343"/>
    </row>
    <row r="21" spans="1:4" ht="13.8" x14ac:dyDescent="0.25">
      <c r="A21" s="342" t="s">
        <v>26</v>
      </c>
      <c r="B21" s="342"/>
      <c r="C21" s="342"/>
      <c r="D21" s="342"/>
    </row>
    <row r="22" spans="1:4" ht="13.8" x14ac:dyDescent="0.25">
      <c r="A22" s="344" t="s">
        <v>66</v>
      </c>
      <c r="B22" s="344"/>
      <c r="C22" s="344"/>
      <c r="D22" s="344"/>
    </row>
    <row r="23" spans="1:4" ht="30" customHeight="1" x14ac:dyDescent="0.25">
      <c r="A23" s="343" t="s">
        <v>82</v>
      </c>
      <c r="B23" s="343"/>
      <c r="C23" s="343"/>
      <c r="D23" s="343"/>
    </row>
    <row r="24" spans="1:4" ht="13.8" x14ac:dyDescent="0.25">
      <c r="A24" s="342" t="s">
        <v>26</v>
      </c>
      <c r="B24" s="342"/>
      <c r="C24" s="342"/>
      <c r="D24" s="342"/>
    </row>
    <row r="25" spans="1:4" ht="13.8" x14ac:dyDescent="0.25">
      <c r="A25" s="344" t="s">
        <v>186</v>
      </c>
      <c r="B25" s="344"/>
      <c r="C25" s="344"/>
      <c r="D25" s="344"/>
    </row>
    <row r="26" spans="1:4" ht="30" customHeight="1" x14ac:dyDescent="0.25">
      <c r="A26" s="343" t="s">
        <v>256</v>
      </c>
      <c r="B26" s="343"/>
      <c r="C26" s="343"/>
      <c r="D26" s="343"/>
    </row>
    <row r="27" spans="1:4" ht="13.8" x14ac:dyDescent="0.25">
      <c r="A27" s="342" t="s">
        <v>26</v>
      </c>
      <c r="B27" s="342"/>
      <c r="C27" s="342"/>
      <c r="D27" s="342"/>
    </row>
  </sheetData>
  <mergeCells count="19">
    <mergeCell ref="A27:D27"/>
    <mergeCell ref="A21:D21"/>
    <mergeCell ref="A22:D22"/>
    <mergeCell ref="A23:D23"/>
    <mergeCell ref="A24:D24"/>
    <mergeCell ref="A25:D25"/>
    <mergeCell ref="A26:D26"/>
    <mergeCell ref="F5:I5"/>
    <mergeCell ref="A14:D14"/>
    <mergeCell ref="A20:D20"/>
    <mergeCell ref="C1:D1"/>
    <mergeCell ref="B2:D2"/>
    <mergeCell ref="A4:D4"/>
    <mergeCell ref="A5:D5"/>
    <mergeCell ref="A15:D15"/>
    <mergeCell ref="A16:D16"/>
    <mergeCell ref="A17:D17"/>
    <mergeCell ref="A18:D18"/>
    <mergeCell ref="A19:D19"/>
  </mergeCells>
  <pageMargins left="0.7" right="0.7" top="0.75" bottom="0.75" header="0.3" footer="0.3"/>
  <pageSetup paperSize="9" scale="78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DF8257-5302-484C-BC91-A9D2438E4A09}">
  <sheetPr codeName="Лист45">
    <tabColor rgb="FF0070C0"/>
  </sheetPr>
  <dimension ref="A1:I33"/>
  <sheetViews>
    <sheetView view="pageBreakPreview" zoomScale="116" zoomScaleNormal="115" zoomScaleSheetLayoutView="115" workbookViewId="0">
      <selection activeCell="F2" sqref="F2"/>
    </sheetView>
  </sheetViews>
  <sheetFormatPr defaultColWidth="9.109375" defaultRowHeight="15.6" x14ac:dyDescent="0.25"/>
  <cols>
    <col min="1" max="1" width="5.88671875" style="135" customWidth="1"/>
    <col min="2" max="2" width="55.44140625" style="136" customWidth="1"/>
    <col min="3" max="3" width="42.6640625" style="136" customWidth="1"/>
    <col min="4" max="4" width="9.33203125" style="128" customWidth="1"/>
    <col min="5" max="7" width="9.109375" style="143"/>
    <col min="8" max="8" width="63.44140625" style="143" customWidth="1"/>
    <col min="9" max="9" width="36.6640625" style="143" customWidth="1"/>
    <col min="10" max="16384" width="9.109375" style="143"/>
  </cols>
  <sheetData>
    <row r="1" spans="1:9" ht="17.399999999999999" thickBot="1" x14ac:dyDescent="0.3">
      <c r="A1" s="126"/>
      <c r="B1" s="127"/>
      <c r="C1" s="339" t="s">
        <v>195</v>
      </c>
      <c r="D1" s="339"/>
      <c r="E1" s="225"/>
      <c r="F1" s="226">
        <v>23</v>
      </c>
      <c r="G1" s="223"/>
      <c r="H1" s="223"/>
    </row>
    <row r="2" spans="1:9" x14ac:dyDescent="0.25">
      <c r="A2" s="129"/>
      <c r="B2" s="340" t="str">
        <f xml:space="preserve"> CONCATENATE("к АОСР ",A5)</f>
        <v>к АОСР № АИР-М-1.2-61.17-АР-23 от 04.04.2024</v>
      </c>
      <c r="C2" s="340"/>
      <c r="D2" s="340"/>
    </row>
    <row r="3" spans="1:9" ht="16.8" x14ac:dyDescent="0.3">
      <c r="A3" s="126"/>
      <c r="B3" s="126"/>
      <c r="C3" s="130"/>
      <c r="D3" s="130"/>
    </row>
    <row r="4" spans="1:9" ht="13.8" x14ac:dyDescent="0.25">
      <c r="A4" s="341" t="s">
        <v>179</v>
      </c>
      <c r="B4" s="341"/>
      <c r="C4" s="341"/>
      <c r="D4" s="341"/>
    </row>
    <row r="5" spans="1:9" ht="15" customHeight="1" x14ac:dyDescent="0.25">
      <c r="A5" s="341" t="str">
        <f>CONCATENATE("№ ", INDEX(реестр!B:B, F1+8), " от ", TEXT(INDEX(реестр!C:C, F1+8), "ДД.ММ.ГГГГ"))</f>
        <v>№ АИР-М-1.2-61.17-АР-23 от 04.04.2024</v>
      </c>
      <c r="B5" s="341"/>
      <c r="C5" s="341"/>
      <c r="D5" s="341"/>
      <c r="F5" s="341"/>
      <c r="G5" s="341"/>
      <c r="H5" s="341"/>
      <c r="I5" s="341"/>
    </row>
    <row r="6" spans="1:9" s="142" customFormat="1" ht="16.8" x14ac:dyDescent="0.3">
      <c r="A6" s="131"/>
      <c r="B6" s="131"/>
      <c r="C6" s="131"/>
      <c r="D6" s="132"/>
    </row>
    <row r="7" spans="1:9" s="142" customFormat="1" ht="27.6" x14ac:dyDescent="0.25">
      <c r="A7" s="133" t="s">
        <v>180</v>
      </c>
      <c r="B7" s="133" t="s">
        <v>181</v>
      </c>
      <c r="C7" s="133" t="s">
        <v>182</v>
      </c>
      <c r="D7" s="134" t="s">
        <v>183</v>
      </c>
    </row>
    <row r="8" spans="1:9" s="142" customFormat="1" ht="13.8" x14ac:dyDescent="0.25">
      <c r="A8" s="137">
        <v>1</v>
      </c>
      <c r="B8" s="214" t="s">
        <v>570</v>
      </c>
      <c r="C8" s="214" t="s">
        <v>367</v>
      </c>
      <c r="D8" s="214">
        <v>1</v>
      </c>
    </row>
    <row r="9" spans="1:9" s="142" customFormat="1" ht="13.8" x14ac:dyDescent="0.25">
      <c r="A9" s="137">
        <v>2</v>
      </c>
      <c r="B9" s="214" t="s">
        <v>356</v>
      </c>
      <c r="C9" s="214" t="s">
        <v>368</v>
      </c>
      <c r="D9" s="214">
        <v>1</v>
      </c>
    </row>
    <row r="10" spans="1:9" s="142" customFormat="1" ht="13.8" x14ac:dyDescent="0.25">
      <c r="A10" s="137">
        <v>3</v>
      </c>
      <c r="B10" s="214" t="s">
        <v>356</v>
      </c>
      <c r="C10" s="214" t="s">
        <v>369</v>
      </c>
      <c r="D10" s="214">
        <v>1</v>
      </c>
    </row>
    <row r="11" spans="1:9" s="142" customFormat="1" ht="13.8" x14ac:dyDescent="0.25">
      <c r="A11" s="137">
        <v>4</v>
      </c>
      <c r="B11" s="214" t="s">
        <v>356</v>
      </c>
      <c r="C11" s="214" t="s">
        <v>370</v>
      </c>
      <c r="D11" s="214">
        <v>1</v>
      </c>
    </row>
    <row r="12" spans="1:9" s="142" customFormat="1" ht="27.6" x14ac:dyDescent="0.25">
      <c r="A12" s="137">
        <v>5</v>
      </c>
      <c r="B12" s="214" t="s">
        <v>572</v>
      </c>
      <c r="C12" s="214" t="s">
        <v>372</v>
      </c>
      <c r="D12" s="214">
        <v>1</v>
      </c>
    </row>
    <row r="13" spans="1:9" s="142" customFormat="1" ht="27.6" x14ac:dyDescent="0.25">
      <c r="A13" s="137">
        <v>6</v>
      </c>
      <c r="B13" s="214" t="s">
        <v>571</v>
      </c>
      <c r="C13" s="214" t="s">
        <v>357</v>
      </c>
      <c r="D13" s="214">
        <v>1</v>
      </c>
    </row>
    <row r="14" spans="1:9" s="142" customFormat="1" ht="13.8" x14ac:dyDescent="0.25">
      <c r="A14" s="137">
        <v>7</v>
      </c>
      <c r="B14" s="214" t="s">
        <v>573</v>
      </c>
      <c r="C14" s="214" t="s">
        <v>358</v>
      </c>
      <c r="D14" s="214">
        <v>1</v>
      </c>
    </row>
    <row r="15" spans="1:9" s="142" customFormat="1" ht="27.6" x14ac:dyDescent="0.25">
      <c r="A15" s="137">
        <v>8</v>
      </c>
      <c r="B15" s="214" t="s">
        <v>362</v>
      </c>
      <c r="C15" s="214" t="s">
        <v>360</v>
      </c>
      <c r="D15" s="214">
        <v>1</v>
      </c>
    </row>
    <row r="16" spans="1:9" s="142" customFormat="1" ht="13.8" x14ac:dyDescent="0.25">
      <c r="A16" s="137">
        <v>9</v>
      </c>
      <c r="B16" s="214" t="s">
        <v>574</v>
      </c>
      <c r="C16" s="214" t="s">
        <v>359</v>
      </c>
      <c r="D16" s="214">
        <v>1</v>
      </c>
    </row>
    <row r="17" spans="1:7" s="142" customFormat="1" ht="27.6" x14ac:dyDescent="0.25">
      <c r="A17" s="137">
        <v>10</v>
      </c>
      <c r="B17" s="214" t="s">
        <v>363</v>
      </c>
      <c r="C17" s="214" t="s">
        <v>361</v>
      </c>
      <c r="D17" s="214">
        <v>1</v>
      </c>
    </row>
    <row r="18" spans="1:7" s="142" customFormat="1" ht="13.8" x14ac:dyDescent="0.25">
      <c r="A18" s="137">
        <v>11</v>
      </c>
      <c r="B18" s="214" t="s">
        <v>575</v>
      </c>
      <c r="C18" s="214" t="s">
        <v>295</v>
      </c>
      <c r="D18" s="214">
        <v>1</v>
      </c>
    </row>
    <row r="19" spans="1:7" s="142" customFormat="1" ht="13.8" x14ac:dyDescent="0.25">
      <c r="A19" s="217"/>
      <c r="B19" s="218"/>
      <c r="C19" s="218"/>
      <c r="D19" s="218"/>
      <c r="E19" s="224"/>
      <c r="F19" s="224"/>
      <c r="G19" s="234"/>
    </row>
    <row r="20" spans="1:7" ht="13.8" x14ac:dyDescent="0.25">
      <c r="A20" s="338" t="s">
        <v>184</v>
      </c>
      <c r="B20" s="338"/>
      <c r="C20" s="338"/>
      <c r="D20" s="338"/>
    </row>
    <row r="21" spans="1:7" ht="13.8" x14ac:dyDescent="0.25">
      <c r="A21" s="338" t="s">
        <v>77</v>
      </c>
      <c r="B21" s="338"/>
      <c r="C21" s="338"/>
      <c r="D21" s="338"/>
    </row>
    <row r="22" spans="1:7" ht="30" customHeight="1" x14ac:dyDescent="0.25">
      <c r="A22" s="343" t="str">
        <f xml:space="preserve"> INDEX(реестр!N:N, F1+8)</f>
        <v>Алгушаев Р.Р.</v>
      </c>
      <c r="B22" s="343"/>
      <c r="C22" s="343"/>
      <c r="D22" s="343"/>
    </row>
    <row r="23" spans="1:7" ht="13.8" x14ac:dyDescent="0.25">
      <c r="A23" s="342" t="s">
        <v>26</v>
      </c>
      <c r="B23" s="342"/>
      <c r="C23" s="342"/>
      <c r="D23" s="342"/>
    </row>
    <row r="24" spans="1:7" ht="13.8" x14ac:dyDescent="0.25">
      <c r="A24" s="338" t="s">
        <v>185</v>
      </c>
      <c r="B24" s="338"/>
      <c r="C24" s="338"/>
      <c r="D24" s="338"/>
    </row>
    <row r="25" spans="1:7" ht="13.8" x14ac:dyDescent="0.25">
      <c r="A25" s="338" t="s">
        <v>80</v>
      </c>
      <c r="B25" s="338"/>
      <c r="C25" s="338"/>
      <c r="D25" s="338"/>
    </row>
    <row r="26" spans="1:7" ht="30" customHeight="1" x14ac:dyDescent="0.25">
      <c r="A26" s="343" t="s">
        <v>76</v>
      </c>
      <c r="B26" s="343"/>
      <c r="C26" s="343"/>
      <c r="D26" s="343"/>
    </row>
    <row r="27" spans="1:7" ht="13.8" x14ac:dyDescent="0.25">
      <c r="A27" s="342" t="s">
        <v>26</v>
      </c>
      <c r="B27" s="342"/>
      <c r="C27" s="342"/>
      <c r="D27" s="342"/>
    </row>
    <row r="28" spans="1:7" ht="13.8" x14ac:dyDescent="0.25">
      <c r="A28" s="344" t="s">
        <v>66</v>
      </c>
      <c r="B28" s="344"/>
      <c r="C28" s="344"/>
      <c r="D28" s="344"/>
    </row>
    <row r="29" spans="1:7" ht="30" customHeight="1" x14ac:dyDescent="0.25">
      <c r="A29" s="343" t="s">
        <v>82</v>
      </c>
      <c r="B29" s="343"/>
      <c r="C29" s="343"/>
      <c r="D29" s="343"/>
    </row>
    <row r="30" spans="1:7" ht="13.8" x14ac:dyDescent="0.25">
      <c r="A30" s="342" t="s">
        <v>26</v>
      </c>
      <c r="B30" s="342"/>
      <c r="C30" s="342"/>
      <c r="D30" s="342"/>
    </row>
    <row r="31" spans="1:7" ht="13.8" x14ac:dyDescent="0.25">
      <c r="A31" s="344" t="s">
        <v>186</v>
      </c>
      <c r="B31" s="344"/>
      <c r="C31" s="344"/>
      <c r="D31" s="344"/>
    </row>
    <row r="32" spans="1:7" ht="30" customHeight="1" x14ac:dyDescent="0.25">
      <c r="A32" s="343" t="s">
        <v>256</v>
      </c>
      <c r="B32" s="343"/>
      <c r="C32" s="343"/>
      <c r="D32" s="343"/>
    </row>
    <row r="33" spans="1:4" ht="13.8" x14ac:dyDescent="0.25">
      <c r="A33" s="342" t="s">
        <v>26</v>
      </c>
      <c r="B33" s="342"/>
      <c r="C33" s="342"/>
      <c r="D33" s="342"/>
    </row>
  </sheetData>
  <mergeCells count="19">
    <mergeCell ref="F5:I5"/>
    <mergeCell ref="A20:D20"/>
    <mergeCell ref="A26:D26"/>
    <mergeCell ref="C1:D1"/>
    <mergeCell ref="B2:D2"/>
    <mergeCell ref="A4:D4"/>
    <mergeCell ref="A5:D5"/>
    <mergeCell ref="A21:D21"/>
    <mergeCell ref="A22:D22"/>
    <mergeCell ref="A23:D23"/>
    <mergeCell ref="A24:D24"/>
    <mergeCell ref="A25:D25"/>
    <mergeCell ref="A33:D33"/>
    <mergeCell ref="A27:D27"/>
    <mergeCell ref="A28:D28"/>
    <mergeCell ref="A29:D29"/>
    <mergeCell ref="A30:D30"/>
    <mergeCell ref="A31:D31"/>
    <mergeCell ref="A32:D32"/>
  </mergeCells>
  <pageMargins left="0.7" right="0.7" top="0.75" bottom="0.75" header="0.3" footer="0.3"/>
  <pageSetup paperSize="9" scale="78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C18588-DDCB-41BF-BE8F-C7F1F73253DD}">
  <sheetPr codeName="Лист46">
    <tabColor rgb="FF0070C0"/>
  </sheetPr>
  <dimension ref="A1:I33"/>
  <sheetViews>
    <sheetView view="pageBreakPreview" topLeftCell="B1" zoomScale="132" zoomScaleNormal="115" zoomScaleSheetLayoutView="115" workbookViewId="0">
      <selection activeCell="F2" sqref="F2"/>
    </sheetView>
  </sheetViews>
  <sheetFormatPr defaultColWidth="9.109375" defaultRowHeight="15.6" x14ac:dyDescent="0.25"/>
  <cols>
    <col min="1" max="1" width="5.88671875" style="135" customWidth="1"/>
    <col min="2" max="2" width="55.44140625" style="136" customWidth="1"/>
    <col min="3" max="3" width="42.6640625" style="136" customWidth="1"/>
    <col min="4" max="4" width="9.33203125" style="128" customWidth="1"/>
    <col min="5" max="7" width="9.109375" style="143"/>
    <col min="8" max="8" width="63.44140625" style="143" customWidth="1"/>
    <col min="9" max="9" width="36.6640625" style="143" customWidth="1"/>
    <col min="10" max="16384" width="9.109375" style="143"/>
  </cols>
  <sheetData>
    <row r="1" spans="1:9" ht="17.399999999999999" thickBot="1" x14ac:dyDescent="0.3">
      <c r="A1" s="126"/>
      <c r="B1" s="127"/>
      <c r="C1" s="339" t="s">
        <v>195</v>
      </c>
      <c r="D1" s="339"/>
      <c r="E1" s="225"/>
      <c r="F1" s="226">
        <v>24</v>
      </c>
      <c r="G1" s="223"/>
      <c r="H1" s="223"/>
    </row>
    <row r="2" spans="1:9" x14ac:dyDescent="0.25">
      <c r="A2" s="129"/>
      <c r="B2" s="340" t="str">
        <f xml:space="preserve"> CONCATENATE("к АОСР ",A5)</f>
        <v>к АОСР № АИР-М-1.2-61.17-АР-24 от 06.04.2024</v>
      </c>
      <c r="C2" s="340"/>
      <c r="D2" s="340"/>
    </row>
    <row r="3" spans="1:9" ht="16.8" x14ac:dyDescent="0.3">
      <c r="A3" s="126"/>
      <c r="B3" s="126"/>
      <c r="C3" s="130"/>
      <c r="D3" s="130"/>
    </row>
    <row r="4" spans="1:9" ht="13.8" x14ac:dyDescent="0.25">
      <c r="A4" s="341" t="s">
        <v>179</v>
      </c>
      <c r="B4" s="341"/>
      <c r="C4" s="341"/>
      <c r="D4" s="341"/>
    </row>
    <row r="5" spans="1:9" ht="15" customHeight="1" x14ac:dyDescent="0.25">
      <c r="A5" s="341" t="str">
        <f>CONCATENATE("№ ", INDEX(реестр!B:B, F1+8), " от ", TEXT(INDEX(реестр!C:C, F1+8), "ДД.ММ.ГГГГ"))</f>
        <v>№ АИР-М-1.2-61.17-АР-24 от 06.04.2024</v>
      </c>
      <c r="B5" s="341"/>
      <c r="C5" s="341"/>
      <c r="D5" s="341"/>
      <c r="F5" s="341"/>
      <c r="G5" s="341"/>
      <c r="H5" s="341"/>
      <c r="I5" s="341"/>
    </row>
    <row r="6" spans="1:9" s="142" customFormat="1" ht="16.8" x14ac:dyDescent="0.3">
      <c r="A6" s="131"/>
      <c r="B6" s="131"/>
      <c r="C6" s="131"/>
      <c r="D6" s="132"/>
    </row>
    <row r="7" spans="1:9" s="142" customFormat="1" ht="27.6" x14ac:dyDescent="0.25">
      <c r="A7" s="133" t="s">
        <v>180</v>
      </c>
      <c r="B7" s="133" t="s">
        <v>181</v>
      </c>
      <c r="C7" s="133" t="s">
        <v>182</v>
      </c>
      <c r="D7" s="134" t="s">
        <v>183</v>
      </c>
    </row>
    <row r="8" spans="1:9" s="142" customFormat="1" ht="13.8" x14ac:dyDescent="0.25">
      <c r="A8" s="137">
        <v>1</v>
      </c>
      <c r="B8" s="214" t="s">
        <v>576</v>
      </c>
      <c r="C8" s="214" t="s">
        <v>367</v>
      </c>
      <c r="D8" s="214">
        <v>1</v>
      </c>
    </row>
    <row r="9" spans="1:9" s="142" customFormat="1" ht="13.8" x14ac:dyDescent="0.25">
      <c r="A9" s="137">
        <v>2</v>
      </c>
      <c r="B9" s="214" t="s">
        <v>356</v>
      </c>
      <c r="C9" s="214" t="s">
        <v>368</v>
      </c>
      <c r="D9" s="214">
        <v>1</v>
      </c>
    </row>
    <row r="10" spans="1:9" s="142" customFormat="1" ht="13.8" x14ac:dyDescent="0.25">
      <c r="A10" s="137">
        <v>3</v>
      </c>
      <c r="B10" s="214" t="s">
        <v>356</v>
      </c>
      <c r="C10" s="214" t="s">
        <v>369</v>
      </c>
      <c r="D10" s="214">
        <v>1</v>
      </c>
    </row>
    <row r="11" spans="1:9" s="142" customFormat="1" ht="13.8" x14ac:dyDescent="0.25">
      <c r="A11" s="137">
        <v>4</v>
      </c>
      <c r="B11" s="214" t="s">
        <v>356</v>
      </c>
      <c r="C11" s="214" t="s">
        <v>370</v>
      </c>
      <c r="D11" s="214">
        <v>1</v>
      </c>
    </row>
    <row r="12" spans="1:9" s="142" customFormat="1" ht="27.6" x14ac:dyDescent="0.25">
      <c r="A12" s="137">
        <v>5</v>
      </c>
      <c r="B12" s="214" t="s">
        <v>572</v>
      </c>
      <c r="C12" s="214" t="s">
        <v>372</v>
      </c>
      <c r="D12" s="214">
        <v>1</v>
      </c>
    </row>
    <row r="13" spans="1:9" s="142" customFormat="1" ht="27.6" x14ac:dyDescent="0.25">
      <c r="A13" s="137">
        <v>6</v>
      </c>
      <c r="B13" s="214" t="s">
        <v>577</v>
      </c>
      <c r="C13" s="214" t="s">
        <v>357</v>
      </c>
      <c r="D13" s="214">
        <v>1</v>
      </c>
    </row>
    <row r="14" spans="1:9" s="142" customFormat="1" ht="13.8" x14ac:dyDescent="0.25">
      <c r="A14" s="137">
        <v>7</v>
      </c>
      <c r="B14" s="214" t="s">
        <v>578</v>
      </c>
      <c r="C14" s="214" t="s">
        <v>358</v>
      </c>
      <c r="D14" s="214">
        <v>1</v>
      </c>
    </row>
    <row r="15" spans="1:9" s="142" customFormat="1" ht="27.6" x14ac:dyDescent="0.25">
      <c r="A15" s="137">
        <v>8</v>
      </c>
      <c r="B15" s="214" t="s">
        <v>362</v>
      </c>
      <c r="C15" s="214" t="s">
        <v>360</v>
      </c>
      <c r="D15" s="214">
        <v>1</v>
      </c>
    </row>
    <row r="16" spans="1:9" s="142" customFormat="1" ht="13.8" x14ac:dyDescent="0.25">
      <c r="A16" s="137">
        <v>9</v>
      </c>
      <c r="B16" s="214" t="s">
        <v>579</v>
      </c>
      <c r="C16" s="214" t="s">
        <v>359</v>
      </c>
      <c r="D16" s="214">
        <v>1</v>
      </c>
    </row>
    <row r="17" spans="1:7" s="142" customFormat="1" ht="27.6" x14ac:dyDescent="0.25">
      <c r="A17" s="137">
        <v>10</v>
      </c>
      <c r="B17" s="214" t="s">
        <v>363</v>
      </c>
      <c r="C17" s="214" t="s">
        <v>361</v>
      </c>
      <c r="D17" s="214">
        <v>1</v>
      </c>
    </row>
    <row r="18" spans="1:7" s="142" customFormat="1" ht="13.8" x14ac:dyDescent="0.25">
      <c r="A18" s="137">
        <v>11</v>
      </c>
      <c r="B18" s="214" t="s">
        <v>580</v>
      </c>
      <c r="C18" s="214" t="s">
        <v>295</v>
      </c>
      <c r="D18" s="214">
        <v>1</v>
      </c>
    </row>
    <row r="19" spans="1:7" s="142" customFormat="1" ht="13.8" x14ac:dyDescent="0.25">
      <c r="A19" s="217"/>
      <c r="B19" s="218"/>
      <c r="C19" s="218"/>
      <c r="D19" s="218"/>
      <c r="E19" s="224"/>
      <c r="F19" s="224"/>
      <c r="G19" s="234"/>
    </row>
    <row r="20" spans="1:7" ht="13.8" x14ac:dyDescent="0.25">
      <c r="A20" s="338" t="s">
        <v>184</v>
      </c>
      <c r="B20" s="338"/>
      <c r="C20" s="338"/>
      <c r="D20" s="338"/>
    </row>
    <row r="21" spans="1:7" ht="13.8" x14ac:dyDescent="0.25">
      <c r="A21" s="338" t="s">
        <v>77</v>
      </c>
      <c r="B21" s="338"/>
      <c r="C21" s="338"/>
      <c r="D21" s="338"/>
    </row>
    <row r="22" spans="1:7" ht="30" customHeight="1" x14ac:dyDescent="0.25">
      <c r="A22" s="343" t="str">
        <f xml:space="preserve"> INDEX(реестр!N:N, F1+8)</f>
        <v>Алгушаев Р.Р.</v>
      </c>
      <c r="B22" s="343"/>
      <c r="C22" s="343"/>
      <c r="D22" s="343"/>
    </row>
    <row r="23" spans="1:7" ht="13.8" x14ac:dyDescent="0.25">
      <c r="A23" s="342" t="s">
        <v>26</v>
      </c>
      <c r="B23" s="342"/>
      <c r="C23" s="342"/>
      <c r="D23" s="342"/>
    </row>
    <row r="24" spans="1:7" ht="13.8" x14ac:dyDescent="0.25">
      <c r="A24" s="338" t="s">
        <v>185</v>
      </c>
      <c r="B24" s="338"/>
      <c r="C24" s="338"/>
      <c r="D24" s="338"/>
    </row>
    <row r="25" spans="1:7" ht="13.8" x14ac:dyDescent="0.25">
      <c r="A25" s="338" t="s">
        <v>80</v>
      </c>
      <c r="B25" s="338"/>
      <c r="C25" s="338"/>
      <c r="D25" s="338"/>
    </row>
    <row r="26" spans="1:7" ht="30" customHeight="1" x14ac:dyDescent="0.25">
      <c r="A26" s="343" t="s">
        <v>76</v>
      </c>
      <c r="B26" s="343"/>
      <c r="C26" s="343"/>
      <c r="D26" s="343"/>
    </row>
    <row r="27" spans="1:7" ht="13.8" x14ac:dyDescent="0.25">
      <c r="A27" s="342" t="s">
        <v>26</v>
      </c>
      <c r="B27" s="342"/>
      <c r="C27" s="342"/>
      <c r="D27" s="342"/>
    </row>
    <row r="28" spans="1:7" ht="13.8" x14ac:dyDescent="0.25">
      <c r="A28" s="344" t="s">
        <v>66</v>
      </c>
      <c r="B28" s="344"/>
      <c r="C28" s="344"/>
      <c r="D28" s="344"/>
    </row>
    <row r="29" spans="1:7" ht="30" customHeight="1" x14ac:dyDescent="0.25">
      <c r="A29" s="343" t="s">
        <v>82</v>
      </c>
      <c r="B29" s="343"/>
      <c r="C29" s="343"/>
      <c r="D29" s="343"/>
    </row>
    <row r="30" spans="1:7" ht="13.8" x14ac:dyDescent="0.25">
      <c r="A30" s="342" t="s">
        <v>26</v>
      </c>
      <c r="B30" s="342"/>
      <c r="C30" s="342"/>
      <c r="D30" s="342"/>
    </row>
    <row r="31" spans="1:7" ht="13.8" x14ac:dyDescent="0.25">
      <c r="A31" s="344" t="s">
        <v>186</v>
      </c>
      <c r="B31" s="344"/>
      <c r="C31" s="344"/>
      <c r="D31" s="344"/>
    </row>
    <row r="32" spans="1:7" ht="30" customHeight="1" x14ac:dyDescent="0.25">
      <c r="A32" s="343" t="s">
        <v>256</v>
      </c>
      <c r="B32" s="343"/>
      <c r="C32" s="343"/>
      <c r="D32" s="343"/>
    </row>
    <row r="33" spans="1:4" ht="13.8" x14ac:dyDescent="0.25">
      <c r="A33" s="342" t="s">
        <v>26</v>
      </c>
      <c r="B33" s="342"/>
      <c r="C33" s="342"/>
      <c r="D33" s="342"/>
    </row>
  </sheetData>
  <mergeCells count="19">
    <mergeCell ref="F5:I5"/>
    <mergeCell ref="A20:D20"/>
    <mergeCell ref="A26:D26"/>
    <mergeCell ref="C1:D1"/>
    <mergeCell ref="B2:D2"/>
    <mergeCell ref="A4:D4"/>
    <mergeCell ref="A5:D5"/>
    <mergeCell ref="A21:D21"/>
    <mergeCell ref="A22:D22"/>
    <mergeCell ref="A23:D23"/>
    <mergeCell ref="A24:D24"/>
    <mergeCell ref="A25:D25"/>
    <mergeCell ref="A33:D33"/>
    <mergeCell ref="A27:D27"/>
    <mergeCell ref="A28:D28"/>
    <mergeCell ref="A29:D29"/>
    <mergeCell ref="A30:D30"/>
    <mergeCell ref="A31:D31"/>
    <mergeCell ref="A32:D32"/>
  </mergeCells>
  <pageMargins left="0.7" right="0.7" top="0.75" bottom="0.75" header="0.3" footer="0.3"/>
  <pageSetup paperSize="9" scale="78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577D5-768A-4360-B4D1-72A8A4F9B231}">
  <sheetPr codeName="Лист40">
    <tabColor rgb="FF0070C0"/>
  </sheetPr>
  <dimension ref="A1:I33"/>
  <sheetViews>
    <sheetView view="pageBreakPreview" zoomScale="94" zoomScaleNormal="115" zoomScaleSheetLayoutView="115" workbookViewId="0">
      <selection activeCell="F4" sqref="F4"/>
    </sheetView>
  </sheetViews>
  <sheetFormatPr defaultColWidth="9.109375" defaultRowHeight="15.6" x14ac:dyDescent="0.25"/>
  <cols>
    <col min="1" max="1" width="5.88671875" style="135" customWidth="1"/>
    <col min="2" max="2" width="55.44140625" style="136" customWidth="1"/>
    <col min="3" max="3" width="42.6640625" style="136" customWidth="1"/>
    <col min="4" max="4" width="9.33203125" style="128" customWidth="1"/>
    <col min="5" max="7" width="9.109375" style="143"/>
    <col min="8" max="8" width="63.44140625" style="143" customWidth="1"/>
    <col min="9" max="9" width="36.6640625" style="143" customWidth="1"/>
    <col min="10" max="16384" width="9.109375" style="143"/>
  </cols>
  <sheetData>
    <row r="1" spans="1:9" ht="17.399999999999999" thickBot="1" x14ac:dyDescent="0.3">
      <c r="A1" s="126"/>
      <c r="B1" s="127"/>
      <c r="C1" s="339" t="s">
        <v>195</v>
      </c>
      <c r="D1" s="339"/>
      <c r="E1" s="225"/>
      <c r="F1" s="226">
        <v>27</v>
      </c>
      <c r="G1" s="223"/>
      <c r="H1" s="223"/>
    </row>
    <row r="2" spans="1:9" x14ac:dyDescent="0.25">
      <c r="A2" s="129"/>
      <c r="B2" s="340" t="str">
        <f xml:space="preserve"> CONCATENATE("к АОСР ",A5)</f>
        <v>к АОСР № АИР-М-1.2-61.17-АР-27 от 15.04.2024</v>
      </c>
      <c r="C2" s="340"/>
      <c r="D2" s="340"/>
    </row>
    <row r="3" spans="1:9" ht="16.8" x14ac:dyDescent="0.3">
      <c r="A3" s="126"/>
      <c r="B3" s="126"/>
      <c r="C3" s="130"/>
      <c r="D3" s="130"/>
      <c r="F3" s="143" t="s">
        <v>990</v>
      </c>
    </row>
    <row r="4" spans="1:9" ht="13.8" x14ac:dyDescent="0.25">
      <c r="A4" s="341" t="s">
        <v>179</v>
      </c>
      <c r="B4" s="341"/>
      <c r="C4" s="341"/>
      <c r="D4" s="341"/>
    </row>
    <row r="5" spans="1:9" ht="15" customHeight="1" x14ac:dyDescent="0.25">
      <c r="A5" s="341" t="str">
        <f>CONCATENATE("№ ", INDEX(реестр!B:B, F1+8), " от ", TEXT(INDEX(реестр!C:C, F1+8), "ДД.ММ.ГГГГ"))</f>
        <v>№ АИР-М-1.2-61.17-АР-27 от 15.04.2024</v>
      </c>
      <c r="B5" s="341"/>
      <c r="C5" s="341"/>
      <c r="D5" s="341"/>
      <c r="F5" s="341"/>
      <c r="G5" s="341"/>
      <c r="H5" s="341"/>
      <c r="I5" s="341"/>
    </row>
    <row r="6" spans="1:9" s="142" customFormat="1" ht="16.8" x14ac:dyDescent="0.3">
      <c r="A6" s="131"/>
      <c r="B6" s="131"/>
      <c r="C6" s="131"/>
      <c r="D6" s="132"/>
    </row>
    <row r="7" spans="1:9" s="142" customFormat="1" ht="27.6" x14ac:dyDescent="0.25">
      <c r="A7" s="133" t="s">
        <v>180</v>
      </c>
      <c r="B7" s="133" t="s">
        <v>181</v>
      </c>
      <c r="C7" s="133" t="s">
        <v>182</v>
      </c>
      <c r="D7" s="134" t="s">
        <v>183</v>
      </c>
    </row>
    <row r="8" spans="1:9" s="142" customFormat="1" ht="13.8" x14ac:dyDescent="0.25">
      <c r="A8" s="137">
        <v>1</v>
      </c>
      <c r="B8" s="214" t="s">
        <v>581</v>
      </c>
      <c r="C8" s="214" t="s">
        <v>367</v>
      </c>
      <c r="D8" s="214">
        <v>1</v>
      </c>
    </row>
    <row r="9" spans="1:9" s="142" customFormat="1" ht="13.8" x14ac:dyDescent="0.25">
      <c r="A9" s="137">
        <v>2</v>
      </c>
      <c r="B9" s="214" t="s">
        <v>356</v>
      </c>
      <c r="C9" s="214" t="s">
        <v>368</v>
      </c>
      <c r="D9" s="214">
        <v>1</v>
      </c>
    </row>
    <row r="10" spans="1:9" s="142" customFormat="1" ht="13.8" x14ac:dyDescent="0.25">
      <c r="A10" s="137">
        <v>3</v>
      </c>
      <c r="B10" s="214" t="s">
        <v>356</v>
      </c>
      <c r="C10" s="214" t="s">
        <v>369</v>
      </c>
      <c r="D10" s="214">
        <v>1</v>
      </c>
    </row>
    <row r="11" spans="1:9" s="142" customFormat="1" ht="13.8" x14ac:dyDescent="0.25">
      <c r="A11" s="137">
        <v>4</v>
      </c>
      <c r="B11" s="214" t="s">
        <v>356</v>
      </c>
      <c r="C11" s="214" t="s">
        <v>370</v>
      </c>
      <c r="D11" s="214">
        <v>1</v>
      </c>
    </row>
    <row r="12" spans="1:9" s="142" customFormat="1" ht="27.6" x14ac:dyDescent="0.25">
      <c r="A12" s="137">
        <v>5</v>
      </c>
      <c r="B12" s="214" t="s">
        <v>572</v>
      </c>
      <c r="C12" s="214" t="s">
        <v>372</v>
      </c>
      <c r="D12" s="214">
        <v>1</v>
      </c>
    </row>
    <row r="13" spans="1:9" s="142" customFormat="1" ht="27.6" x14ac:dyDescent="0.25">
      <c r="A13" s="137">
        <v>6</v>
      </c>
      <c r="B13" s="214" t="s">
        <v>374</v>
      </c>
      <c r="C13" s="214" t="s">
        <v>357</v>
      </c>
      <c r="D13" s="214">
        <v>1</v>
      </c>
    </row>
    <row r="14" spans="1:9" s="142" customFormat="1" ht="13.8" x14ac:dyDescent="0.25">
      <c r="A14" s="137">
        <v>7</v>
      </c>
      <c r="B14" s="214" t="s">
        <v>375</v>
      </c>
      <c r="C14" s="214" t="s">
        <v>358</v>
      </c>
      <c r="D14" s="214">
        <v>1</v>
      </c>
    </row>
    <row r="15" spans="1:9" s="142" customFormat="1" ht="27.6" x14ac:dyDescent="0.25">
      <c r="A15" s="137">
        <v>8</v>
      </c>
      <c r="B15" s="214" t="s">
        <v>362</v>
      </c>
      <c r="C15" s="214" t="s">
        <v>360</v>
      </c>
      <c r="D15" s="214">
        <v>1</v>
      </c>
    </row>
    <row r="16" spans="1:9" s="142" customFormat="1" ht="13.8" x14ac:dyDescent="0.25">
      <c r="A16" s="137">
        <v>9</v>
      </c>
      <c r="B16" s="214" t="s">
        <v>376</v>
      </c>
      <c r="C16" s="214" t="s">
        <v>359</v>
      </c>
      <c r="D16" s="214">
        <v>1</v>
      </c>
    </row>
    <row r="17" spans="1:4" s="142" customFormat="1" ht="27.6" x14ac:dyDescent="0.25">
      <c r="A17" s="137">
        <v>10</v>
      </c>
      <c r="B17" s="214" t="s">
        <v>363</v>
      </c>
      <c r="C17" s="214" t="s">
        <v>361</v>
      </c>
      <c r="D17" s="214">
        <v>1</v>
      </c>
    </row>
    <row r="18" spans="1:4" s="142" customFormat="1" ht="13.8" x14ac:dyDescent="0.25">
      <c r="A18" s="137">
        <v>11</v>
      </c>
      <c r="B18" s="214" t="s">
        <v>377</v>
      </c>
      <c r="C18" s="214" t="s">
        <v>295</v>
      </c>
      <c r="D18" s="214">
        <v>1</v>
      </c>
    </row>
    <row r="19" spans="1:4" s="142" customFormat="1" ht="13.8" x14ac:dyDescent="0.25">
      <c r="A19" s="217"/>
      <c r="B19" s="218"/>
      <c r="C19" s="218"/>
      <c r="D19" s="218"/>
    </row>
    <row r="20" spans="1:4" ht="13.8" x14ac:dyDescent="0.25">
      <c r="A20" s="338" t="s">
        <v>184</v>
      </c>
      <c r="B20" s="338"/>
      <c r="C20" s="338"/>
      <c r="D20" s="338"/>
    </row>
    <row r="21" spans="1:4" ht="13.8" x14ac:dyDescent="0.25">
      <c r="A21" s="338" t="s">
        <v>77</v>
      </c>
      <c r="B21" s="338"/>
      <c r="C21" s="338"/>
      <c r="D21" s="338"/>
    </row>
    <row r="22" spans="1:4" ht="30" customHeight="1" x14ac:dyDescent="0.25">
      <c r="A22" s="343" t="str">
        <f xml:space="preserve"> INDEX(реестр!N:N, F1+8)</f>
        <v>Сураев С.П.</v>
      </c>
      <c r="B22" s="343"/>
      <c r="C22" s="343"/>
      <c r="D22" s="343"/>
    </row>
    <row r="23" spans="1:4" ht="13.8" x14ac:dyDescent="0.25">
      <c r="A23" s="342" t="s">
        <v>26</v>
      </c>
      <c r="B23" s="342"/>
      <c r="C23" s="342"/>
      <c r="D23" s="342"/>
    </row>
    <row r="24" spans="1:4" ht="13.8" x14ac:dyDescent="0.25">
      <c r="A24" s="338" t="s">
        <v>185</v>
      </c>
      <c r="B24" s="338"/>
      <c r="C24" s="338"/>
      <c r="D24" s="338"/>
    </row>
    <row r="25" spans="1:4" ht="13.8" x14ac:dyDescent="0.25">
      <c r="A25" s="338" t="s">
        <v>80</v>
      </c>
      <c r="B25" s="338"/>
      <c r="C25" s="338"/>
      <c r="D25" s="338"/>
    </row>
    <row r="26" spans="1:4" ht="30" customHeight="1" x14ac:dyDescent="0.25">
      <c r="A26" s="343" t="s">
        <v>76</v>
      </c>
      <c r="B26" s="343"/>
      <c r="C26" s="343"/>
      <c r="D26" s="343"/>
    </row>
    <row r="27" spans="1:4" ht="13.8" x14ac:dyDescent="0.25">
      <c r="A27" s="342" t="s">
        <v>26</v>
      </c>
      <c r="B27" s="342"/>
      <c r="C27" s="342"/>
      <c r="D27" s="342"/>
    </row>
    <row r="28" spans="1:4" ht="13.8" x14ac:dyDescent="0.25">
      <c r="A28" s="344" t="s">
        <v>66</v>
      </c>
      <c r="B28" s="344"/>
      <c r="C28" s="344"/>
      <c r="D28" s="344"/>
    </row>
    <row r="29" spans="1:4" ht="30" customHeight="1" x14ac:dyDescent="0.25">
      <c r="A29" s="343" t="s">
        <v>82</v>
      </c>
      <c r="B29" s="343"/>
      <c r="C29" s="343"/>
      <c r="D29" s="343"/>
    </row>
    <row r="30" spans="1:4" ht="13.8" x14ac:dyDescent="0.25">
      <c r="A30" s="342" t="s">
        <v>26</v>
      </c>
      <c r="B30" s="342"/>
      <c r="C30" s="342"/>
      <c r="D30" s="342"/>
    </row>
    <row r="31" spans="1:4" ht="13.8" x14ac:dyDescent="0.25">
      <c r="A31" s="344" t="s">
        <v>186</v>
      </c>
      <c r="B31" s="344"/>
      <c r="C31" s="344"/>
      <c r="D31" s="344"/>
    </row>
    <row r="32" spans="1:4" ht="30" customHeight="1" x14ac:dyDescent="0.25">
      <c r="A32" s="343" t="s">
        <v>256</v>
      </c>
      <c r="B32" s="343"/>
      <c r="C32" s="343"/>
      <c r="D32" s="343"/>
    </row>
    <row r="33" spans="1:4" ht="13.8" x14ac:dyDescent="0.25">
      <c r="A33" s="342" t="s">
        <v>26</v>
      </c>
      <c r="B33" s="342"/>
      <c r="C33" s="342"/>
      <c r="D33" s="342"/>
    </row>
  </sheetData>
  <mergeCells count="19">
    <mergeCell ref="F5:I5"/>
    <mergeCell ref="A20:D20"/>
    <mergeCell ref="A26:D26"/>
    <mergeCell ref="C1:D1"/>
    <mergeCell ref="B2:D2"/>
    <mergeCell ref="A4:D4"/>
    <mergeCell ref="A5:D5"/>
    <mergeCell ref="A21:D21"/>
    <mergeCell ref="A22:D22"/>
    <mergeCell ref="A23:D23"/>
    <mergeCell ref="A24:D24"/>
    <mergeCell ref="A25:D25"/>
    <mergeCell ref="A33:D33"/>
    <mergeCell ref="A27:D27"/>
    <mergeCell ref="A28:D28"/>
    <mergeCell ref="A29:D29"/>
    <mergeCell ref="A30:D30"/>
    <mergeCell ref="A31:D31"/>
    <mergeCell ref="A32:D32"/>
  </mergeCells>
  <pageMargins left="0.7" right="0.7" top="0.75" bottom="0.75" header="0.3" footer="0.3"/>
  <pageSetup paperSize="9" scale="78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D4A207-D24A-4E26-BA08-565968709274}">
  <sheetPr codeName="Лист51">
    <tabColor theme="5" tint="0.39997558519241921"/>
  </sheetPr>
  <dimension ref="A1:H32"/>
  <sheetViews>
    <sheetView view="pageBreakPreview" zoomScale="115" zoomScaleNormal="115" zoomScaleSheetLayoutView="115" workbookViewId="0">
      <selection activeCell="H21" sqref="H21"/>
    </sheetView>
  </sheetViews>
  <sheetFormatPr defaultColWidth="9.109375" defaultRowHeight="15.6" x14ac:dyDescent="0.25"/>
  <cols>
    <col min="1" max="1" width="5.88671875" style="135" customWidth="1"/>
    <col min="2" max="2" width="55.44140625" style="136" customWidth="1"/>
    <col min="3" max="3" width="42.6640625" style="136" customWidth="1"/>
    <col min="4" max="4" width="9.33203125" style="128" customWidth="1"/>
    <col min="5" max="5" width="10.6640625" style="224" customWidth="1"/>
    <col min="6" max="6" width="5.33203125" style="224" customWidth="1"/>
    <col min="7" max="7" width="10.6640625" style="223" customWidth="1"/>
    <col min="8" max="8" width="10.6640625" style="143" customWidth="1"/>
    <col min="9" max="9" width="9.109375" style="143"/>
    <col min="10" max="10" width="11.6640625" style="143" customWidth="1"/>
    <col min="11" max="11" width="12" style="143" customWidth="1"/>
    <col min="12" max="16384" width="9.109375" style="143"/>
  </cols>
  <sheetData>
    <row r="1" spans="1:8" ht="17.399999999999999" thickBot="1" x14ac:dyDescent="0.3">
      <c r="A1" s="126"/>
      <c r="B1" s="127"/>
      <c r="C1" s="339" t="s">
        <v>195</v>
      </c>
      <c r="D1" s="339"/>
      <c r="E1" s="225"/>
      <c r="F1" s="226">
        <v>28</v>
      </c>
      <c r="H1" s="223"/>
    </row>
    <row r="2" spans="1:8" x14ac:dyDescent="0.25">
      <c r="A2" s="129"/>
      <c r="B2" s="340" t="str">
        <f xml:space="preserve"> CONCATENATE("к АОСР ",A5)</f>
        <v>к АОСР № АИР-М-1.2-61.17-АР-28 от 16.04.2024</v>
      </c>
      <c r="C2" s="340"/>
      <c r="D2" s="340"/>
    </row>
    <row r="3" spans="1:8" ht="16.8" x14ac:dyDescent="0.3">
      <c r="A3" s="126"/>
      <c r="B3" s="126"/>
      <c r="C3" s="130"/>
      <c r="D3" s="130"/>
    </row>
    <row r="4" spans="1:8" ht="13.8" x14ac:dyDescent="0.25">
      <c r="A4" s="341" t="s">
        <v>179</v>
      </c>
      <c r="B4" s="341"/>
      <c r="C4" s="341"/>
      <c r="D4" s="341"/>
    </row>
    <row r="5" spans="1:8" ht="13.8" x14ac:dyDescent="0.25">
      <c r="A5" s="341" t="str">
        <f>CONCATENATE("№ ", INDEX(реестр!B:B, F1+8), " от ", TEXT(INDEX(реестр!C:C, F1+8), "ДД.ММ.ГГГГ"))</f>
        <v>№ АИР-М-1.2-61.17-АР-28 от 16.04.2024</v>
      </c>
      <c r="B5" s="341"/>
      <c r="C5" s="341"/>
      <c r="D5" s="341"/>
      <c r="E5" s="341"/>
      <c r="F5" s="341"/>
      <c r="G5" s="341"/>
      <c r="H5" s="341"/>
    </row>
    <row r="6" spans="1:8" s="142" customFormat="1" ht="16.8" x14ac:dyDescent="0.3">
      <c r="A6" s="131"/>
      <c r="B6" s="131"/>
      <c r="C6" s="131"/>
      <c r="D6" s="132"/>
      <c r="E6" s="224"/>
      <c r="F6" s="224"/>
      <c r="G6" s="234"/>
    </row>
    <row r="7" spans="1:8" s="142" customFormat="1" ht="27.6" x14ac:dyDescent="0.25">
      <c r="A7" s="133" t="s">
        <v>180</v>
      </c>
      <c r="B7" s="133" t="s">
        <v>181</v>
      </c>
      <c r="C7" s="133" t="s">
        <v>182</v>
      </c>
      <c r="D7" s="134" t="s">
        <v>183</v>
      </c>
      <c r="E7" s="224"/>
      <c r="F7" s="224"/>
      <c r="G7" s="234"/>
    </row>
    <row r="8" spans="1:8" s="142" customFormat="1" ht="13.8" x14ac:dyDescent="0.25">
      <c r="A8" s="137">
        <v>1</v>
      </c>
      <c r="B8" s="214" t="s">
        <v>417</v>
      </c>
      <c r="C8" s="214" t="s">
        <v>393</v>
      </c>
      <c r="D8" s="214">
        <v>1</v>
      </c>
      <c r="E8" s="224"/>
      <c r="F8" s="224"/>
      <c r="G8" s="234"/>
    </row>
    <row r="9" spans="1:8" s="142" customFormat="1" ht="27.6" x14ac:dyDescent="0.25">
      <c r="A9" s="137">
        <v>2</v>
      </c>
      <c r="B9" s="214" t="s">
        <v>318</v>
      </c>
      <c r="C9" s="214" t="s">
        <v>394</v>
      </c>
      <c r="D9" s="214">
        <v>2</v>
      </c>
      <c r="E9" s="224"/>
      <c r="F9" s="224"/>
      <c r="G9" s="234"/>
    </row>
    <row r="10" spans="1:8" s="142" customFormat="1" ht="13.8" x14ac:dyDescent="0.25">
      <c r="A10" s="137">
        <v>3</v>
      </c>
      <c r="B10" s="214" t="s">
        <v>319</v>
      </c>
      <c r="C10" s="214" t="s">
        <v>395</v>
      </c>
      <c r="D10" s="214">
        <v>2</v>
      </c>
      <c r="E10" s="224"/>
      <c r="F10" s="224"/>
      <c r="G10" s="234"/>
    </row>
    <row r="11" spans="1:8" s="142" customFormat="1" ht="27.6" x14ac:dyDescent="0.25">
      <c r="A11" s="137">
        <v>4</v>
      </c>
      <c r="B11" s="214" t="s">
        <v>419</v>
      </c>
      <c r="C11" s="214" t="s">
        <v>396</v>
      </c>
      <c r="D11" s="214">
        <v>1</v>
      </c>
      <c r="E11" s="224"/>
      <c r="F11" s="224"/>
      <c r="G11" s="234"/>
    </row>
    <row r="12" spans="1:8" s="142" customFormat="1" ht="27.6" x14ac:dyDescent="0.25">
      <c r="A12" s="137">
        <v>5</v>
      </c>
      <c r="B12" s="214" t="s">
        <v>420</v>
      </c>
      <c r="C12" s="214" t="s">
        <v>397</v>
      </c>
      <c r="D12" s="214">
        <v>2</v>
      </c>
      <c r="E12" s="224"/>
      <c r="F12" s="224"/>
      <c r="G12" s="234"/>
    </row>
    <row r="13" spans="1:8" s="142" customFormat="1" ht="13.8" x14ac:dyDescent="0.25">
      <c r="A13" s="137">
        <v>6</v>
      </c>
      <c r="B13" s="214" t="s">
        <v>421</v>
      </c>
      <c r="C13" s="214" t="s">
        <v>398</v>
      </c>
      <c r="D13" s="214">
        <v>1</v>
      </c>
      <c r="E13" s="224"/>
      <c r="F13" s="224"/>
      <c r="G13" s="234"/>
    </row>
    <row r="14" spans="1:8" s="142" customFormat="1" ht="13.8" x14ac:dyDescent="0.25">
      <c r="A14" s="137">
        <v>7</v>
      </c>
      <c r="B14" s="214" t="s">
        <v>407</v>
      </c>
      <c r="C14" s="214" t="s">
        <v>399</v>
      </c>
      <c r="D14" s="214">
        <v>1</v>
      </c>
      <c r="E14" s="224"/>
      <c r="F14" s="224"/>
      <c r="G14" s="234"/>
    </row>
    <row r="15" spans="1:8" s="142" customFormat="1" ht="27.6" x14ac:dyDescent="0.25">
      <c r="A15" s="137">
        <v>8</v>
      </c>
      <c r="B15" s="214" t="s">
        <v>428</v>
      </c>
      <c r="C15" s="214" t="s">
        <v>400</v>
      </c>
      <c r="D15" s="214">
        <v>1</v>
      </c>
      <c r="E15" s="224"/>
      <c r="F15" s="224"/>
      <c r="G15" s="234"/>
    </row>
    <row r="16" spans="1:8" s="142" customFormat="1" ht="27.6" x14ac:dyDescent="0.25">
      <c r="A16" s="137">
        <v>9</v>
      </c>
      <c r="B16" s="214" t="s">
        <v>427</v>
      </c>
      <c r="C16" s="214" t="s">
        <v>401</v>
      </c>
      <c r="D16" s="214">
        <v>1</v>
      </c>
      <c r="E16" s="224"/>
      <c r="F16" s="224"/>
      <c r="G16" s="234"/>
    </row>
    <row r="17" spans="1:7" s="142" customFormat="1" ht="27.6" x14ac:dyDescent="0.25">
      <c r="A17" s="137">
        <v>10</v>
      </c>
      <c r="B17" s="214" t="s">
        <v>426</v>
      </c>
      <c r="C17" s="214" t="s">
        <v>402</v>
      </c>
      <c r="D17" s="214">
        <v>1</v>
      </c>
      <c r="E17" s="224"/>
      <c r="F17" s="224"/>
      <c r="G17" s="234"/>
    </row>
    <row r="18" spans="1:7" s="142" customFormat="1" x14ac:dyDescent="0.25">
      <c r="A18" s="135"/>
      <c r="B18" s="136"/>
      <c r="C18" s="136"/>
      <c r="D18" s="128"/>
      <c r="E18" s="224"/>
      <c r="F18" s="224"/>
      <c r="G18" s="234"/>
    </row>
    <row r="19" spans="1:7" ht="13.8" x14ac:dyDescent="0.25">
      <c r="A19" s="338" t="s">
        <v>184</v>
      </c>
      <c r="B19" s="338"/>
      <c r="C19" s="338"/>
      <c r="D19" s="338"/>
    </row>
    <row r="20" spans="1:7" ht="13.8" x14ac:dyDescent="0.25">
      <c r="A20" s="338" t="s">
        <v>77</v>
      </c>
      <c r="B20" s="338"/>
      <c r="C20" s="338"/>
      <c r="D20" s="338"/>
    </row>
    <row r="21" spans="1:7" ht="30" customHeight="1" x14ac:dyDescent="0.25">
      <c r="A21" s="343" t="str">
        <f xml:space="preserve"> INDEX(реестр!N:N, F1+8)</f>
        <v>Сураев С.П.</v>
      </c>
      <c r="B21" s="343"/>
      <c r="C21" s="343"/>
      <c r="D21" s="343"/>
      <c r="F21" s="223"/>
      <c r="G21" s="143"/>
    </row>
    <row r="22" spans="1:7" ht="13.8" x14ac:dyDescent="0.25">
      <c r="A22" s="342" t="s">
        <v>26</v>
      </c>
      <c r="B22" s="342"/>
      <c r="C22" s="342"/>
      <c r="D22" s="342"/>
    </row>
    <row r="23" spans="1:7" ht="13.8" x14ac:dyDescent="0.25">
      <c r="A23" s="338" t="s">
        <v>185</v>
      </c>
      <c r="B23" s="338"/>
      <c r="C23" s="338"/>
      <c r="D23" s="338"/>
    </row>
    <row r="24" spans="1:7" ht="13.8" x14ac:dyDescent="0.25">
      <c r="A24" s="338" t="s">
        <v>80</v>
      </c>
      <c r="B24" s="338"/>
      <c r="C24" s="338"/>
      <c r="D24" s="338"/>
    </row>
    <row r="25" spans="1:7" ht="30" customHeight="1" x14ac:dyDescent="0.25">
      <c r="A25" s="343" t="s">
        <v>76</v>
      </c>
      <c r="B25" s="343"/>
      <c r="C25" s="343"/>
      <c r="D25" s="343"/>
    </row>
    <row r="26" spans="1:7" ht="13.8" x14ac:dyDescent="0.25">
      <c r="A26" s="342" t="s">
        <v>26</v>
      </c>
      <c r="B26" s="342"/>
      <c r="C26" s="342"/>
      <c r="D26" s="342"/>
    </row>
    <row r="27" spans="1:7" ht="13.8" x14ac:dyDescent="0.25">
      <c r="A27" s="344" t="s">
        <v>66</v>
      </c>
      <c r="B27" s="344"/>
      <c r="C27" s="344"/>
      <c r="D27" s="344"/>
    </row>
    <row r="28" spans="1:7" ht="30" customHeight="1" x14ac:dyDescent="0.25">
      <c r="A28" s="343" t="s">
        <v>82</v>
      </c>
      <c r="B28" s="343"/>
      <c r="C28" s="343"/>
      <c r="D28" s="343"/>
    </row>
    <row r="29" spans="1:7" ht="13.8" x14ac:dyDescent="0.25">
      <c r="A29" s="342" t="s">
        <v>26</v>
      </c>
      <c r="B29" s="342"/>
      <c r="C29" s="342"/>
      <c r="D29" s="342"/>
    </row>
    <row r="30" spans="1:7" ht="13.8" x14ac:dyDescent="0.25">
      <c r="A30" s="344" t="s">
        <v>186</v>
      </c>
      <c r="B30" s="344"/>
      <c r="C30" s="344"/>
      <c r="D30" s="344"/>
    </row>
    <row r="31" spans="1:7" ht="30" customHeight="1" x14ac:dyDescent="0.25">
      <c r="A31" s="343" t="s">
        <v>256</v>
      </c>
      <c r="B31" s="343"/>
      <c r="C31" s="343"/>
      <c r="D31" s="343"/>
    </row>
    <row r="32" spans="1:7" ht="13.8" x14ac:dyDescent="0.25">
      <c r="A32" s="342" t="s">
        <v>26</v>
      </c>
      <c r="B32" s="342"/>
      <c r="C32" s="342"/>
      <c r="D32" s="342"/>
    </row>
  </sheetData>
  <mergeCells count="19">
    <mergeCell ref="E5:H5"/>
    <mergeCell ref="A19:D19"/>
    <mergeCell ref="A25:D25"/>
    <mergeCell ref="C1:D1"/>
    <mergeCell ref="B2:D2"/>
    <mergeCell ref="A4:D4"/>
    <mergeCell ref="A5:D5"/>
    <mergeCell ref="A20:D20"/>
    <mergeCell ref="A21:D21"/>
    <mergeCell ref="A22:D22"/>
    <mergeCell ref="A23:D23"/>
    <mergeCell ref="A24:D24"/>
    <mergeCell ref="A32:D32"/>
    <mergeCell ref="A26:D26"/>
    <mergeCell ref="A27:D27"/>
    <mergeCell ref="A28:D28"/>
    <mergeCell ref="A29:D29"/>
    <mergeCell ref="A30:D30"/>
    <mergeCell ref="A31:D31"/>
  </mergeCells>
  <pageMargins left="0.7" right="0.7" top="0.75" bottom="0.75" header="0.3" footer="0.3"/>
  <pageSetup paperSize="9" scale="78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588856-5A75-4B9D-8AB8-2302EFE82595}">
  <sheetPr codeName="Лист50">
    <tabColor theme="5" tint="0.39997558519241921"/>
  </sheetPr>
  <dimension ref="A1:I31"/>
  <sheetViews>
    <sheetView view="pageBreakPreview" zoomScale="98" zoomScaleNormal="115" zoomScaleSheetLayoutView="115" workbookViewId="0">
      <selection activeCell="F2" sqref="F2"/>
    </sheetView>
  </sheetViews>
  <sheetFormatPr defaultColWidth="9.109375" defaultRowHeight="15.6" x14ac:dyDescent="0.25"/>
  <cols>
    <col min="1" max="1" width="5.88671875" style="135" customWidth="1"/>
    <col min="2" max="2" width="55.44140625" style="136" customWidth="1"/>
    <col min="3" max="3" width="42.6640625" style="136" customWidth="1"/>
    <col min="4" max="4" width="9.33203125" style="128" customWidth="1"/>
    <col min="5" max="5" width="9.88671875" style="143" customWidth="1"/>
    <col min="6" max="7" width="9.109375" style="143"/>
    <col min="8" max="8" width="63.44140625" style="143" customWidth="1"/>
    <col min="9" max="9" width="36.6640625" style="143" customWidth="1"/>
    <col min="10" max="16384" width="9.109375" style="143"/>
  </cols>
  <sheetData>
    <row r="1" spans="1:9" ht="17.399999999999999" thickBot="1" x14ac:dyDescent="0.3">
      <c r="A1" s="126"/>
      <c r="B1" s="127"/>
      <c r="C1" s="339" t="s">
        <v>195</v>
      </c>
      <c r="D1" s="339"/>
      <c r="E1" s="225"/>
      <c r="F1" s="226">
        <v>30</v>
      </c>
      <c r="G1" s="223"/>
      <c r="H1" s="223"/>
    </row>
    <row r="2" spans="1:9" x14ac:dyDescent="0.25">
      <c r="A2" s="129"/>
      <c r="B2" s="340" t="str">
        <f xml:space="preserve"> CONCATENATE("к АОСР ",A5)</f>
        <v>к АОСР № АИР-М-1.2-61.17-АР-30 от 25.04.2024</v>
      </c>
      <c r="C2" s="340"/>
      <c r="D2" s="340"/>
    </row>
    <row r="3" spans="1:9" ht="16.8" x14ac:dyDescent="0.3">
      <c r="A3" s="126"/>
      <c r="B3" s="126"/>
      <c r="C3" s="130"/>
      <c r="D3" s="130"/>
    </row>
    <row r="4" spans="1:9" ht="13.8" x14ac:dyDescent="0.25">
      <c r="A4" s="341" t="s">
        <v>179</v>
      </c>
      <c r="B4" s="341"/>
      <c r="C4" s="341"/>
      <c r="D4" s="341"/>
    </row>
    <row r="5" spans="1:9" ht="15" customHeight="1" x14ac:dyDescent="0.25">
      <c r="A5" s="341" t="str">
        <f>CONCATENATE("№ ", INDEX(реестр!B:B, F1+8), " от ", TEXT(INDEX(реестр!C:C, F1+8), "ДД.ММ.ГГГГ"))</f>
        <v>№ АИР-М-1.2-61.17-АР-30 от 25.04.2024</v>
      </c>
      <c r="B5" s="341"/>
      <c r="C5" s="341"/>
      <c r="D5" s="341"/>
      <c r="F5" s="341"/>
      <c r="G5" s="341"/>
      <c r="H5" s="341"/>
      <c r="I5" s="341"/>
    </row>
    <row r="6" spans="1:9" s="142" customFormat="1" ht="16.8" x14ac:dyDescent="0.3">
      <c r="A6" s="131"/>
      <c r="B6" s="131"/>
      <c r="C6" s="131"/>
      <c r="D6" s="132"/>
    </row>
    <row r="7" spans="1:9" s="142" customFormat="1" ht="27.6" x14ac:dyDescent="0.25">
      <c r="A7" s="133" t="s">
        <v>180</v>
      </c>
      <c r="B7" s="133" t="s">
        <v>181</v>
      </c>
      <c r="C7" s="133" t="s">
        <v>182</v>
      </c>
      <c r="D7" s="134" t="s">
        <v>183</v>
      </c>
    </row>
    <row r="8" spans="1:9" s="142" customFormat="1" ht="27.6" x14ac:dyDescent="0.25">
      <c r="A8" s="137">
        <v>1</v>
      </c>
      <c r="B8" s="214" t="s">
        <v>628</v>
      </c>
      <c r="C8" s="214" t="s">
        <v>379</v>
      </c>
      <c r="D8" s="214">
        <v>1</v>
      </c>
    </row>
    <row r="9" spans="1:9" s="142" customFormat="1" ht="27.6" x14ac:dyDescent="0.25">
      <c r="A9" s="137">
        <v>2</v>
      </c>
      <c r="B9" s="214" t="s">
        <v>410</v>
      </c>
      <c r="C9" s="214" t="s">
        <v>380</v>
      </c>
      <c r="D9" s="214">
        <v>1</v>
      </c>
    </row>
    <row r="10" spans="1:9" s="142" customFormat="1" ht="27.6" x14ac:dyDescent="0.25">
      <c r="A10" s="137">
        <v>3</v>
      </c>
      <c r="B10" s="214" t="s">
        <v>629</v>
      </c>
      <c r="C10" s="214" t="s">
        <v>386</v>
      </c>
      <c r="D10" s="214">
        <v>1</v>
      </c>
    </row>
    <row r="11" spans="1:9" s="142" customFormat="1" ht="27.6" x14ac:dyDescent="0.25">
      <c r="A11" s="137">
        <v>4</v>
      </c>
      <c r="B11" s="214" t="s">
        <v>413</v>
      </c>
      <c r="C11" s="214" t="s">
        <v>387</v>
      </c>
      <c r="D11" s="214">
        <v>2</v>
      </c>
    </row>
    <row r="12" spans="1:9" s="142" customFormat="1" ht="27.6" x14ac:dyDescent="0.25">
      <c r="A12" s="137">
        <v>5</v>
      </c>
      <c r="B12" s="214" t="s">
        <v>413</v>
      </c>
      <c r="C12" s="214" t="s">
        <v>388</v>
      </c>
      <c r="D12" s="214">
        <v>2</v>
      </c>
    </row>
    <row r="13" spans="1:9" s="142" customFormat="1" ht="27.6" x14ac:dyDescent="0.25">
      <c r="A13" s="137">
        <v>6</v>
      </c>
      <c r="B13" s="214" t="s">
        <v>414</v>
      </c>
      <c r="C13" s="214" t="s">
        <v>389</v>
      </c>
      <c r="D13" s="214">
        <v>2</v>
      </c>
      <c r="H13" s="219"/>
    </row>
    <row r="14" spans="1:9" s="142" customFormat="1" ht="27.6" x14ac:dyDescent="0.25">
      <c r="A14" s="137">
        <v>7</v>
      </c>
      <c r="B14" s="214" t="s">
        <v>630</v>
      </c>
      <c r="C14" s="214" t="s">
        <v>390</v>
      </c>
      <c r="D14" s="214">
        <v>1</v>
      </c>
    </row>
    <row r="15" spans="1:9" s="142" customFormat="1" ht="27.6" x14ac:dyDescent="0.25">
      <c r="A15" s="137">
        <v>8</v>
      </c>
      <c r="B15" s="214" t="s">
        <v>415</v>
      </c>
      <c r="C15" s="214" t="s">
        <v>391</v>
      </c>
      <c r="D15" s="214">
        <v>2</v>
      </c>
    </row>
    <row r="16" spans="1:9" s="142" customFormat="1" ht="27.6" x14ac:dyDescent="0.25">
      <c r="A16" s="137">
        <v>9</v>
      </c>
      <c r="B16" s="214" t="s">
        <v>416</v>
      </c>
      <c r="C16" s="214" t="s">
        <v>392</v>
      </c>
      <c r="D16" s="214">
        <v>2</v>
      </c>
    </row>
    <row r="17" spans="1:6" s="142" customFormat="1" x14ac:dyDescent="0.25">
      <c r="A17" s="135"/>
      <c r="B17" s="136"/>
      <c r="C17" s="136"/>
      <c r="D17" s="128"/>
    </row>
    <row r="18" spans="1:6" ht="13.8" x14ac:dyDescent="0.25">
      <c r="A18" s="338" t="s">
        <v>184</v>
      </c>
      <c r="B18" s="338"/>
      <c r="C18" s="338"/>
      <c r="D18" s="338"/>
    </row>
    <row r="19" spans="1:6" ht="13.8" x14ac:dyDescent="0.25">
      <c r="A19" s="338" t="s">
        <v>77</v>
      </c>
      <c r="B19" s="338"/>
      <c r="C19" s="338"/>
      <c r="D19" s="338"/>
    </row>
    <row r="20" spans="1:6" ht="30" customHeight="1" x14ac:dyDescent="0.25">
      <c r="A20" s="343" t="str">
        <f xml:space="preserve"> INDEX(реестр!N:N, F1+8)</f>
        <v>Алгушаев Р.Р.</v>
      </c>
      <c r="B20" s="343"/>
      <c r="C20" s="343"/>
      <c r="D20" s="343"/>
      <c r="E20" s="224"/>
      <c r="F20" s="223"/>
    </row>
    <row r="21" spans="1:6" ht="13.8" x14ac:dyDescent="0.25">
      <c r="A21" s="342" t="s">
        <v>26</v>
      </c>
      <c r="B21" s="342"/>
      <c r="C21" s="342"/>
      <c r="D21" s="342"/>
    </row>
    <row r="22" spans="1:6" ht="13.8" x14ac:dyDescent="0.25">
      <c r="A22" s="338" t="s">
        <v>185</v>
      </c>
      <c r="B22" s="338"/>
      <c r="C22" s="338"/>
      <c r="D22" s="338"/>
    </row>
    <row r="23" spans="1:6" ht="13.8" x14ac:dyDescent="0.25">
      <c r="A23" s="338" t="s">
        <v>80</v>
      </c>
      <c r="B23" s="338"/>
      <c r="C23" s="338"/>
      <c r="D23" s="338"/>
    </row>
    <row r="24" spans="1:6" ht="30" customHeight="1" x14ac:dyDescent="0.25">
      <c r="A24" s="343" t="s">
        <v>76</v>
      </c>
      <c r="B24" s="343"/>
      <c r="C24" s="343"/>
      <c r="D24" s="343"/>
    </row>
    <row r="25" spans="1:6" ht="13.8" x14ac:dyDescent="0.25">
      <c r="A25" s="342" t="s">
        <v>26</v>
      </c>
      <c r="B25" s="342"/>
      <c r="C25" s="342"/>
      <c r="D25" s="342"/>
    </row>
    <row r="26" spans="1:6" ht="13.8" x14ac:dyDescent="0.25">
      <c r="A26" s="344" t="s">
        <v>66</v>
      </c>
      <c r="B26" s="344"/>
      <c r="C26" s="344"/>
      <c r="D26" s="344"/>
    </row>
    <row r="27" spans="1:6" ht="30" customHeight="1" x14ac:dyDescent="0.25">
      <c r="A27" s="343" t="s">
        <v>82</v>
      </c>
      <c r="B27" s="343"/>
      <c r="C27" s="343"/>
      <c r="D27" s="343"/>
    </row>
    <row r="28" spans="1:6" ht="13.8" x14ac:dyDescent="0.25">
      <c r="A28" s="342" t="s">
        <v>26</v>
      </c>
      <c r="B28" s="342"/>
      <c r="C28" s="342"/>
      <c r="D28" s="342"/>
    </row>
    <row r="29" spans="1:6" ht="13.8" x14ac:dyDescent="0.25">
      <c r="A29" s="344" t="s">
        <v>186</v>
      </c>
      <c r="B29" s="344"/>
      <c r="C29" s="344"/>
      <c r="D29" s="344"/>
    </row>
    <row r="30" spans="1:6" ht="30" customHeight="1" x14ac:dyDescent="0.25">
      <c r="A30" s="343" t="s">
        <v>256</v>
      </c>
      <c r="B30" s="343"/>
      <c r="C30" s="343"/>
      <c r="D30" s="343"/>
    </row>
    <row r="31" spans="1:6" ht="13.8" x14ac:dyDescent="0.25">
      <c r="A31" s="342" t="s">
        <v>26</v>
      </c>
      <c r="B31" s="342"/>
      <c r="C31" s="342"/>
      <c r="D31" s="342"/>
    </row>
  </sheetData>
  <mergeCells count="19">
    <mergeCell ref="F5:I5"/>
    <mergeCell ref="A18:D18"/>
    <mergeCell ref="A24:D24"/>
    <mergeCell ref="C1:D1"/>
    <mergeCell ref="B2:D2"/>
    <mergeCell ref="A4:D4"/>
    <mergeCell ref="A5:D5"/>
    <mergeCell ref="A19:D19"/>
    <mergeCell ref="A20:D20"/>
    <mergeCell ref="A21:D21"/>
    <mergeCell ref="A22:D22"/>
    <mergeCell ref="A23:D23"/>
    <mergeCell ref="A31:D31"/>
    <mergeCell ref="A25:D25"/>
    <mergeCell ref="A26:D26"/>
    <mergeCell ref="A27:D27"/>
    <mergeCell ref="A28:D28"/>
    <mergeCell ref="A29:D29"/>
    <mergeCell ref="A30:D30"/>
  </mergeCells>
  <pageMargins left="0.7" right="0.7" top="0.75" bottom="0.75" header="0.3" footer="0.3"/>
  <pageSetup paperSize="9" scale="78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429D4D-1F95-42E0-9976-F43D4E05C11D}">
  <sheetPr codeName="Лист59">
    <tabColor theme="5" tint="0.39997558519241921"/>
  </sheetPr>
  <dimension ref="A1:K34"/>
  <sheetViews>
    <sheetView view="pageBreakPreview" zoomScale="115" zoomScaleNormal="115" zoomScaleSheetLayoutView="115" workbookViewId="0">
      <selection activeCell="F2" sqref="F2"/>
    </sheetView>
  </sheetViews>
  <sheetFormatPr defaultColWidth="9.109375" defaultRowHeight="15.6" x14ac:dyDescent="0.25"/>
  <cols>
    <col min="1" max="1" width="5.88671875" style="135" customWidth="1"/>
    <col min="2" max="2" width="55.44140625" style="136" customWidth="1"/>
    <col min="3" max="3" width="42.6640625" style="136" customWidth="1"/>
    <col min="4" max="4" width="9.33203125" style="128" customWidth="1"/>
    <col min="5" max="5" width="10.6640625" style="224" customWidth="1"/>
    <col min="6" max="6" width="5.33203125" style="224" customWidth="1"/>
    <col min="7" max="7" width="10.6640625" style="223" customWidth="1"/>
    <col min="8" max="8" width="10.6640625" style="143" customWidth="1"/>
    <col min="9" max="9" width="9.109375" style="143"/>
    <col min="10" max="10" width="11.6640625" style="143" customWidth="1"/>
    <col min="11" max="11" width="12" style="143" customWidth="1"/>
    <col min="12" max="16384" width="9.109375" style="143"/>
  </cols>
  <sheetData>
    <row r="1" spans="1:8" ht="17.399999999999999" thickBot="1" x14ac:dyDescent="0.3">
      <c r="A1" s="126"/>
      <c r="B1" s="127"/>
      <c r="C1" s="339" t="s">
        <v>195</v>
      </c>
      <c r="D1" s="339"/>
      <c r="E1" s="225"/>
      <c r="F1" s="226">
        <v>33</v>
      </c>
      <c r="H1" s="223"/>
    </row>
    <row r="2" spans="1:8" x14ac:dyDescent="0.25">
      <c r="A2" s="129"/>
      <c r="B2" s="340" t="str">
        <f xml:space="preserve"> CONCATENATE("к АОСР ",A5)</f>
        <v>к АОСР № АИР-М-1.2-61.17-АР-33 от 14.05.2024</v>
      </c>
      <c r="C2" s="340"/>
      <c r="D2" s="340"/>
    </row>
    <row r="3" spans="1:8" ht="16.8" x14ac:dyDescent="0.3">
      <c r="A3" s="126"/>
      <c r="B3" s="126"/>
      <c r="C3" s="130"/>
      <c r="D3" s="130"/>
    </row>
    <row r="4" spans="1:8" ht="13.8" x14ac:dyDescent="0.25">
      <c r="A4" s="341" t="s">
        <v>179</v>
      </c>
      <c r="B4" s="341"/>
      <c r="C4" s="341"/>
      <c r="D4" s="341"/>
    </row>
    <row r="5" spans="1:8" ht="13.8" x14ac:dyDescent="0.25">
      <c r="A5" s="341" t="str">
        <f>CONCATENATE("№ ", INDEX(реестр!B:B, F1+8), " от ", TEXT(INDEX(реестр!C:C, F1+8), "ДД.ММ.ГГГГ"))</f>
        <v>№ АИР-М-1.2-61.17-АР-33 от 14.05.2024</v>
      </c>
      <c r="B5" s="341"/>
      <c r="C5" s="341"/>
      <c r="D5" s="341"/>
      <c r="E5" s="341"/>
      <c r="F5" s="341"/>
      <c r="G5" s="341"/>
      <c r="H5" s="341"/>
    </row>
    <row r="6" spans="1:8" s="142" customFormat="1" ht="16.8" x14ac:dyDescent="0.3">
      <c r="A6" s="131"/>
      <c r="B6" s="131"/>
      <c r="C6" s="131"/>
      <c r="D6" s="132"/>
      <c r="E6" s="224"/>
      <c r="F6" s="224"/>
      <c r="G6" s="234"/>
    </row>
    <row r="7" spans="1:8" s="142" customFormat="1" ht="27.6" x14ac:dyDescent="0.25">
      <c r="A7" s="133" t="s">
        <v>180</v>
      </c>
      <c r="B7" s="133" t="s">
        <v>181</v>
      </c>
      <c r="C7" s="133" t="s">
        <v>182</v>
      </c>
      <c r="D7" s="134" t="s">
        <v>183</v>
      </c>
      <c r="E7" s="224"/>
      <c r="F7" s="224"/>
      <c r="G7" s="234"/>
    </row>
    <row r="8" spans="1:8" s="142" customFormat="1" ht="27.6" x14ac:dyDescent="0.25">
      <c r="A8" s="137">
        <v>1</v>
      </c>
      <c r="B8" s="214" t="s">
        <v>631</v>
      </c>
      <c r="C8" s="214" t="s">
        <v>379</v>
      </c>
      <c r="D8" s="214">
        <v>1</v>
      </c>
    </row>
    <row r="9" spans="1:8" s="142" customFormat="1" ht="27.6" x14ac:dyDescent="0.25">
      <c r="A9" s="137">
        <v>2</v>
      </c>
      <c r="B9" s="214" t="s">
        <v>410</v>
      </c>
      <c r="C9" s="214" t="s">
        <v>380</v>
      </c>
      <c r="D9" s="214">
        <v>1</v>
      </c>
    </row>
    <row r="10" spans="1:8" s="142" customFormat="1" ht="27.6" x14ac:dyDescent="0.25">
      <c r="A10" s="137">
        <v>3</v>
      </c>
      <c r="B10" s="214" t="s">
        <v>412</v>
      </c>
      <c r="C10" s="214" t="s">
        <v>381</v>
      </c>
      <c r="D10" s="214">
        <v>1</v>
      </c>
    </row>
    <row r="11" spans="1:8" s="142" customFormat="1" ht="27.6" x14ac:dyDescent="0.25">
      <c r="A11" s="137">
        <v>4</v>
      </c>
      <c r="B11" s="214" t="s">
        <v>411</v>
      </c>
      <c r="C11" s="214" t="s">
        <v>382</v>
      </c>
      <c r="D11" s="214">
        <v>1</v>
      </c>
    </row>
    <row r="12" spans="1:8" s="142" customFormat="1" ht="27.6" x14ac:dyDescent="0.25">
      <c r="A12" s="137">
        <v>5</v>
      </c>
      <c r="B12" s="214" t="s">
        <v>411</v>
      </c>
      <c r="C12" s="214" t="s">
        <v>383</v>
      </c>
      <c r="D12" s="214">
        <v>1</v>
      </c>
    </row>
    <row r="13" spans="1:8" s="142" customFormat="1" ht="27.6" x14ac:dyDescent="0.25">
      <c r="A13" s="137">
        <v>6</v>
      </c>
      <c r="B13" s="214" t="s">
        <v>632</v>
      </c>
      <c r="C13" s="214" t="s">
        <v>386</v>
      </c>
      <c r="D13" s="214">
        <v>1</v>
      </c>
    </row>
    <row r="14" spans="1:8" s="142" customFormat="1" ht="27.6" x14ac:dyDescent="0.25">
      <c r="A14" s="137">
        <v>7</v>
      </c>
      <c r="B14" s="214" t="s">
        <v>413</v>
      </c>
      <c r="C14" s="214" t="s">
        <v>387</v>
      </c>
      <c r="D14" s="214">
        <v>2</v>
      </c>
    </row>
    <row r="15" spans="1:8" s="142" customFormat="1" ht="27.6" x14ac:dyDescent="0.25">
      <c r="A15" s="137">
        <v>8</v>
      </c>
      <c r="B15" s="214" t="s">
        <v>413</v>
      </c>
      <c r="C15" s="214" t="s">
        <v>388</v>
      </c>
      <c r="D15" s="214">
        <v>2</v>
      </c>
    </row>
    <row r="16" spans="1:8" s="142" customFormat="1" ht="27.6" x14ac:dyDescent="0.25">
      <c r="A16" s="137">
        <v>9</v>
      </c>
      <c r="B16" s="214" t="s">
        <v>414</v>
      </c>
      <c r="C16" s="214" t="s">
        <v>389</v>
      </c>
      <c r="D16" s="214">
        <v>2</v>
      </c>
      <c r="H16" s="219"/>
    </row>
    <row r="17" spans="1:7" s="142" customFormat="1" ht="27.6" x14ac:dyDescent="0.25">
      <c r="A17" s="137">
        <v>10</v>
      </c>
      <c r="B17" s="214" t="s">
        <v>633</v>
      </c>
      <c r="C17" s="214" t="s">
        <v>390</v>
      </c>
      <c r="D17" s="214">
        <v>1</v>
      </c>
    </row>
    <row r="18" spans="1:7" s="142" customFormat="1" ht="27.6" x14ac:dyDescent="0.25">
      <c r="A18" s="137">
        <v>11</v>
      </c>
      <c r="B18" s="214" t="s">
        <v>415</v>
      </c>
      <c r="C18" s="214" t="s">
        <v>391</v>
      </c>
      <c r="D18" s="214">
        <v>2</v>
      </c>
    </row>
    <row r="19" spans="1:7" s="142" customFormat="1" ht="27.6" x14ac:dyDescent="0.25">
      <c r="A19" s="137">
        <v>12</v>
      </c>
      <c r="B19" s="214" t="s">
        <v>416</v>
      </c>
      <c r="C19" s="214" t="s">
        <v>392</v>
      </c>
      <c r="D19" s="214">
        <v>2</v>
      </c>
    </row>
    <row r="20" spans="1:7" s="142" customFormat="1" x14ac:dyDescent="0.25">
      <c r="A20" s="135"/>
      <c r="B20" s="136"/>
      <c r="C20" s="136"/>
      <c r="D20" s="128"/>
      <c r="E20" s="224"/>
      <c r="F20" s="224"/>
      <c r="G20" s="234"/>
    </row>
    <row r="21" spans="1:7" ht="13.8" x14ac:dyDescent="0.25">
      <c r="A21" s="338" t="s">
        <v>184</v>
      </c>
      <c r="B21" s="338"/>
      <c r="C21" s="338"/>
      <c r="D21" s="338"/>
    </row>
    <row r="22" spans="1:7" ht="13.8" x14ac:dyDescent="0.25">
      <c r="A22" s="338" t="s">
        <v>77</v>
      </c>
      <c r="B22" s="338"/>
      <c r="C22" s="338"/>
      <c r="D22" s="338"/>
    </row>
    <row r="23" spans="1:7" ht="30" customHeight="1" x14ac:dyDescent="0.25">
      <c r="A23" s="343" t="str">
        <f xml:space="preserve"> INDEX(реестр!N:N, F1+8)</f>
        <v>Серов А.В.</v>
      </c>
      <c r="B23" s="343"/>
      <c r="C23" s="343"/>
      <c r="D23" s="343"/>
      <c r="F23" s="223"/>
      <c r="G23" s="143"/>
    </row>
    <row r="24" spans="1:7" ht="13.8" x14ac:dyDescent="0.25">
      <c r="A24" s="342" t="s">
        <v>26</v>
      </c>
      <c r="B24" s="342"/>
      <c r="C24" s="342"/>
      <c r="D24" s="342"/>
    </row>
    <row r="25" spans="1:7" ht="13.8" x14ac:dyDescent="0.25">
      <c r="A25" s="338" t="s">
        <v>185</v>
      </c>
      <c r="B25" s="338"/>
      <c r="C25" s="338"/>
      <c r="D25" s="338"/>
    </row>
    <row r="26" spans="1:7" ht="13.8" x14ac:dyDescent="0.25">
      <c r="A26" s="338" t="s">
        <v>80</v>
      </c>
      <c r="B26" s="338"/>
      <c r="C26" s="338"/>
      <c r="D26" s="338"/>
    </row>
    <row r="27" spans="1:7" ht="30" customHeight="1" x14ac:dyDescent="0.25">
      <c r="A27" s="343" t="s">
        <v>76</v>
      </c>
      <c r="B27" s="343"/>
      <c r="C27" s="343"/>
      <c r="D27" s="343"/>
    </row>
    <row r="28" spans="1:7" ht="13.8" x14ac:dyDescent="0.25">
      <c r="A28" s="342" t="s">
        <v>26</v>
      </c>
      <c r="B28" s="342"/>
      <c r="C28" s="342"/>
      <c r="D28" s="342"/>
    </row>
    <row r="29" spans="1:7" ht="13.8" x14ac:dyDescent="0.25">
      <c r="A29" s="344" t="s">
        <v>66</v>
      </c>
      <c r="B29" s="344"/>
      <c r="C29" s="344"/>
      <c r="D29" s="344"/>
    </row>
    <row r="30" spans="1:7" ht="30" customHeight="1" x14ac:dyDescent="0.25">
      <c r="A30" s="343" t="s">
        <v>82</v>
      </c>
      <c r="B30" s="343"/>
      <c r="C30" s="343"/>
      <c r="D30" s="343"/>
    </row>
    <row r="31" spans="1:7" ht="13.8" x14ac:dyDescent="0.25">
      <c r="A31" s="342" t="s">
        <v>26</v>
      </c>
      <c r="B31" s="342"/>
      <c r="C31" s="342"/>
      <c r="D31" s="342"/>
    </row>
    <row r="32" spans="1:7" ht="13.8" x14ac:dyDescent="0.25">
      <c r="A32" s="344" t="s">
        <v>186</v>
      </c>
      <c r="B32" s="344"/>
      <c r="C32" s="344"/>
      <c r="D32" s="344"/>
    </row>
    <row r="33" spans="1:11" s="224" customFormat="1" ht="30" customHeight="1" x14ac:dyDescent="0.25">
      <c r="A33" s="343" t="s">
        <v>256</v>
      </c>
      <c r="B33" s="343"/>
      <c r="C33" s="343"/>
      <c r="D33" s="343"/>
      <c r="G33" s="223"/>
      <c r="H33" s="143"/>
      <c r="I33" s="143"/>
      <c r="J33" s="143"/>
      <c r="K33" s="143"/>
    </row>
    <row r="34" spans="1:11" s="224" customFormat="1" ht="13.8" x14ac:dyDescent="0.25">
      <c r="A34" s="342" t="s">
        <v>26</v>
      </c>
      <c r="B34" s="342"/>
      <c r="C34" s="342"/>
      <c r="D34" s="342"/>
      <c r="G34" s="223"/>
      <c r="H34" s="143"/>
      <c r="I34" s="143"/>
      <c r="J34" s="143"/>
      <c r="K34" s="143"/>
    </row>
  </sheetData>
  <mergeCells count="19">
    <mergeCell ref="A34:D34"/>
    <mergeCell ref="A28:D28"/>
    <mergeCell ref="A29:D29"/>
    <mergeCell ref="A30:D30"/>
    <mergeCell ref="A31:D31"/>
    <mergeCell ref="A32:D32"/>
    <mergeCell ref="A33:D33"/>
    <mergeCell ref="E5:H5"/>
    <mergeCell ref="A21:D21"/>
    <mergeCell ref="A27:D27"/>
    <mergeCell ref="C1:D1"/>
    <mergeCell ref="B2:D2"/>
    <mergeCell ref="A4:D4"/>
    <mergeCell ref="A5:D5"/>
    <mergeCell ref="A22:D22"/>
    <mergeCell ref="A23:D23"/>
    <mergeCell ref="A24:D24"/>
    <mergeCell ref="A25:D25"/>
    <mergeCell ref="A26:D26"/>
  </mergeCells>
  <pageMargins left="0.7" right="0.7" top="0.75" bottom="0.75" header="0.3" footer="0.3"/>
  <pageSetup paperSize="9" scale="78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AD040D-7087-4825-A048-349EDBB17DAD}">
  <sheetPr codeName="Лист111">
    <tabColor theme="5" tint="0.39997558519241921"/>
  </sheetPr>
  <dimension ref="A1:H36"/>
  <sheetViews>
    <sheetView view="pageBreakPreview" zoomScale="115" zoomScaleNormal="115" zoomScaleSheetLayoutView="115" workbookViewId="0">
      <selection activeCell="F2" sqref="F2"/>
    </sheetView>
  </sheetViews>
  <sheetFormatPr defaultColWidth="9.109375" defaultRowHeight="15.6" x14ac:dyDescent="0.25"/>
  <cols>
    <col min="1" max="1" width="5.88671875" style="135" customWidth="1"/>
    <col min="2" max="2" width="55.44140625" style="136" customWidth="1"/>
    <col min="3" max="3" width="42.6640625" style="136" customWidth="1"/>
    <col min="4" max="4" width="9.33203125" style="128" customWidth="1"/>
    <col min="5" max="5" width="10.6640625" style="224" customWidth="1"/>
    <col min="6" max="6" width="5.33203125" style="224" customWidth="1"/>
    <col min="7" max="7" width="10.6640625" style="223" customWidth="1"/>
    <col min="8" max="8" width="10.6640625" style="143" customWidth="1"/>
    <col min="9" max="9" width="9.109375" style="143"/>
    <col min="10" max="10" width="11.6640625" style="143" customWidth="1"/>
    <col min="11" max="11" width="12" style="143" customWidth="1"/>
    <col min="12" max="16384" width="9.109375" style="143"/>
  </cols>
  <sheetData>
    <row r="1" spans="1:8" ht="17.399999999999999" thickBot="1" x14ac:dyDescent="0.3">
      <c r="A1" s="126"/>
      <c r="B1" s="127"/>
      <c r="C1" s="339" t="s">
        <v>195</v>
      </c>
      <c r="D1" s="339"/>
      <c r="E1" s="225"/>
      <c r="F1" s="226">
        <v>37</v>
      </c>
      <c r="H1" s="223"/>
    </row>
    <row r="2" spans="1:8" x14ac:dyDescent="0.25">
      <c r="A2" s="129"/>
      <c r="B2" s="340" t="str">
        <f xml:space="preserve"> CONCATENATE("к АОСР ",A5)</f>
        <v>к АОСР № АИР-М-1.2-61.17-АР-37 от 01.06.2024</v>
      </c>
      <c r="C2" s="340"/>
      <c r="D2" s="340"/>
    </row>
    <row r="3" spans="1:8" ht="16.8" x14ac:dyDescent="0.3">
      <c r="A3" s="126"/>
      <c r="B3" s="126"/>
      <c r="C3" s="130"/>
      <c r="D3" s="130"/>
    </row>
    <row r="4" spans="1:8" ht="13.8" x14ac:dyDescent="0.25">
      <c r="A4" s="341" t="s">
        <v>179</v>
      </c>
      <c r="B4" s="341"/>
      <c r="C4" s="341"/>
      <c r="D4" s="341"/>
    </row>
    <row r="5" spans="1:8" ht="13.8" x14ac:dyDescent="0.25">
      <c r="A5" s="341" t="str">
        <f>CONCATENATE("№ ", INDEX(реестр!B:B, F1+8), " от ", TEXT(INDEX(реестр!C:C, F1+8), "ДД.ММ.ГГГГ"))</f>
        <v>№ АИР-М-1.2-61.17-АР-37 от 01.06.2024</v>
      </c>
      <c r="B5" s="341"/>
      <c r="C5" s="341"/>
      <c r="D5" s="341"/>
      <c r="E5" s="341"/>
      <c r="F5" s="341"/>
      <c r="G5" s="341"/>
      <c r="H5" s="341"/>
    </row>
    <row r="6" spans="1:8" s="142" customFormat="1" ht="16.8" x14ac:dyDescent="0.3">
      <c r="A6" s="131"/>
      <c r="B6" s="131"/>
      <c r="C6" s="131"/>
      <c r="D6" s="132"/>
      <c r="E6" s="224"/>
      <c r="F6" s="224"/>
      <c r="G6" s="234"/>
    </row>
    <row r="7" spans="1:8" s="142" customFormat="1" ht="27.6" x14ac:dyDescent="0.25">
      <c r="A7" s="133" t="s">
        <v>180</v>
      </c>
      <c r="B7" s="133" t="s">
        <v>181</v>
      </c>
      <c r="C7" s="133" t="s">
        <v>182</v>
      </c>
      <c r="D7" s="134" t="s">
        <v>183</v>
      </c>
      <c r="E7" s="224"/>
      <c r="F7" s="224"/>
      <c r="G7" s="234"/>
    </row>
    <row r="8" spans="1:8" s="142" customFormat="1" ht="13.8" x14ac:dyDescent="0.25">
      <c r="A8" s="137">
        <v>1</v>
      </c>
      <c r="B8" s="214" t="s">
        <v>418</v>
      </c>
      <c r="C8" s="214" t="s">
        <v>393</v>
      </c>
      <c r="D8" s="214">
        <v>1</v>
      </c>
      <c r="E8" s="224"/>
      <c r="F8" s="224"/>
      <c r="G8" s="234"/>
    </row>
    <row r="9" spans="1:8" s="142" customFormat="1" ht="27.6" x14ac:dyDescent="0.25">
      <c r="A9" s="137">
        <v>2</v>
      </c>
      <c r="B9" s="214" t="s">
        <v>318</v>
      </c>
      <c r="C9" s="214" t="s">
        <v>394</v>
      </c>
      <c r="D9" s="214">
        <v>2</v>
      </c>
      <c r="E9" s="224"/>
      <c r="F9" s="224"/>
      <c r="G9" s="234"/>
    </row>
    <row r="10" spans="1:8" s="142" customFormat="1" ht="13.8" x14ac:dyDescent="0.25">
      <c r="A10" s="137">
        <v>3</v>
      </c>
      <c r="B10" s="214" t="s">
        <v>319</v>
      </c>
      <c r="C10" s="214" t="s">
        <v>395</v>
      </c>
      <c r="D10" s="214">
        <v>2</v>
      </c>
      <c r="E10" s="224"/>
      <c r="F10" s="224"/>
      <c r="G10" s="234"/>
    </row>
    <row r="11" spans="1:8" s="142" customFormat="1" ht="27.6" x14ac:dyDescent="0.25">
      <c r="A11" s="137">
        <v>4</v>
      </c>
      <c r="B11" s="214" t="s">
        <v>422</v>
      </c>
      <c r="C11" s="214" t="s">
        <v>396</v>
      </c>
      <c r="D11" s="214">
        <v>1</v>
      </c>
      <c r="E11" s="224"/>
      <c r="F11" s="224"/>
      <c r="G11" s="234"/>
    </row>
    <row r="12" spans="1:8" s="142" customFormat="1" ht="27.6" x14ac:dyDescent="0.25">
      <c r="A12" s="137">
        <v>5</v>
      </c>
      <c r="B12" s="214" t="s">
        <v>420</v>
      </c>
      <c r="C12" s="214" t="s">
        <v>397</v>
      </c>
      <c r="D12" s="214">
        <v>2</v>
      </c>
      <c r="E12" s="224"/>
      <c r="F12" s="224"/>
      <c r="G12" s="234"/>
    </row>
    <row r="13" spans="1:8" s="142" customFormat="1" ht="13.8" x14ac:dyDescent="0.25">
      <c r="A13" s="137">
        <v>6</v>
      </c>
      <c r="B13" s="214" t="s">
        <v>421</v>
      </c>
      <c r="C13" s="214" t="s">
        <v>398</v>
      </c>
      <c r="D13" s="214">
        <v>1</v>
      </c>
      <c r="E13" s="224"/>
      <c r="F13" s="224"/>
      <c r="G13" s="234"/>
    </row>
    <row r="14" spans="1:8" s="142" customFormat="1" ht="13.8" x14ac:dyDescent="0.25">
      <c r="A14" s="137">
        <v>7</v>
      </c>
      <c r="B14" s="214" t="s">
        <v>408</v>
      </c>
      <c r="C14" s="214" t="s">
        <v>399</v>
      </c>
      <c r="D14" s="214">
        <v>1</v>
      </c>
      <c r="E14" s="224"/>
      <c r="F14" s="224"/>
      <c r="G14" s="234"/>
    </row>
    <row r="15" spans="1:8" s="142" customFormat="1" ht="27.6" x14ac:dyDescent="0.25">
      <c r="A15" s="137">
        <v>8</v>
      </c>
      <c r="B15" s="214" t="s">
        <v>423</v>
      </c>
      <c r="C15" s="214" t="s">
        <v>404</v>
      </c>
      <c r="D15" s="214">
        <v>1</v>
      </c>
      <c r="E15" s="224"/>
      <c r="F15" s="224"/>
      <c r="G15" s="234"/>
    </row>
    <row r="16" spans="1:8" s="142" customFormat="1" ht="27.6" x14ac:dyDescent="0.25">
      <c r="A16" s="137">
        <v>9</v>
      </c>
      <c r="B16" s="214" t="s">
        <v>424</v>
      </c>
      <c r="C16" s="214" t="s">
        <v>405</v>
      </c>
      <c r="D16" s="214">
        <v>4</v>
      </c>
      <c r="E16" s="224"/>
      <c r="F16" s="224"/>
      <c r="G16" s="234"/>
    </row>
    <row r="17" spans="1:7" s="142" customFormat="1" ht="27.6" x14ac:dyDescent="0.25">
      <c r="A17" s="137">
        <v>10</v>
      </c>
      <c r="B17" s="214" t="s">
        <v>425</v>
      </c>
      <c r="C17" s="214" t="s">
        <v>406</v>
      </c>
      <c r="D17" s="214">
        <v>2</v>
      </c>
      <c r="E17" s="224"/>
      <c r="F17" s="224"/>
      <c r="G17" s="234"/>
    </row>
    <row r="18" spans="1:7" s="142" customFormat="1" ht="27.6" x14ac:dyDescent="0.25">
      <c r="A18" s="137">
        <v>11</v>
      </c>
      <c r="B18" s="214" t="s">
        <v>429</v>
      </c>
      <c r="C18" s="214" t="s">
        <v>400</v>
      </c>
      <c r="D18" s="214">
        <v>1</v>
      </c>
      <c r="E18" s="224"/>
      <c r="F18" s="224"/>
      <c r="G18" s="234"/>
    </row>
    <row r="19" spans="1:7" s="142" customFormat="1" ht="27.6" x14ac:dyDescent="0.25">
      <c r="A19" s="137">
        <v>12</v>
      </c>
      <c r="B19" s="214" t="s">
        <v>427</v>
      </c>
      <c r="C19" s="214" t="s">
        <v>401</v>
      </c>
      <c r="D19" s="214">
        <v>1</v>
      </c>
      <c r="E19" s="224"/>
      <c r="F19" s="224"/>
      <c r="G19" s="234"/>
    </row>
    <row r="20" spans="1:7" s="142" customFormat="1" ht="27.6" x14ac:dyDescent="0.25">
      <c r="A20" s="137">
        <v>13</v>
      </c>
      <c r="B20" s="214" t="s">
        <v>430</v>
      </c>
      <c r="C20" s="214" t="s">
        <v>402</v>
      </c>
      <c r="D20" s="214">
        <v>1</v>
      </c>
      <c r="E20" s="224"/>
      <c r="F20" s="224"/>
      <c r="G20" s="234"/>
    </row>
    <row r="21" spans="1:7" s="142" customFormat="1" ht="13.8" x14ac:dyDescent="0.25">
      <c r="A21" s="137">
        <v>14</v>
      </c>
      <c r="B21" s="214" t="s">
        <v>409</v>
      </c>
      <c r="C21" s="214" t="s">
        <v>403</v>
      </c>
      <c r="D21" s="214">
        <v>1</v>
      </c>
      <c r="E21" s="224"/>
      <c r="F21" s="224"/>
      <c r="G21" s="234"/>
    </row>
    <row r="22" spans="1:7" s="142" customFormat="1" x14ac:dyDescent="0.25">
      <c r="A22" s="135"/>
      <c r="B22" s="136"/>
      <c r="C22" s="136"/>
      <c r="D22" s="128"/>
      <c r="E22" s="224"/>
      <c r="F22" s="224"/>
      <c r="G22" s="234"/>
    </row>
    <row r="23" spans="1:7" ht="13.8" x14ac:dyDescent="0.25">
      <c r="A23" s="338" t="s">
        <v>184</v>
      </c>
      <c r="B23" s="338"/>
      <c r="C23" s="338"/>
      <c r="D23" s="338"/>
    </row>
    <row r="24" spans="1:7" ht="13.8" x14ac:dyDescent="0.25">
      <c r="A24" s="338" t="s">
        <v>77</v>
      </c>
      <c r="B24" s="338"/>
      <c r="C24" s="338"/>
      <c r="D24" s="338"/>
    </row>
    <row r="25" spans="1:7" ht="30" customHeight="1" x14ac:dyDescent="0.25">
      <c r="A25" s="343" t="str">
        <f xml:space="preserve"> INDEX(реестр!N:N, F1+8)</f>
        <v>Серов А.В.</v>
      </c>
      <c r="B25" s="343"/>
      <c r="C25" s="343"/>
      <c r="D25" s="343"/>
      <c r="F25" s="223"/>
      <c r="G25" s="143"/>
    </row>
    <row r="26" spans="1:7" ht="13.8" x14ac:dyDescent="0.25">
      <c r="A26" s="342" t="s">
        <v>26</v>
      </c>
      <c r="B26" s="342"/>
      <c r="C26" s="342"/>
      <c r="D26" s="342"/>
    </row>
    <row r="27" spans="1:7" ht="13.8" x14ac:dyDescent="0.25">
      <c r="A27" s="338" t="s">
        <v>185</v>
      </c>
      <c r="B27" s="338"/>
      <c r="C27" s="338"/>
      <c r="D27" s="338"/>
    </row>
    <row r="28" spans="1:7" ht="13.8" x14ac:dyDescent="0.25">
      <c r="A28" s="338" t="s">
        <v>80</v>
      </c>
      <c r="B28" s="338"/>
      <c r="C28" s="338"/>
      <c r="D28" s="338"/>
    </row>
    <row r="29" spans="1:7" ht="30" customHeight="1" x14ac:dyDescent="0.25">
      <c r="A29" s="343" t="s">
        <v>76</v>
      </c>
      <c r="B29" s="343"/>
      <c r="C29" s="343"/>
      <c r="D29" s="343"/>
    </row>
    <row r="30" spans="1:7" ht="13.8" x14ac:dyDescent="0.25">
      <c r="A30" s="342" t="s">
        <v>26</v>
      </c>
      <c r="B30" s="342"/>
      <c r="C30" s="342"/>
      <c r="D30" s="342"/>
    </row>
    <row r="31" spans="1:7" ht="13.8" x14ac:dyDescent="0.25">
      <c r="A31" s="344" t="s">
        <v>66</v>
      </c>
      <c r="B31" s="344"/>
      <c r="C31" s="344"/>
      <c r="D31" s="344"/>
    </row>
    <row r="32" spans="1:7" ht="30" customHeight="1" x14ac:dyDescent="0.25">
      <c r="A32" s="343" t="s">
        <v>82</v>
      </c>
      <c r="B32" s="343"/>
      <c r="C32" s="343"/>
      <c r="D32" s="343"/>
    </row>
    <row r="33" spans="1:4" ht="13.8" x14ac:dyDescent="0.25">
      <c r="A33" s="342" t="s">
        <v>26</v>
      </c>
      <c r="B33" s="342"/>
      <c r="C33" s="342"/>
      <c r="D33" s="342"/>
    </row>
    <row r="34" spans="1:4" ht="13.8" x14ac:dyDescent="0.25">
      <c r="A34" s="344" t="s">
        <v>186</v>
      </c>
      <c r="B34" s="344"/>
      <c r="C34" s="344"/>
      <c r="D34" s="344"/>
    </row>
    <row r="35" spans="1:4" ht="30" customHeight="1" x14ac:dyDescent="0.25">
      <c r="A35" s="343" t="s">
        <v>256</v>
      </c>
      <c r="B35" s="343"/>
      <c r="C35" s="343"/>
      <c r="D35" s="343"/>
    </row>
    <row r="36" spans="1:4" ht="13.8" x14ac:dyDescent="0.25">
      <c r="A36" s="342" t="s">
        <v>26</v>
      </c>
      <c r="B36" s="342"/>
      <c r="C36" s="342"/>
      <c r="D36" s="342"/>
    </row>
  </sheetData>
  <mergeCells count="19">
    <mergeCell ref="A36:D36"/>
    <mergeCell ref="A30:D30"/>
    <mergeCell ref="A31:D31"/>
    <mergeCell ref="A32:D32"/>
    <mergeCell ref="A33:D33"/>
    <mergeCell ref="A34:D34"/>
    <mergeCell ref="A35:D35"/>
    <mergeCell ref="E5:H5"/>
    <mergeCell ref="A23:D23"/>
    <mergeCell ref="A29:D29"/>
    <mergeCell ref="C1:D1"/>
    <mergeCell ref="B2:D2"/>
    <mergeCell ref="A4:D4"/>
    <mergeCell ref="A5:D5"/>
    <mergeCell ref="A24:D24"/>
    <mergeCell ref="A25:D25"/>
    <mergeCell ref="A26:D26"/>
    <mergeCell ref="A27:D27"/>
    <mergeCell ref="A28:D28"/>
  </mergeCells>
  <pageMargins left="0.7" right="0.7" top="0.75" bottom="0.75" header="0.3" footer="0.3"/>
  <pageSetup paperSize="9" scale="78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20B4EF-08EC-4CAA-B137-F1D6F9D6A22C}">
  <sheetPr codeName="Лист71">
    <tabColor rgb="FF00FF00"/>
  </sheetPr>
  <dimension ref="A1:I47"/>
  <sheetViews>
    <sheetView view="pageBreakPreview" zoomScale="51" zoomScaleNormal="115" zoomScaleSheetLayoutView="115" workbookViewId="0">
      <selection activeCell="C16" sqref="C16"/>
    </sheetView>
  </sheetViews>
  <sheetFormatPr defaultColWidth="9.109375" defaultRowHeight="15.6" x14ac:dyDescent="0.25"/>
  <cols>
    <col min="1" max="1" width="5.88671875" style="135" customWidth="1"/>
    <col min="2" max="2" width="55.44140625" style="136" customWidth="1"/>
    <col min="3" max="3" width="42.6640625" style="136" customWidth="1"/>
    <col min="4" max="4" width="9.33203125" style="128" customWidth="1"/>
    <col min="5" max="7" width="9.109375" style="143"/>
    <col min="8" max="8" width="63.44140625" style="143" customWidth="1"/>
    <col min="9" max="9" width="36.6640625" style="143" customWidth="1"/>
    <col min="10" max="16384" width="9.109375" style="143"/>
  </cols>
  <sheetData>
    <row r="1" spans="1:9" ht="17.399999999999999" thickBot="1" x14ac:dyDescent="0.3">
      <c r="A1" s="126"/>
      <c r="B1" s="127"/>
      <c r="C1" s="339" t="s">
        <v>195</v>
      </c>
      <c r="D1" s="339"/>
      <c r="E1" s="225"/>
      <c r="F1" s="226">
        <v>38</v>
      </c>
      <c r="G1" s="223"/>
      <c r="H1" s="223"/>
    </row>
    <row r="2" spans="1:9" x14ac:dyDescent="0.25">
      <c r="A2" s="129"/>
      <c r="B2" s="340" t="str">
        <f xml:space="preserve"> CONCATENATE("к АОСР ",A5)</f>
        <v>к АОСР № АИР-М-1.2-61.17-АР-38 от 19.03.2024</v>
      </c>
      <c r="C2" s="340"/>
      <c r="D2" s="340"/>
    </row>
    <row r="3" spans="1:9" ht="6" customHeight="1" x14ac:dyDescent="0.3">
      <c r="A3" s="126"/>
      <c r="B3" s="126"/>
      <c r="C3" s="130"/>
      <c r="D3" s="130"/>
    </row>
    <row r="4" spans="1:9" ht="13.8" x14ac:dyDescent="0.25">
      <c r="A4" s="341" t="s">
        <v>179</v>
      </c>
      <c r="B4" s="341"/>
      <c r="C4" s="341"/>
      <c r="D4" s="341"/>
    </row>
    <row r="5" spans="1:9" ht="15" customHeight="1" x14ac:dyDescent="0.25">
      <c r="A5" s="341" t="str">
        <f>CONCATENATE("№ ", INDEX(реестр!B:B, F1+8), " от ", TEXT(INDEX(реестр!C:C, F1+8), "ДД.ММ.ГГГГ"))</f>
        <v>№ АИР-М-1.2-61.17-АР-38 от 19.03.2024</v>
      </c>
      <c r="B5" s="341"/>
      <c r="C5" s="341"/>
      <c r="D5" s="341"/>
      <c r="F5" s="341"/>
      <c r="G5" s="341"/>
      <c r="H5" s="341"/>
      <c r="I5" s="341"/>
    </row>
    <row r="6" spans="1:9" s="142" customFormat="1" ht="6.6" customHeight="1" x14ac:dyDescent="0.3">
      <c r="A6" s="131"/>
      <c r="B6" s="131"/>
      <c r="C6" s="131"/>
      <c r="D6" s="132"/>
    </row>
    <row r="7" spans="1:9" s="142" customFormat="1" ht="27.6" x14ac:dyDescent="0.25">
      <c r="A7" s="133" t="s">
        <v>180</v>
      </c>
      <c r="B7" s="133" t="s">
        <v>181</v>
      </c>
      <c r="C7" s="133" t="s">
        <v>182</v>
      </c>
      <c r="D7" s="134" t="s">
        <v>183</v>
      </c>
    </row>
    <row r="8" spans="1:9" s="142" customFormat="1" ht="27.6" x14ac:dyDescent="0.25">
      <c r="A8" s="137">
        <v>1</v>
      </c>
      <c r="B8" s="214" t="s">
        <v>350</v>
      </c>
      <c r="C8" s="214" t="s">
        <v>200</v>
      </c>
      <c r="D8" s="214">
        <v>1</v>
      </c>
    </row>
    <row r="9" spans="1:9" s="142" customFormat="1" ht="27.6" x14ac:dyDescent="0.25">
      <c r="A9" s="137">
        <v>2</v>
      </c>
      <c r="B9" s="214" t="s">
        <v>266</v>
      </c>
      <c r="C9" s="214" t="s">
        <v>267</v>
      </c>
      <c r="D9" s="214">
        <v>1</v>
      </c>
    </row>
    <row r="10" spans="1:9" s="142" customFormat="1" ht="27.6" x14ac:dyDescent="0.25">
      <c r="A10" s="137">
        <v>3</v>
      </c>
      <c r="B10" s="214" t="s">
        <v>266</v>
      </c>
      <c r="C10" s="214" t="s">
        <v>337</v>
      </c>
      <c r="D10" s="214">
        <v>1</v>
      </c>
    </row>
    <row r="11" spans="1:9" s="142" customFormat="1" ht="27.6" x14ac:dyDescent="0.25">
      <c r="A11" s="137">
        <v>4</v>
      </c>
      <c r="B11" s="214" t="s">
        <v>651</v>
      </c>
      <c r="C11" s="214" t="s">
        <v>201</v>
      </c>
      <c r="D11" s="214">
        <v>1</v>
      </c>
    </row>
    <row r="12" spans="1:9" s="142" customFormat="1" ht="27.6" x14ac:dyDescent="0.25">
      <c r="A12" s="137">
        <v>5</v>
      </c>
      <c r="B12" s="214" t="s">
        <v>265</v>
      </c>
      <c r="C12" s="214" t="s">
        <v>267</v>
      </c>
      <c r="D12" s="214">
        <v>1</v>
      </c>
    </row>
    <row r="13" spans="1:9" s="142" customFormat="1" ht="27.6" x14ac:dyDescent="0.25">
      <c r="A13" s="137">
        <v>6</v>
      </c>
      <c r="B13" s="214" t="s">
        <v>265</v>
      </c>
      <c r="C13" s="214" t="s">
        <v>337</v>
      </c>
      <c r="D13" s="214">
        <v>1</v>
      </c>
    </row>
    <row r="14" spans="1:9" s="142" customFormat="1" ht="31.2" x14ac:dyDescent="0.25">
      <c r="A14" s="137">
        <v>7</v>
      </c>
      <c r="B14" s="216" t="s">
        <v>351</v>
      </c>
      <c r="C14" s="216" t="s">
        <v>342</v>
      </c>
      <c r="D14" s="214">
        <v>1</v>
      </c>
    </row>
    <row r="15" spans="1:9" s="142" customFormat="1" ht="27.6" x14ac:dyDescent="0.25">
      <c r="A15" s="137">
        <v>8</v>
      </c>
      <c r="B15" s="138" t="s">
        <v>338</v>
      </c>
      <c r="C15" s="138" t="s">
        <v>341</v>
      </c>
      <c r="D15" s="214">
        <v>1</v>
      </c>
    </row>
    <row r="16" spans="1:9" s="142" customFormat="1" ht="27.6" x14ac:dyDescent="0.25">
      <c r="A16" s="137">
        <v>13</v>
      </c>
      <c r="B16" s="214" t="s">
        <v>647</v>
      </c>
      <c r="C16" s="214" t="s">
        <v>655</v>
      </c>
      <c r="D16" s="214">
        <v>1</v>
      </c>
    </row>
    <row r="17" spans="1:4" s="142" customFormat="1" ht="27.6" x14ac:dyDescent="0.25">
      <c r="A17" s="137">
        <v>14</v>
      </c>
      <c r="B17" s="214" t="s">
        <v>203</v>
      </c>
      <c r="C17" s="214" t="s">
        <v>281</v>
      </c>
      <c r="D17" s="214">
        <v>1</v>
      </c>
    </row>
    <row r="18" spans="1:4" s="142" customFormat="1" ht="27.6" x14ac:dyDescent="0.25">
      <c r="A18" s="137">
        <v>15</v>
      </c>
      <c r="B18" s="214" t="s">
        <v>203</v>
      </c>
      <c r="C18" s="214" t="s">
        <v>280</v>
      </c>
      <c r="D18" s="214">
        <v>2</v>
      </c>
    </row>
    <row r="19" spans="1:4" s="142" customFormat="1" ht="27.6" x14ac:dyDescent="0.25">
      <c r="A19" s="137">
        <v>16</v>
      </c>
      <c r="B19" s="214" t="s">
        <v>204</v>
      </c>
      <c r="C19" s="214" t="s">
        <v>346</v>
      </c>
      <c r="D19" s="214">
        <v>3</v>
      </c>
    </row>
    <row r="20" spans="1:4" s="142" customFormat="1" ht="27.6" x14ac:dyDescent="0.25">
      <c r="A20" s="137">
        <v>17</v>
      </c>
      <c r="B20" s="214" t="s">
        <v>648</v>
      </c>
      <c r="C20" s="214" t="s">
        <v>278</v>
      </c>
      <c r="D20" s="214">
        <v>1</v>
      </c>
    </row>
    <row r="21" spans="1:4" s="142" customFormat="1" ht="27.6" x14ac:dyDescent="0.25">
      <c r="A21" s="137">
        <v>18</v>
      </c>
      <c r="B21" s="214" t="s">
        <v>202</v>
      </c>
      <c r="C21" s="214" t="s">
        <v>277</v>
      </c>
      <c r="D21" s="214">
        <v>1</v>
      </c>
    </row>
    <row r="22" spans="1:4" s="142" customFormat="1" ht="13.8" x14ac:dyDescent="0.25">
      <c r="A22" s="137">
        <v>19</v>
      </c>
      <c r="B22" s="214" t="s">
        <v>352</v>
      </c>
      <c r="C22" s="214" t="s">
        <v>283</v>
      </c>
      <c r="D22" s="214">
        <v>1</v>
      </c>
    </row>
    <row r="23" spans="1:4" s="142" customFormat="1" ht="27.6" x14ac:dyDescent="0.25">
      <c r="A23" s="137">
        <v>20</v>
      </c>
      <c r="B23" s="214" t="s">
        <v>284</v>
      </c>
      <c r="C23" s="214" t="s">
        <v>285</v>
      </c>
      <c r="D23" s="214">
        <v>2</v>
      </c>
    </row>
    <row r="24" spans="1:4" s="142" customFormat="1" ht="27.6" x14ac:dyDescent="0.25">
      <c r="A24" s="137">
        <v>21</v>
      </c>
      <c r="B24" s="214" t="s">
        <v>650</v>
      </c>
      <c r="C24" s="214" t="s">
        <v>286</v>
      </c>
      <c r="D24" s="214">
        <v>1</v>
      </c>
    </row>
    <row r="25" spans="1:4" s="142" customFormat="1" ht="27.6" x14ac:dyDescent="0.25">
      <c r="A25" s="137">
        <v>22</v>
      </c>
      <c r="B25" s="214" t="s">
        <v>287</v>
      </c>
      <c r="C25" s="214" t="s">
        <v>288</v>
      </c>
      <c r="D25" s="214">
        <v>8</v>
      </c>
    </row>
    <row r="26" spans="1:4" s="142" customFormat="1" ht="27.6" x14ac:dyDescent="0.25">
      <c r="A26" s="137">
        <v>23</v>
      </c>
      <c r="B26" s="214" t="s">
        <v>649</v>
      </c>
      <c r="C26" s="214" t="s">
        <v>269</v>
      </c>
      <c r="D26" s="214">
        <v>1</v>
      </c>
    </row>
    <row r="27" spans="1:4" s="142" customFormat="1" ht="27.6" x14ac:dyDescent="0.25">
      <c r="A27" s="137">
        <v>24</v>
      </c>
      <c r="B27" s="214" t="s">
        <v>270</v>
      </c>
      <c r="C27" s="214" t="s">
        <v>282</v>
      </c>
      <c r="D27" s="214">
        <v>1</v>
      </c>
    </row>
    <row r="28" spans="1:4" s="142" customFormat="1" ht="27.6" x14ac:dyDescent="0.25">
      <c r="A28" s="137">
        <v>25</v>
      </c>
      <c r="B28" s="214" t="s">
        <v>271</v>
      </c>
      <c r="C28" s="214" t="s">
        <v>276</v>
      </c>
      <c r="D28" s="214">
        <v>1</v>
      </c>
    </row>
    <row r="29" spans="1:4" s="142" customFormat="1" ht="27.6" x14ac:dyDescent="0.25">
      <c r="A29" s="137">
        <v>26</v>
      </c>
      <c r="B29" s="214" t="s">
        <v>272</v>
      </c>
      <c r="C29" s="214" t="s">
        <v>273</v>
      </c>
      <c r="D29" s="214">
        <v>3</v>
      </c>
    </row>
    <row r="30" spans="1:4" s="142" customFormat="1" ht="27.6" x14ac:dyDescent="0.25">
      <c r="A30" s="137">
        <v>27</v>
      </c>
      <c r="B30" s="214" t="s">
        <v>274</v>
      </c>
      <c r="C30" s="214" t="s">
        <v>275</v>
      </c>
      <c r="D30" s="214">
        <v>1</v>
      </c>
    </row>
    <row r="31" spans="1:4" s="142" customFormat="1" ht="13.8" x14ac:dyDescent="0.25">
      <c r="A31" s="137">
        <v>28</v>
      </c>
      <c r="B31" s="214" t="s">
        <v>353</v>
      </c>
      <c r="C31" s="214" t="s">
        <v>289</v>
      </c>
      <c r="D31" s="214">
        <v>1</v>
      </c>
    </row>
    <row r="32" spans="1:4" s="142" customFormat="1" ht="13.8" x14ac:dyDescent="0.25">
      <c r="A32" s="137">
        <v>29</v>
      </c>
      <c r="B32" s="214" t="s">
        <v>290</v>
      </c>
      <c r="C32" s="214" t="s">
        <v>291</v>
      </c>
      <c r="D32" s="214">
        <v>1</v>
      </c>
    </row>
    <row r="33" spans="1:4" s="142" customFormat="1" ht="5.4" customHeight="1" x14ac:dyDescent="0.25">
      <c r="A33" s="135"/>
      <c r="B33" s="136"/>
      <c r="C33" s="136"/>
      <c r="D33" s="128"/>
    </row>
    <row r="34" spans="1:4" ht="13.8" customHeight="1" x14ac:dyDescent="0.25">
      <c r="A34" s="338" t="s">
        <v>184</v>
      </c>
      <c r="B34" s="338"/>
      <c r="C34" s="338"/>
      <c r="D34" s="338"/>
    </row>
    <row r="35" spans="1:4" ht="13.8" customHeight="1" x14ac:dyDescent="0.25">
      <c r="A35" s="338" t="s">
        <v>77</v>
      </c>
      <c r="B35" s="338"/>
      <c r="C35" s="338"/>
      <c r="D35" s="338"/>
    </row>
    <row r="36" spans="1:4" ht="25.8" customHeight="1" x14ac:dyDescent="0.25">
      <c r="A36" s="343" t="str">
        <f xml:space="preserve"> INDEX(реестр!N:N, F1+8)</f>
        <v>Алгушаев Р.Р.</v>
      </c>
      <c r="B36" s="343"/>
      <c r="C36" s="343"/>
      <c r="D36" s="343"/>
    </row>
    <row r="37" spans="1:4" ht="13.8" x14ac:dyDescent="0.25">
      <c r="A37" s="342" t="s">
        <v>26</v>
      </c>
      <c r="B37" s="342"/>
      <c r="C37" s="342"/>
      <c r="D37" s="342"/>
    </row>
    <row r="38" spans="1:4" ht="13.8" x14ac:dyDescent="0.25">
      <c r="A38" s="338" t="s">
        <v>185</v>
      </c>
      <c r="B38" s="338"/>
      <c r="C38" s="338"/>
      <c r="D38" s="338"/>
    </row>
    <row r="39" spans="1:4" ht="13.8" x14ac:dyDescent="0.25">
      <c r="A39" s="338" t="s">
        <v>80</v>
      </c>
      <c r="B39" s="338"/>
      <c r="C39" s="338"/>
      <c r="D39" s="338"/>
    </row>
    <row r="40" spans="1:4" ht="24.6" customHeight="1" x14ac:dyDescent="0.25">
      <c r="A40" s="343" t="s">
        <v>76</v>
      </c>
      <c r="B40" s="343"/>
      <c r="C40" s="343"/>
      <c r="D40" s="343"/>
    </row>
    <row r="41" spans="1:4" ht="13.8" x14ac:dyDescent="0.25">
      <c r="A41" s="342" t="s">
        <v>26</v>
      </c>
      <c r="B41" s="342"/>
      <c r="C41" s="342"/>
      <c r="D41" s="342"/>
    </row>
    <row r="42" spans="1:4" ht="13.8" x14ac:dyDescent="0.25">
      <c r="A42" s="344" t="s">
        <v>66</v>
      </c>
      <c r="B42" s="344"/>
      <c r="C42" s="344"/>
      <c r="D42" s="344"/>
    </row>
    <row r="43" spans="1:4" ht="25.2" customHeight="1" x14ac:dyDescent="0.25">
      <c r="A43" s="343" t="s">
        <v>82</v>
      </c>
      <c r="B43" s="343"/>
      <c r="C43" s="343"/>
      <c r="D43" s="343"/>
    </row>
    <row r="44" spans="1:4" ht="13.8" x14ac:dyDescent="0.25">
      <c r="A44" s="342" t="s">
        <v>26</v>
      </c>
      <c r="B44" s="342"/>
      <c r="C44" s="342"/>
      <c r="D44" s="342"/>
    </row>
    <row r="45" spans="1:4" ht="13.8" x14ac:dyDescent="0.25">
      <c r="A45" s="344" t="s">
        <v>186</v>
      </c>
      <c r="B45" s="344"/>
      <c r="C45" s="344"/>
      <c r="D45" s="344"/>
    </row>
    <row r="46" spans="1:4" ht="30" customHeight="1" x14ac:dyDescent="0.25">
      <c r="A46" s="343" t="s">
        <v>256</v>
      </c>
      <c r="B46" s="343"/>
      <c r="C46" s="343"/>
      <c r="D46" s="343"/>
    </row>
    <row r="47" spans="1:4" ht="13.8" x14ac:dyDescent="0.25">
      <c r="A47" s="342" t="s">
        <v>26</v>
      </c>
      <c r="B47" s="342"/>
      <c r="C47" s="342"/>
      <c r="D47" s="342"/>
    </row>
  </sheetData>
  <mergeCells count="19">
    <mergeCell ref="F5:I5"/>
    <mergeCell ref="A34:D34"/>
    <mergeCell ref="A40:D40"/>
    <mergeCell ref="C1:D1"/>
    <mergeCell ref="B2:D2"/>
    <mergeCell ref="A4:D4"/>
    <mergeCell ref="A5:D5"/>
    <mergeCell ref="A35:D35"/>
    <mergeCell ref="A36:D36"/>
    <mergeCell ref="A37:D37"/>
    <mergeCell ref="A38:D38"/>
    <mergeCell ref="A39:D39"/>
    <mergeCell ref="A47:D47"/>
    <mergeCell ref="A41:D41"/>
    <mergeCell ref="A42:D42"/>
    <mergeCell ref="A43:D43"/>
    <mergeCell ref="A44:D44"/>
    <mergeCell ref="A45:D45"/>
    <mergeCell ref="A46:D46"/>
  </mergeCells>
  <pageMargins left="0.7" right="0.7" top="0.75" bottom="0.75" header="0.3" footer="0.3"/>
  <pageSetup paperSize="9" scale="78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876CF0-441C-46EA-8223-18C3FFDBC62C}">
  <sheetPr codeName="Лист105">
    <tabColor rgb="FF00FF00"/>
  </sheetPr>
  <dimension ref="A1:I51"/>
  <sheetViews>
    <sheetView view="pageBreakPreview" zoomScale="79" zoomScaleNormal="115" zoomScaleSheetLayoutView="115" workbookViewId="0">
      <selection activeCell="F2" sqref="F2"/>
    </sheetView>
  </sheetViews>
  <sheetFormatPr defaultColWidth="9.109375" defaultRowHeight="15.6" x14ac:dyDescent="0.25"/>
  <cols>
    <col min="1" max="1" width="7.44140625" style="135" customWidth="1"/>
    <col min="2" max="2" width="64.109375" style="136" customWidth="1"/>
    <col min="3" max="3" width="44.44140625" style="136" customWidth="1"/>
    <col min="4" max="4" width="10" style="128" customWidth="1"/>
    <col min="5" max="7" width="9.109375" style="143"/>
    <col min="8" max="8" width="63.44140625" style="143" customWidth="1"/>
    <col min="9" max="9" width="36.6640625" style="143" customWidth="1"/>
    <col min="10" max="16384" width="9.109375" style="143"/>
  </cols>
  <sheetData>
    <row r="1" spans="1:9" ht="17.399999999999999" thickBot="1" x14ac:dyDescent="0.3">
      <c r="A1" s="126"/>
      <c r="B1" s="127"/>
      <c r="C1" s="339" t="s">
        <v>195</v>
      </c>
      <c r="D1" s="339"/>
      <c r="E1" s="225"/>
      <c r="F1" s="226">
        <v>39</v>
      </c>
      <c r="G1" s="223"/>
      <c r="H1" s="223"/>
    </row>
    <row r="2" spans="1:9" x14ac:dyDescent="0.25">
      <c r="A2" s="129"/>
      <c r="B2" s="340" t="str">
        <f xml:space="preserve"> CONCATENATE("к АОСР ",A5)</f>
        <v>к АОСР № АИР-М-1.2-61.17-АР-39 от 25.03.2024</v>
      </c>
      <c r="C2" s="340"/>
      <c r="D2" s="340"/>
    </row>
    <row r="3" spans="1:9" ht="7.2" customHeight="1" x14ac:dyDescent="0.3">
      <c r="A3" s="126"/>
      <c r="B3" s="126"/>
      <c r="C3" s="130"/>
      <c r="D3" s="130"/>
    </row>
    <row r="4" spans="1:9" ht="13.8" x14ac:dyDescent="0.25">
      <c r="A4" s="341" t="s">
        <v>179</v>
      </c>
      <c r="B4" s="341"/>
      <c r="C4" s="341"/>
      <c r="D4" s="341"/>
    </row>
    <row r="5" spans="1:9" ht="15" customHeight="1" x14ac:dyDescent="0.25">
      <c r="A5" s="341" t="str">
        <f>CONCATENATE("№ ", INDEX(реестр!B:B, F1+8), " от ", TEXT(INDEX(реестр!C:C, F1+8), "ДД.ММ.ГГГГ"))</f>
        <v>№ АИР-М-1.2-61.17-АР-39 от 25.03.2024</v>
      </c>
      <c r="B5" s="341"/>
      <c r="C5" s="341"/>
      <c r="D5" s="341"/>
      <c r="F5" s="341"/>
      <c r="G5" s="341"/>
      <c r="H5" s="341"/>
      <c r="I5" s="341"/>
    </row>
    <row r="6" spans="1:9" s="142" customFormat="1" ht="6" customHeight="1" x14ac:dyDescent="0.3">
      <c r="A6" s="131"/>
      <c r="B6" s="131"/>
      <c r="C6" s="131"/>
      <c r="D6" s="132"/>
    </row>
    <row r="7" spans="1:9" s="142" customFormat="1" ht="27.6" x14ac:dyDescent="0.25">
      <c r="A7" s="133" t="s">
        <v>180</v>
      </c>
      <c r="B7" s="133" t="s">
        <v>181</v>
      </c>
      <c r="C7" s="133" t="s">
        <v>182</v>
      </c>
      <c r="D7" s="134" t="s">
        <v>183</v>
      </c>
    </row>
    <row r="8" spans="1:9" s="142" customFormat="1" ht="27.6" x14ac:dyDescent="0.25">
      <c r="A8" s="137">
        <v>1</v>
      </c>
      <c r="B8" s="214" t="s">
        <v>354</v>
      </c>
      <c r="C8" s="214" t="s">
        <v>200</v>
      </c>
      <c r="D8" s="214">
        <v>1</v>
      </c>
    </row>
    <row r="9" spans="1:9" s="142" customFormat="1" ht="27.6" x14ac:dyDescent="0.25">
      <c r="A9" s="137">
        <v>2</v>
      </c>
      <c r="B9" s="214" t="s">
        <v>266</v>
      </c>
      <c r="C9" s="214" t="s">
        <v>267</v>
      </c>
      <c r="D9" s="214">
        <v>1</v>
      </c>
    </row>
    <row r="10" spans="1:9" s="142" customFormat="1" ht="27.6" x14ac:dyDescent="0.25">
      <c r="A10" s="137">
        <v>3</v>
      </c>
      <c r="B10" s="214" t="s">
        <v>266</v>
      </c>
      <c r="C10" s="214" t="s">
        <v>337</v>
      </c>
      <c r="D10" s="214">
        <v>1</v>
      </c>
    </row>
    <row r="11" spans="1:9" s="142" customFormat="1" ht="27.6" x14ac:dyDescent="0.25">
      <c r="A11" s="137">
        <v>4</v>
      </c>
      <c r="B11" s="214" t="s">
        <v>652</v>
      </c>
      <c r="C11" s="214" t="s">
        <v>201</v>
      </c>
      <c r="D11" s="214">
        <v>1</v>
      </c>
    </row>
    <row r="12" spans="1:9" s="142" customFormat="1" ht="27.6" x14ac:dyDescent="0.25">
      <c r="A12" s="137">
        <v>5</v>
      </c>
      <c r="B12" s="214" t="s">
        <v>265</v>
      </c>
      <c r="C12" s="214" t="s">
        <v>267</v>
      </c>
      <c r="D12" s="214">
        <v>1</v>
      </c>
    </row>
    <row r="13" spans="1:9" s="142" customFormat="1" ht="27.6" x14ac:dyDescent="0.25">
      <c r="A13" s="137">
        <v>6</v>
      </c>
      <c r="B13" s="214" t="s">
        <v>265</v>
      </c>
      <c r="C13" s="214" t="s">
        <v>337</v>
      </c>
      <c r="D13" s="214">
        <v>1</v>
      </c>
    </row>
    <row r="14" spans="1:9" s="142" customFormat="1" ht="31.2" x14ac:dyDescent="0.25">
      <c r="A14" s="137">
        <v>7</v>
      </c>
      <c r="B14" s="216" t="s">
        <v>347</v>
      </c>
      <c r="C14" s="216" t="s">
        <v>342</v>
      </c>
      <c r="D14" s="214">
        <v>1</v>
      </c>
    </row>
    <row r="15" spans="1:9" s="142" customFormat="1" ht="27.6" x14ac:dyDescent="0.25">
      <c r="A15" s="137">
        <v>8</v>
      </c>
      <c r="B15" s="138" t="s">
        <v>338</v>
      </c>
      <c r="C15" s="138" t="s">
        <v>341</v>
      </c>
      <c r="D15" s="214">
        <v>1</v>
      </c>
    </row>
    <row r="16" spans="1:9" s="142" customFormat="1" ht="13.8" x14ac:dyDescent="0.25">
      <c r="A16" s="137">
        <v>9</v>
      </c>
      <c r="B16" s="214" t="s">
        <v>644</v>
      </c>
      <c r="C16" s="214" t="s">
        <v>340</v>
      </c>
      <c r="D16" s="214">
        <v>1</v>
      </c>
    </row>
    <row r="17" spans="1:4" s="142" customFormat="1" ht="27.6" x14ac:dyDescent="0.25">
      <c r="A17" s="137">
        <v>10</v>
      </c>
      <c r="B17" s="214" t="s">
        <v>468</v>
      </c>
      <c r="C17" s="214" t="s">
        <v>343</v>
      </c>
      <c r="D17" s="214">
        <v>2</v>
      </c>
    </row>
    <row r="18" spans="1:4" s="142" customFormat="1" ht="27.6" x14ac:dyDescent="0.25">
      <c r="A18" s="137">
        <v>11</v>
      </c>
      <c r="B18" s="214" t="s">
        <v>466</v>
      </c>
      <c r="C18" s="214" t="s">
        <v>344</v>
      </c>
      <c r="D18" s="214">
        <v>2</v>
      </c>
    </row>
    <row r="19" spans="1:4" s="142" customFormat="1" ht="13.8" x14ac:dyDescent="0.25">
      <c r="A19" s="137">
        <v>12</v>
      </c>
      <c r="B19" s="214" t="s">
        <v>467</v>
      </c>
      <c r="C19" s="214" t="s">
        <v>345</v>
      </c>
      <c r="D19" s="214">
        <v>2</v>
      </c>
    </row>
    <row r="20" spans="1:4" s="142" customFormat="1" ht="27.6" x14ac:dyDescent="0.25">
      <c r="A20" s="137">
        <v>13</v>
      </c>
      <c r="B20" s="214" t="s">
        <v>645</v>
      </c>
      <c r="C20" s="214" t="s">
        <v>655</v>
      </c>
      <c r="D20" s="214">
        <v>1</v>
      </c>
    </row>
    <row r="21" spans="1:4" s="142" customFormat="1" ht="27.6" x14ac:dyDescent="0.25">
      <c r="A21" s="137">
        <v>14</v>
      </c>
      <c r="B21" s="214" t="s">
        <v>203</v>
      </c>
      <c r="C21" s="214" t="s">
        <v>281</v>
      </c>
      <c r="D21" s="214">
        <v>1</v>
      </c>
    </row>
    <row r="22" spans="1:4" s="142" customFormat="1" ht="27.6" x14ac:dyDescent="0.25">
      <c r="A22" s="137">
        <v>15</v>
      </c>
      <c r="B22" s="214" t="s">
        <v>203</v>
      </c>
      <c r="C22" s="214" t="s">
        <v>280</v>
      </c>
      <c r="D22" s="214">
        <v>2</v>
      </c>
    </row>
    <row r="23" spans="1:4" s="142" customFormat="1" ht="13.8" x14ac:dyDescent="0.25">
      <c r="A23" s="137">
        <v>16</v>
      </c>
      <c r="B23" s="214" t="s">
        <v>204</v>
      </c>
      <c r="C23" s="214" t="s">
        <v>346</v>
      </c>
      <c r="D23" s="214">
        <v>3</v>
      </c>
    </row>
    <row r="24" spans="1:4" s="142" customFormat="1" ht="27.6" x14ac:dyDescent="0.25">
      <c r="A24" s="137">
        <v>17</v>
      </c>
      <c r="B24" s="214" t="s">
        <v>646</v>
      </c>
      <c r="C24" s="214" t="s">
        <v>278</v>
      </c>
      <c r="D24" s="214">
        <v>1</v>
      </c>
    </row>
    <row r="25" spans="1:4" s="142" customFormat="1" ht="27.6" x14ac:dyDescent="0.25">
      <c r="A25" s="137">
        <v>18</v>
      </c>
      <c r="B25" s="214" t="s">
        <v>202</v>
      </c>
      <c r="C25" s="214" t="s">
        <v>277</v>
      </c>
      <c r="D25" s="214">
        <v>1</v>
      </c>
    </row>
    <row r="26" spans="1:4" s="142" customFormat="1" ht="13.8" x14ac:dyDescent="0.25">
      <c r="A26" s="137">
        <v>19</v>
      </c>
      <c r="B26" s="214" t="s">
        <v>348</v>
      </c>
      <c r="C26" s="214" t="s">
        <v>283</v>
      </c>
      <c r="D26" s="214">
        <v>1</v>
      </c>
    </row>
    <row r="27" spans="1:4" s="142" customFormat="1" ht="27.6" x14ac:dyDescent="0.25">
      <c r="A27" s="137">
        <v>20</v>
      </c>
      <c r="B27" s="214" t="s">
        <v>284</v>
      </c>
      <c r="C27" s="214" t="s">
        <v>285</v>
      </c>
      <c r="D27" s="214">
        <v>2</v>
      </c>
    </row>
    <row r="28" spans="1:4" s="142" customFormat="1" ht="27.6" x14ac:dyDescent="0.25">
      <c r="A28" s="137">
        <v>21</v>
      </c>
      <c r="B28" s="214" t="s">
        <v>653</v>
      </c>
      <c r="C28" s="214" t="s">
        <v>286</v>
      </c>
      <c r="D28" s="214">
        <v>1</v>
      </c>
    </row>
    <row r="29" spans="1:4" s="142" customFormat="1" ht="27.6" x14ac:dyDescent="0.25">
      <c r="A29" s="137">
        <v>22</v>
      </c>
      <c r="B29" s="214" t="s">
        <v>287</v>
      </c>
      <c r="C29" s="214" t="s">
        <v>288</v>
      </c>
      <c r="D29" s="214">
        <v>8</v>
      </c>
    </row>
    <row r="30" spans="1:4" s="142" customFormat="1" ht="27.6" x14ac:dyDescent="0.25">
      <c r="A30" s="137">
        <v>23</v>
      </c>
      <c r="B30" s="214" t="s">
        <v>654</v>
      </c>
      <c r="C30" s="214" t="s">
        <v>269</v>
      </c>
      <c r="D30" s="214">
        <v>1</v>
      </c>
    </row>
    <row r="31" spans="1:4" s="142" customFormat="1" ht="27.6" x14ac:dyDescent="0.25">
      <c r="A31" s="137">
        <v>24</v>
      </c>
      <c r="B31" s="214" t="s">
        <v>270</v>
      </c>
      <c r="C31" s="214" t="s">
        <v>282</v>
      </c>
      <c r="D31" s="214">
        <v>1</v>
      </c>
    </row>
    <row r="32" spans="1:4" s="142" customFormat="1" ht="27.6" x14ac:dyDescent="0.25">
      <c r="A32" s="137">
        <v>25</v>
      </c>
      <c r="B32" s="214" t="s">
        <v>271</v>
      </c>
      <c r="C32" s="214" t="s">
        <v>276</v>
      </c>
      <c r="D32" s="214">
        <v>1</v>
      </c>
    </row>
    <row r="33" spans="1:4" s="142" customFormat="1" ht="27.6" x14ac:dyDescent="0.25">
      <c r="A33" s="137">
        <v>26</v>
      </c>
      <c r="B33" s="214" t="s">
        <v>272</v>
      </c>
      <c r="C33" s="214" t="s">
        <v>273</v>
      </c>
      <c r="D33" s="214">
        <v>3</v>
      </c>
    </row>
    <row r="34" spans="1:4" s="142" customFormat="1" ht="27.6" x14ac:dyDescent="0.25">
      <c r="A34" s="137">
        <v>27</v>
      </c>
      <c r="B34" s="214" t="s">
        <v>274</v>
      </c>
      <c r="C34" s="214" t="s">
        <v>275</v>
      </c>
      <c r="D34" s="214">
        <v>1</v>
      </c>
    </row>
    <row r="35" spans="1:4" s="142" customFormat="1" ht="13.8" x14ac:dyDescent="0.25">
      <c r="A35" s="137">
        <v>28</v>
      </c>
      <c r="B35" s="214" t="s">
        <v>349</v>
      </c>
      <c r="C35" s="214" t="s">
        <v>289</v>
      </c>
      <c r="D35" s="214">
        <v>1</v>
      </c>
    </row>
    <row r="36" spans="1:4" s="142" customFormat="1" ht="13.8" x14ac:dyDescent="0.25">
      <c r="A36" s="137">
        <v>29</v>
      </c>
      <c r="B36" s="214" t="s">
        <v>290</v>
      </c>
      <c r="C36" s="214" t="s">
        <v>291</v>
      </c>
      <c r="D36" s="214">
        <v>1</v>
      </c>
    </row>
    <row r="37" spans="1:4" s="142" customFormat="1" ht="4.8" customHeight="1" x14ac:dyDescent="0.25">
      <c r="A37" s="135"/>
      <c r="B37" s="136"/>
      <c r="C37" s="136"/>
      <c r="D37" s="128"/>
    </row>
    <row r="38" spans="1:4" ht="13.8" x14ac:dyDescent="0.25">
      <c r="A38" s="338" t="s">
        <v>184</v>
      </c>
      <c r="B38" s="338"/>
      <c r="C38" s="338"/>
      <c r="D38" s="338"/>
    </row>
    <row r="39" spans="1:4" ht="13.8" x14ac:dyDescent="0.25">
      <c r="A39" s="338" t="s">
        <v>77</v>
      </c>
      <c r="B39" s="338"/>
      <c r="C39" s="338"/>
      <c r="D39" s="338"/>
    </row>
    <row r="40" spans="1:4" ht="30" customHeight="1" x14ac:dyDescent="0.25">
      <c r="A40" s="343" t="str">
        <f xml:space="preserve"> INDEX(реестр!N:N, F1+8)</f>
        <v>Алгушаев Р.Р.</v>
      </c>
      <c r="B40" s="343"/>
      <c r="C40" s="343"/>
      <c r="D40" s="343"/>
    </row>
    <row r="41" spans="1:4" ht="13.8" x14ac:dyDescent="0.25">
      <c r="A41" s="342" t="s">
        <v>26</v>
      </c>
      <c r="B41" s="342"/>
      <c r="C41" s="342"/>
      <c r="D41" s="342"/>
    </row>
    <row r="42" spans="1:4" ht="13.8" x14ac:dyDescent="0.25">
      <c r="A42" s="338" t="s">
        <v>185</v>
      </c>
      <c r="B42" s="338"/>
      <c r="C42" s="338"/>
      <c r="D42" s="338"/>
    </row>
    <row r="43" spans="1:4" ht="13.8" x14ac:dyDescent="0.25">
      <c r="A43" s="338" t="s">
        <v>80</v>
      </c>
      <c r="B43" s="338"/>
      <c r="C43" s="338"/>
      <c r="D43" s="338"/>
    </row>
    <row r="44" spans="1:4" ht="30" customHeight="1" x14ac:dyDescent="0.25">
      <c r="A44" s="343" t="s">
        <v>76</v>
      </c>
      <c r="B44" s="343"/>
      <c r="C44" s="343"/>
      <c r="D44" s="343"/>
    </row>
    <row r="45" spans="1:4" ht="13.8" x14ac:dyDescent="0.25">
      <c r="A45" s="342" t="s">
        <v>26</v>
      </c>
      <c r="B45" s="342"/>
      <c r="C45" s="342"/>
      <c r="D45" s="342"/>
    </row>
    <row r="46" spans="1:4" ht="13.8" x14ac:dyDescent="0.25">
      <c r="A46" s="344" t="s">
        <v>66</v>
      </c>
      <c r="B46" s="344"/>
      <c r="C46" s="344"/>
      <c r="D46" s="344"/>
    </row>
    <row r="47" spans="1:4" ht="30" customHeight="1" x14ac:dyDescent="0.25">
      <c r="A47" s="343" t="s">
        <v>82</v>
      </c>
      <c r="B47" s="343"/>
      <c r="C47" s="343"/>
      <c r="D47" s="343"/>
    </row>
    <row r="48" spans="1:4" ht="13.8" x14ac:dyDescent="0.25">
      <c r="A48" s="342" t="s">
        <v>26</v>
      </c>
      <c r="B48" s="342"/>
      <c r="C48" s="342"/>
      <c r="D48" s="342"/>
    </row>
    <row r="49" spans="1:4" ht="13.8" x14ac:dyDescent="0.25">
      <c r="A49" s="344" t="s">
        <v>186</v>
      </c>
      <c r="B49" s="344"/>
      <c r="C49" s="344"/>
      <c r="D49" s="344"/>
    </row>
    <row r="50" spans="1:4" ht="30" customHeight="1" x14ac:dyDescent="0.25">
      <c r="A50" s="343" t="s">
        <v>256</v>
      </c>
      <c r="B50" s="343"/>
      <c r="C50" s="343"/>
      <c r="D50" s="343"/>
    </row>
    <row r="51" spans="1:4" ht="13.8" x14ac:dyDescent="0.25">
      <c r="A51" s="342" t="s">
        <v>26</v>
      </c>
      <c r="B51" s="342"/>
      <c r="C51" s="342"/>
      <c r="D51" s="342"/>
    </row>
  </sheetData>
  <mergeCells count="19">
    <mergeCell ref="F5:I5"/>
    <mergeCell ref="A38:D38"/>
    <mergeCell ref="A44:D44"/>
    <mergeCell ref="C1:D1"/>
    <mergeCell ref="B2:D2"/>
    <mergeCell ref="A4:D4"/>
    <mergeCell ref="A5:D5"/>
    <mergeCell ref="A39:D39"/>
    <mergeCell ref="A40:D40"/>
    <mergeCell ref="A41:D41"/>
    <mergeCell ref="A42:D42"/>
    <mergeCell ref="A43:D43"/>
    <mergeCell ref="A51:D51"/>
    <mergeCell ref="A45:D45"/>
    <mergeCell ref="A46:D46"/>
    <mergeCell ref="A47:D47"/>
    <mergeCell ref="A48:D48"/>
    <mergeCell ref="A49:D49"/>
    <mergeCell ref="A50:D50"/>
  </mergeCells>
  <pageMargins left="0.7" right="0.7" top="0.75" bottom="0.75" header="0.3" footer="0.3"/>
  <pageSetup paperSize="9" scale="70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EA3BA0-3207-4538-AFF0-23E10940D465}">
  <sheetPr codeName="Лист112">
    <tabColor theme="7" tint="0.59999389629810485"/>
  </sheetPr>
  <dimension ref="A1:H27"/>
  <sheetViews>
    <sheetView view="pageBreakPreview" zoomScale="76" zoomScaleNormal="115" zoomScaleSheetLayoutView="115" workbookViewId="0">
      <selection activeCell="F2" sqref="F2"/>
    </sheetView>
  </sheetViews>
  <sheetFormatPr defaultColWidth="9.109375" defaultRowHeight="15.6" x14ac:dyDescent="0.25"/>
  <cols>
    <col min="1" max="1" width="5.88671875" style="135" customWidth="1"/>
    <col min="2" max="2" width="55.44140625" style="136" customWidth="1"/>
    <col min="3" max="3" width="42.6640625" style="136" customWidth="1"/>
    <col min="4" max="4" width="9.33203125" style="128" customWidth="1"/>
    <col min="5" max="5" width="10.6640625" style="224" customWidth="1"/>
    <col min="6" max="6" width="5.33203125" style="224" customWidth="1"/>
    <col min="7" max="7" width="10.6640625" style="223" customWidth="1"/>
    <col min="8" max="8" width="10.6640625" style="143" customWidth="1"/>
    <col min="9" max="16384" width="9.109375" style="143"/>
  </cols>
  <sheetData>
    <row r="1" spans="1:8" ht="17.399999999999999" thickBot="1" x14ac:dyDescent="0.3">
      <c r="A1" s="126"/>
      <c r="B1" s="127"/>
      <c r="C1" s="339" t="s">
        <v>195</v>
      </c>
      <c r="D1" s="339"/>
      <c r="E1" s="262"/>
      <c r="F1" s="260">
        <v>43</v>
      </c>
      <c r="G1" s="257"/>
      <c r="H1" s="257"/>
    </row>
    <row r="2" spans="1:8" x14ac:dyDescent="0.25">
      <c r="A2" s="129"/>
      <c r="B2" s="340" t="str">
        <f xml:space="preserve"> CONCATENATE("к АОСР ",A5)</f>
        <v>к АОСР № АИР-М-1.2-56-АР-43 от 06.04.2024</v>
      </c>
      <c r="C2" s="340"/>
      <c r="D2" s="340"/>
      <c r="E2" s="261"/>
      <c r="F2" s="261"/>
      <c r="G2" s="257"/>
      <c r="H2" s="256"/>
    </row>
    <row r="3" spans="1:8" ht="16.8" x14ac:dyDescent="0.3">
      <c r="A3" s="126"/>
      <c r="B3" s="126"/>
      <c r="C3" s="130"/>
      <c r="D3" s="130"/>
      <c r="E3" s="261"/>
      <c r="F3" s="261"/>
      <c r="G3" s="257"/>
      <c r="H3" s="256"/>
    </row>
    <row r="4" spans="1:8" ht="13.8" customHeight="1" x14ac:dyDescent="0.25">
      <c r="A4" s="341" t="s">
        <v>179</v>
      </c>
      <c r="B4" s="341"/>
      <c r="C4" s="341"/>
      <c r="D4" s="341"/>
      <c r="E4" s="261"/>
      <c r="F4" s="261"/>
      <c r="G4" s="257"/>
      <c r="H4" s="256"/>
    </row>
    <row r="5" spans="1:8" ht="13.8" customHeight="1" x14ac:dyDescent="0.25">
      <c r="A5" s="341" t="str">
        <f>CONCATENATE("№ ", INDEX([2]реестр!B:B, F1+8), " от ", TEXT(INDEX([2]реестр!C:C, F1+8), "ДД.ММ.ГГГГ"))</f>
        <v>№ АИР-М-1.2-56-АР-43 от 06.04.2024</v>
      </c>
      <c r="B5" s="341"/>
      <c r="C5" s="341"/>
      <c r="D5" s="341"/>
      <c r="E5" s="341"/>
      <c r="F5" s="341"/>
      <c r="G5" s="341"/>
      <c r="H5" s="341"/>
    </row>
    <row r="6" spans="1:8" s="142" customFormat="1" ht="16.8" x14ac:dyDescent="0.3">
      <c r="A6" s="131"/>
      <c r="B6" s="131"/>
      <c r="C6" s="131"/>
      <c r="D6" s="132"/>
      <c r="E6" s="261"/>
      <c r="F6" s="261"/>
      <c r="G6" s="255"/>
      <c r="H6" s="259"/>
    </row>
    <row r="7" spans="1:8" s="142" customFormat="1" ht="27.6" x14ac:dyDescent="0.25">
      <c r="A7" s="133" t="s">
        <v>180</v>
      </c>
      <c r="B7" s="133" t="s">
        <v>181</v>
      </c>
      <c r="C7" s="133" t="s">
        <v>182</v>
      </c>
      <c r="D7" s="134" t="s">
        <v>183</v>
      </c>
      <c r="E7" s="261"/>
      <c r="F7" s="261"/>
      <c r="G7" s="255"/>
      <c r="H7" s="259"/>
    </row>
    <row r="8" spans="1:8" s="142" customFormat="1" ht="13.8" x14ac:dyDescent="0.25">
      <c r="A8" s="137">
        <v>1</v>
      </c>
      <c r="B8" s="258" t="s">
        <v>591</v>
      </c>
      <c r="C8" s="258" t="s">
        <v>544</v>
      </c>
      <c r="D8" s="258">
        <v>1</v>
      </c>
      <c r="E8" s="261"/>
      <c r="F8" s="261"/>
      <c r="G8" s="255"/>
      <c r="H8" s="259"/>
    </row>
    <row r="9" spans="1:8" s="142" customFormat="1" ht="27.6" x14ac:dyDescent="0.25">
      <c r="A9" s="137">
        <v>2</v>
      </c>
      <c r="B9" s="258" t="s">
        <v>550</v>
      </c>
      <c r="C9" s="258" t="s">
        <v>545</v>
      </c>
      <c r="D9" s="258">
        <v>2</v>
      </c>
      <c r="E9" s="261"/>
      <c r="F9" s="261"/>
      <c r="G9" s="255"/>
      <c r="H9" s="259"/>
    </row>
    <row r="10" spans="1:8" s="142" customFormat="1" ht="13.8" x14ac:dyDescent="0.25">
      <c r="A10" s="137">
        <v>3</v>
      </c>
      <c r="B10" s="258" t="s">
        <v>548</v>
      </c>
      <c r="C10" s="258" t="s">
        <v>546</v>
      </c>
      <c r="D10" s="258">
        <v>2</v>
      </c>
      <c r="E10" s="261"/>
      <c r="F10" s="261"/>
      <c r="G10" s="255"/>
      <c r="H10" s="259"/>
    </row>
    <row r="11" spans="1:8" s="142" customFormat="1" ht="13.8" x14ac:dyDescent="0.25">
      <c r="A11" s="137">
        <v>4</v>
      </c>
      <c r="B11" s="258" t="s">
        <v>592</v>
      </c>
      <c r="C11" s="258" t="s">
        <v>593</v>
      </c>
      <c r="D11" s="258">
        <v>1</v>
      </c>
      <c r="E11" s="261"/>
      <c r="F11" s="261"/>
      <c r="G11" s="255"/>
      <c r="H11" s="259"/>
    </row>
    <row r="12" spans="1:8" s="142" customFormat="1" ht="27.6" x14ac:dyDescent="0.25">
      <c r="A12" s="137">
        <v>5</v>
      </c>
      <c r="B12" s="258" t="s">
        <v>549</v>
      </c>
      <c r="C12" s="258" t="s">
        <v>547</v>
      </c>
      <c r="D12" s="258">
        <v>1</v>
      </c>
      <c r="E12" s="261"/>
      <c r="F12" s="261"/>
      <c r="G12" s="255"/>
      <c r="H12" s="259"/>
    </row>
    <row r="13" spans="1:8" s="142" customFormat="1" x14ac:dyDescent="0.25">
      <c r="A13" s="135"/>
      <c r="B13" s="136"/>
      <c r="C13" s="136"/>
      <c r="D13" s="128"/>
      <c r="E13" s="261"/>
      <c r="F13" s="261"/>
      <c r="G13" s="255"/>
      <c r="H13" s="259"/>
    </row>
    <row r="14" spans="1:8" ht="13.8" customHeight="1" x14ac:dyDescent="0.25">
      <c r="A14" s="338" t="s">
        <v>184</v>
      </c>
      <c r="B14" s="338"/>
      <c r="C14" s="338"/>
      <c r="D14" s="338"/>
      <c r="E14" s="261"/>
      <c r="F14" s="261"/>
      <c r="G14" s="257"/>
      <c r="H14" s="256"/>
    </row>
    <row r="15" spans="1:8" ht="13.8" customHeight="1" x14ac:dyDescent="0.25">
      <c r="A15" s="338" t="s">
        <v>77</v>
      </c>
      <c r="B15" s="338"/>
      <c r="C15" s="338"/>
      <c r="D15" s="338"/>
      <c r="E15" s="261"/>
      <c r="F15" s="261"/>
      <c r="G15" s="257"/>
      <c r="H15" s="256"/>
    </row>
    <row r="16" spans="1:8" ht="30" customHeight="1" x14ac:dyDescent="0.25">
      <c r="A16" s="343" t="str">
        <f xml:space="preserve"> INDEX([2]реестр!N:N, F1+8)</f>
        <v>Алгушаев Р.Р.</v>
      </c>
      <c r="B16" s="343"/>
      <c r="C16" s="343"/>
      <c r="D16" s="343"/>
      <c r="E16" s="261"/>
      <c r="F16" s="257"/>
      <c r="G16" s="256"/>
      <c r="H16" s="256"/>
    </row>
    <row r="17" spans="1:8" ht="13.8" x14ac:dyDescent="0.25">
      <c r="A17" s="342" t="s">
        <v>26</v>
      </c>
      <c r="B17" s="342"/>
      <c r="C17" s="342"/>
      <c r="D17" s="342"/>
      <c r="E17" s="261"/>
      <c r="F17" s="261"/>
      <c r="G17" s="257"/>
      <c r="H17" s="256"/>
    </row>
    <row r="18" spans="1:8" ht="13.8" customHeight="1" x14ac:dyDescent="0.25">
      <c r="A18" s="338" t="s">
        <v>185</v>
      </c>
      <c r="B18" s="338"/>
      <c r="C18" s="338"/>
      <c r="D18" s="338"/>
      <c r="E18" s="261"/>
      <c r="F18" s="261"/>
      <c r="G18" s="257"/>
      <c r="H18" s="256"/>
    </row>
    <row r="19" spans="1:8" ht="13.8" customHeight="1" x14ac:dyDescent="0.25">
      <c r="A19" s="338" t="s">
        <v>80</v>
      </c>
      <c r="B19" s="338"/>
      <c r="C19" s="338"/>
      <c r="D19" s="338"/>
      <c r="E19" s="261"/>
      <c r="F19" s="261"/>
      <c r="G19" s="257"/>
      <c r="H19" s="256"/>
    </row>
    <row r="20" spans="1:8" ht="30" customHeight="1" x14ac:dyDescent="0.25">
      <c r="A20" s="343" t="s">
        <v>76</v>
      </c>
      <c r="B20" s="343"/>
      <c r="C20" s="343"/>
      <c r="D20" s="343"/>
      <c r="E20" s="261"/>
      <c r="F20" s="261"/>
      <c r="G20" s="257"/>
      <c r="H20" s="256"/>
    </row>
    <row r="21" spans="1:8" ht="13.8" x14ac:dyDescent="0.25">
      <c r="A21" s="342" t="s">
        <v>26</v>
      </c>
      <c r="B21" s="342"/>
      <c r="C21" s="342"/>
      <c r="D21" s="342"/>
      <c r="E21" s="261"/>
      <c r="F21" s="261"/>
      <c r="G21" s="257"/>
      <c r="H21" s="256"/>
    </row>
    <row r="22" spans="1:8" ht="13.8" x14ac:dyDescent="0.25">
      <c r="A22" s="344" t="s">
        <v>66</v>
      </c>
      <c r="B22" s="344"/>
      <c r="C22" s="344"/>
      <c r="D22" s="344"/>
      <c r="E22" s="261"/>
      <c r="F22" s="261"/>
      <c r="G22" s="257"/>
      <c r="H22" s="256"/>
    </row>
    <row r="23" spans="1:8" ht="30" customHeight="1" x14ac:dyDescent="0.25">
      <c r="A23" s="343" t="s">
        <v>82</v>
      </c>
      <c r="B23" s="343"/>
      <c r="C23" s="343"/>
      <c r="D23" s="343"/>
      <c r="E23" s="261"/>
      <c r="F23" s="261"/>
      <c r="G23" s="257"/>
      <c r="H23" s="256"/>
    </row>
    <row r="24" spans="1:8" ht="13.8" x14ac:dyDescent="0.25">
      <c r="A24" s="342" t="s">
        <v>26</v>
      </c>
      <c r="B24" s="342"/>
      <c r="C24" s="342"/>
      <c r="D24" s="342"/>
      <c r="E24" s="261"/>
      <c r="F24" s="261"/>
      <c r="G24" s="257"/>
      <c r="H24" s="256"/>
    </row>
    <row r="25" spans="1:8" ht="13.8" x14ac:dyDescent="0.25">
      <c r="A25" s="344" t="s">
        <v>186</v>
      </c>
      <c r="B25" s="344"/>
      <c r="C25" s="344"/>
      <c r="D25" s="344"/>
      <c r="E25" s="261"/>
      <c r="F25" s="261"/>
      <c r="G25" s="257"/>
      <c r="H25" s="256"/>
    </row>
    <row r="26" spans="1:8" s="224" customFormat="1" ht="30" customHeight="1" x14ac:dyDescent="0.25">
      <c r="A26" s="343" t="s">
        <v>256</v>
      </c>
      <c r="B26" s="343"/>
      <c r="C26" s="343"/>
      <c r="D26" s="343"/>
      <c r="E26" s="261"/>
      <c r="F26" s="261"/>
      <c r="G26" s="257"/>
      <c r="H26" s="256"/>
    </row>
    <row r="27" spans="1:8" s="224" customFormat="1" ht="13.8" x14ac:dyDescent="0.25">
      <c r="A27" s="342" t="s">
        <v>26</v>
      </c>
      <c r="B27" s="342"/>
      <c r="C27" s="342"/>
      <c r="D27" s="342"/>
      <c r="E27" s="261"/>
      <c r="F27" s="261"/>
      <c r="G27" s="257"/>
      <c r="H27" s="256"/>
    </row>
  </sheetData>
  <mergeCells count="19">
    <mergeCell ref="A27:D27"/>
    <mergeCell ref="A21:D21"/>
    <mergeCell ref="A22:D22"/>
    <mergeCell ref="A23:D23"/>
    <mergeCell ref="A24:D24"/>
    <mergeCell ref="A25:D25"/>
    <mergeCell ref="A26:D26"/>
    <mergeCell ref="E5:H5"/>
    <mergeCell ref="A14:D14"/>
    <mergeCell ref="A20:D20"/>
    <mergeCell ref="C1:D1"/>
    <mergeCell ref="B2:D2"/>
    <mergeCell ref="A4:D4"/>
    <mergeCell ref="A5:D5"/>
    <mergeCell ref="A15:D15"/>
    <mergeCell ref="A16:D16"/>
    <mergeCell ref="A17:D17"/>
    <mergeCell ref="A18:D18"/>
    <mergeCell ref="A19:D19"/>
  </mergeCells>
  <pageMargins left="0.7" right="0.7" top="0.75" bottom="0.75" header="0.3" footer="0.3"/>
  <pageSetup paperSize="9" scale="78"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B1489C-5873-465E-B442-A6ACE39E1B4B}">
  <sheetPr codeName="Лист55">
    <tabColor rgb="FF66FF99"/>
  </sheetPr>
  <dimension ref="A1:H31"/>
  <sheetViews>
    <sheetView view="pageBreakPreview" zoomScale="82" zoomScaleNormal="115" zoomScaleSheetLayoutView="115" workbookViewId="0">
      <selection activeCell="K27" sqref="K27"/>
    </sheetView>
  </sheetViews>
  <sheetFormatPr defaultColWidth="9.109375" defaultRowHeight="15.6" x14ac:dyDescent="0.25"/>
  <cols>
    <col min="1" max="1" width="5.88671875" style="135" customWidth="1"/>
    <col min="2" max="2" width="55.44140625" style="136" customWidth="1"/>
    <col min="3" max="3" width="42.6640625" style="136" customWidth="1"/>
    <col min="4" max="4" width="9.33203125" style="128" customWidth="1"/>
    <col min="5" max="5" width="10.6640625" style="224" customWidth="1"/>
    <col min="6" max="6" width="5.33203125" style="224" customWidth="1"/>
    <col min="7" max="7" width="10.6640625" style="223" customWidth="1"/>
    <col min="8" max="8" width="10.6640625" style="143" customWidth="1"/>
    <col min="9" max="16384" width="9.109375" style="143"/>
  </cols>
  <sheetData>
    <row r="1" spans="1:8" ht="17.399999999999999" thickBot="1" x14ac:dyDescent="0.3">
      <c r="A1" s="126"/>
      <c r="B1" s="127"/>
      <c r="C1" s="339" t="s">
        <v>195</v>
      </c>
      <c r="D1" s="339"/>
      <c r="E1" s="225"/>
      <c r="F1" s="226">
        <v>46</v>
      </c>
      <c r="H1" s="223"/>
    </row>
    <row r="2" spans="1:8" x14ac:dyDescent="0.25">
      <c r="A2" s="129"/>
      <c r="B2" s="340" t="str">
        <f xml:space="preserve"> CONCATENATE("к АОСР ",A5)</f>
        <v>к АОСР № АИР-М-1.2-61.17-АР-46 от 16.05.2024</v>
      </c>
      <c r="C2" s="340"/>
      <c r="D2" s="340"/>
    </row>
    <row r="3" spans="1:8" ht="16.8" x14ac:dyDescent="0.3">
      <c r="A3" s="126"/>
      <c r="B3" s="126"/>
      <c r="C3" s="130"/>
      <c r="D3" s="130"/>
    </row>
    <row r="4" spans="1:8" ht="13.8" x14ac:dyDescent="0.25">
      <c r="A4" s="341" t="s">
        <v>179</v>
      </c>
      <c r="B4" s="341"/>
      <c r="C4" s="341"/>
      <c r="D4" s="341"/>
    </row>
    <row r="5" spans="1:8" ht="13.8" x14ac:dyDescent="0.25">
      <c r="A5" s="341" t="str">
        <f>CONCATENATE("№ ", INDEX(реестр!B:B, F1+8), " от ", TEXT(INDEX(реестр!C:C, F1+8), "ДД.ММ.ГГГГ"))</f>
        <v>№ АИР-М-1.2-61.17-АР-46 от 16.05.2024</v>
      </c>
      <c r="B5" s="341"/>
      <c r="C5" s="341"/>
      <c r="D5" s="341"/>
      <c r="E5" s="341"/>
      <c r="F5" s="341"/>
      <c r="G5" s="341"/>
      <c r="H5" s="341"/>
    </row>
    <row r="6" spans="1:8" s="142" customFormat="1" ht="16.8" x14ac:dyDescent="0.3">
      <c r="A6" s="131"/>
      <c r="B6" s="131"/>
      <c r="C6" s="131"/>
      <c r="D6" s="132"/>
      <c r="E6" s="224"/>
      <c r="F6" s="224"/>
      <c r="G6" s="234"/>
    </row>
    <row r="7" spans="1:8" s="142" customFormat="1" ht="27.6" x14ac:dyDescent="0.25">
      <c r="A7" s="133" t="s">
        <v>180</v>
      </c>
      <c r="B7" s="133" t="s">
        <v>181</v>
      </c>
      <c r="C7" s="133" t="s">
        <v>182</v>
      </c>
      <c r="D7" s="134" t="s">
        <v>183</v>
      </c>
      <c r="E7" s="224"/>
      <c r="F7" s="224"/>
      <c r="G7" s="234"/>
    </row>
    <row r="8" spans="1:8" s="142" customFormat="1" ht="27.6" x14ac:dyDescent="0.25">
      <c r="A8" s="137">
        <v>1</v>
      </c>
      <c r="B8" s="214" t="s">
        <v>437</v>
      </c>
      <c r="C8" s="214" t="s">
        <v>431</v>
      </c>
      <c r="D8" s="214">
        <v>1</v>
      </c>
      <c r="E8" s="224"/>
      <c r="F8" s="224"/>
      <c r="G8" s="234"/>
    </row>
    <row r="9" spans="1:8" s="142" customFormat="1" ht="27.6" x14ac:dyDescent="0.25">
      <c r="A9" s="137">
        <v>2</v>
      </c>
      <c r="B9" s="214" t="s">
        <v>432</v>
      </c>
      <c r="C9" s="214" t="s">
        <v>433</v>
      </c>
      <c r="D9" s="214">
        <v>1</v>
      </c>
      <c r="E9" s="224"/>
      <c r="F9" s="224"/>
      <c r="G9" s="234"/>
    </row>
    <row r="10" spans="1:8" s="142" customFormat="1" ht="27.6" x14ac:dyDescent="0.25">
      <c r="A10" s="137">
        <v>3</v>
      </c>
      <c r="B10" s="214" t="s">
        <v>438</v>
      </c>
      <c r="C10" s="214" t="s">
        <v>434</v>
      </c>
      <c r="D10" s="214">
        <v>1</v>
      </c>
    </row>
    <row r="11" spans="1:8" s="142" customFormat="1" ht="27.6" x14ac:dyDescent="0.25">
      <c r="A11" s="137">
        <v>4</v>
      </c>
      <c r="B11" s="214" t="s">
        <v>413</v>
      </c>
      <c r="C11" s="214" t="s">
        <v>387</v>
      </c>
      <c r="D11" s="214">
        <v>2</v>
      </c>
    </row>
    <row r="12" spans="1:8" s="142" customFormat="1" ht="27.6" x14ac:dyDescent="0.25">
      <c r="A12" s="137">
        <v>5</v>
      </c>
      <c r="B12" s="214" t="s">
        <v>413</v>
      </c>
      <c r="C12" s="214" t="s">
        <v>388</v>
      </c>
      <c r="D12" s="214">
        <v>2</v>
      </c>
    </row>
    <row r="13" spans="1:8" s="142" customFormat="1" ht="27.6" x14ac:dyDescent="0.25">
      <c r="A13" s="137">
        <v>6</v>
      </c>
      <c r="B13" s="214" t="s">
        <v>414</v>
      </c>
      <c r="C13" s="214" t="s">
        <v>389</v>
      </c>
      <c r="D13" s="214">
        <v>2</v>
      </c>
      <c r="H13" s="219"/>
    </row>
    <row r="14" spans="1:8" s="142" customFormat="1" ht="27.6" x14ac:dyDescent="0.25">
      <c r="A14" s="137">
        <v>7</v>
      </c>
      <c r="B14" s="214" t="s">
        <v>439</v>
      </c>
      <c r="C14" s="214" t="s">
        <v>435</v>
      </c>
      <c r="D14" s="214">
        <v>1</v>
      </c>
    </row>
    <row r="15" spans="1:8" s="142" customFormat="1" ht="27.6" x14ac:dyDescent="0.25">
      <c r="A15" s="137">
        <v>8</v>
      </c>
      <c r="B15" s="214" t="s">
        <v>415</v>
      </c>
      <c r="C15" s="214" t="s">
        <v>391</v>
      </c>
      <c r="D15" s="214">
        <v>2</v>
      </c>
    </row>
    <row r="16" spans="1:8" s="142" customFormat="1" ht="27.6" x14ac:dyDescent="0.25">
      <c r="A16" s="137">
        <v>9</v>
      </c>
      <c r="B16" s="214" t="s">
        <v>416</v>
      </c>
      <c r="C16" s="214" t="s">
        <v>392</v>
      </c>
      <c r="D16" s="214">
        <v>2</v>
      </c>
    </row>
    <row r="17" spans="1:7" s="142" customFormat="1" x14ac:dyDescent="0.25">
      <c r="A17" s="135"/>
      <c r="B17" s="136"/>
      <c r="C17" s="136"/>
      <c r="D17" s="128"/>
      <c r="E17" s="224"/>
      <c r="F17" s="224"/>
      <c r="G17" s="234"/>
    </row>
    <row r="18" spans="1:7" ht="13.8" x14ac:dyDescent="0.25">
      <c r="A18" s="338" t="s">
        <v>184</v>
      </c>
      <c r="B18" s="338"/>
      <c r="C18" s="338"/>
      <c r="D18" s="338"/>
    </row>
    <row r="19" spans="1:7" ht="13.8" x14ac:dyDescent="0.25">
      <c r="A19" s="338" t="s">
        <v>77</v>
      </c>
      <c r="B19" s="338"/>
      <c r="C19" s="338"/>
      <c r="D19" s="338"/>
    </row>
    <row r="20" spans="1:7" ht="30" customHeight="1" x14ac:dyDescent="0.25">
      <c r="A20" s="343" t="str">
        <f xml:space="preserve"> INDEX(реестр!N:N, F1+8)</f>
        <v>Алгушаев Р.Р.</v>
      </c>
      <c r="B20" s="343"/>
      <c r="C20" s="343"/>
      <c r="D20" s="343"/>
      <c r="F20" s="223"/>
      <c r="G20" s="143"/>
    </row>
    <row r="21" spans="1:7" ht="13.8" x14ac:dyDescent="0.25">
      <c r="A21" s="342" t="s">
        <v>26</v>
      </c>
      <c r="B21" s="342"/>
      <c r="C21" s="342"/>
      <c r="D21" s="342"/>
    </row>
    <row r="22" spans="1:7" ht="13.8" x14ac:dyDescent="0.25">
      <c r="A22" s="338" t="s">
        <v>185</v>
      </c>
      <c r="B22" s="338"/>
      <c r="C22" s="338"/>
      <c r="D22" s="338"/>
    </row>
    <row r="23" spans="1:7" ht="13.8" x14ac:dyDescent="0.25">
      <c r="A23" s="338" t="s">
        <v>80</v>
      </c>
      <c r="B23" s="338"/>
      <c r="C23" s="338"/>
      <c r="D23" s="338"/>
    </row>
    <row r="24" spans="1:7" ht="30" customHeight="1" x14ac:dyDescent="0.25">
      <c r="A24" s="343" t="s">
        <v>76</v>
      </c>
      <c r="B24" s="343"/>
      <c r="C24" s="343"/>
      <c r="D24" s="343"/>
    </row>
    <row r="25" spans="1:7" ht="13.8" x14ac:dyDescent="0.25">
      <c r="A25" s="342" t="s">
        <v>26</v>
      </c>
      <c r="B25" s="342"/>
      <c r="C25" s="342"/>
      <c r="D25" s="342"/>
    </row>
    <row r="26" spans="1:7" ht="13.8" x14ac:dyDescent="0.25">
      <c r="A26" s="344" t="s">
        <v>66</v>
      </c>
      <c r="B26" s="344"/>
      <c r="C26" s="344"/>
      <c r="D26" s="344"/>
    </row>
    <row r="27" spans="1:7" ht="30" customHeight="1" x14ac:dyDescent="0.25">
      <c r="A27" s="343" t="s">
        <v>82</v>
      </c>
      <c r="B27" s="343"/>
      <c r="C27" s="343"/>
      <c r="D27" s="343"/>
    </row>
    <row r="28" spans="1:7" ht="13.8" x14ac:dyDescent="0.25">
      <c r="A28" s="342" t="s">
        <v>26</v>
      </c>
      <c r="B28" s="342"/>
      <c r="C28" s="342"/>
      <c r="D28" s="342"/>
    </row>
    <row r="29" spans="1:7" ht="13.8" x14ac:dyDescent="0.25">
      <c r="A29" s="344" t="s">
        <v>186</v>
      </c>
      <c r="B29" s="344"/>
      <c r="C29" s="344"/>
      <c r="D29" s="344"/>
    </row>
    <row r="30" spans="1:7" ht="30" customHeight="1" x14ac:dyDescent="0.25">
      <c r="A30" s="343" t="s">
        <v>256</v>
      </c>
      <c r="B30" s="343"/>
      <c r="C30" s="343"/>
      <c r="D30" s="343"/>
    </row>
    <row r="31" spans="1:7" ht="13.8" x14ac:dyDescent="0.25">
      <c r="A31" s="342" t="s">
        <v>26</v>
      </c>
      <c r="B31" s="342"/>
      <c r="C31" s="342"/>
      <c r="D31" s="342"/>
    </row>
  </sheetData>
  <mergeCells count="19">
    <mergeCell ref="E5:H5"/>
    <mergeCell ref="A18:D18"/>
    <mergeCell ref="A19:D19"/>
    <mergeCell ref="A30:D30"/>
    <mergeCell ref="A31:D31"/>
    <mergeCell ref="A20:D20"/>
    <mergeCell ref="A21:D21"/>
    <mergeCell ref="A22:D22"/>
    <mergeCell ref="A23:D23"/>
    <mergeCell ref="A24:D24"/>
    <mergeCell ref="A25:D25"/>
    <mergeCell ref="C1:D1"/>
    <mergeCell ref="A26:D26"/>
    <mergeCell ref="A27:D27"/>
    <mergeCell ref="A28:D28"/>
    <mergeCell ref="A29:D29"/>
    <mergeCell ref="B2:D2"/>
    <mergeCell ref="A4:D4"/>
    <mergeCell ref="A5:D5"/>
  </mergeCells>
  <pageMargins left="0.7" right="0.7" top="0.75" bottom="0.75" header="0.3" footer="0.3"/>
  <pageSetup paperSize="9" scale="78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7B45F8-4450-4463-AB14-7B2DD4C987BC}">
  <sheetPr codeName="Лист99">
    <tabColor theme="7" tint="0.59999389629810485"/>
  </sheetPr>
  <dimension ref="A1:H27"/>
  <sheetViews>
    <sheetView view="pageBreakPreview" zoomScale="91" zoomScaleNormal="115" zoomScaleSheetLayoutView="115" workbookViewId="0">
      <selection activeCell="F2" sqref="F2"/>
    </sheetView>
  </sheetViews>
  <sheetFormatPr defaultColWidth="9.109375" defaultRowHeight="15.6" x14ac:dyDescent="0.25"/>
  <cols>
    <col min="1" max="1" width="5.88671875" style="135" customWidth="1"/>
    <col min="2" max="2" width="55.44140625" style="136" customWidth="1"/>
    <col min="3" max="3" width="42.6640625" style="136" customWidth="1"/>
    <col min="4" max="4" width="9.33203125" style="128" customWidth="1"/>
    <col min="5" max="5" width="10.6640625" style="224" customWidth="1"/>
    <col min="6" max="6" width="5.33203125" style="224" customWidth="1"/>
    <col min="7" max="7" width="10.6640625" style="223" customWidth="1"/>
    <col min="8" max="8" width="10.6640625" style="143" customWidth="1"/>
    <col min="9" max="16384" width="9.109375" style="143"/>
  </cols>
  <sheetData>
    <row r="1" spans="1:8" ht="17.399999999999999" thickBot="1" x14ac:dyDescent="0.3">
      <c r="A1" s="126"/>
      <c r="B1" s="127"/>
      <c r="C1" s="339" t="s">
        <v>195</v>
      </c>
      <c r="D1" s="339"/>
      <c r="E1" s="262"/>
      <c r="F1" s="260">
        <v>48</v>
      </c>
      <c r="G1" s="257"/>
      <c r="H1" s="257"/>
    </row>
    <row r="2" spans="1:8" x14ac:dyDescent="0.25">
      <c r="A2" s="129"/>
      <c r="B2" s="340" t="str">
        <f xml:space="preserve"> CONCATENATE("к АОСР ",A5)</f>
        <v>к АОСР № АИР-М-1.2-56-АР-48 от 19.04.2024</v>
      </c>
      <c r="C2" s="340"/>
      <c r="D2" s="340"/>
      <c r="E2" s="261"/>
      <c r="F2" s="261"/>
      <c r="G2" s="257"/>
      <c r="H2" s="256"/>
    </row>
    <row r="3" spans="1:8" ht="16.8" x14ac:dyDescent="0.3">
      <c r="A3" s="126"/>
      <c r="B3" s="126"/>
      <c r="C3" s="130"/>
      <c r="D3" s="130"/>
      <c r="E3" s="261"/>
      <c r="F3" s="261"/>
      <c r="G3" s="257"/>
      <c r="H3" s="256"/>
    </row>
    <row r="4" spans="1:8" ht="13.8" customHeight="1" x14ac:dyDescent="0.25">
      <c r="A4" s="341" t="s">
        <v>179</v>
      </c>
      <c r="B4" s="341"/>
      <c r="C4" s="341"/>
      <c r="D4" s="341"/>
      <c r="E4" s="261"/>
      <c r="F4" s="261"/>
      <c r="G4" s="257"/>
      <c r="H4" s="256"/>
    </row>
    <row r="5" spans="1:8" ht="13.8" customHeight="1" x14ac:dyDescent="0.25">
      <c r="A5" s="341" t="str">
        <f>CONCATENATE("№ ", INDEX([2]реестр!B:B, F1+8), " от ", TEXT(INDEX([2]реестр!C:C, F1+8), "ДД.ММ.ГГГГ"))</f>
        <v>№ АИР-М-1.2-56-АР-48 от 19.04.2024</v>
      </c>
      <c r="B5" s="341"/>
      <c r="C5" s="341"/>
      <c r="D5" s="341"/>
      <c r="E5" s="341"/>
      <c r="F5" s="341"/>
      <c r="G5" s="341"/>
      <c r="H5" s="341"/>
    </row>
    <row r="6" spans="1:8" s="142" customFormat="1" ht="16.8" x14ac:dyDescent="0.3">
      <c r="A6" s="131"/>
      <c r="B6" s="131"/>
      <c r="C6" s="131"/>
      <c r="D6" s="132"/>
      <c r="E6" s="261"/>
      <c r="F6" s="261"/>
      <c r="G6" s="255"/>
      <c r="H6" s="259"/>
    </row>
    <row r="7" spans="1:8" s="142" customFormat="1" ht="27.6" x14ac:dyDescent="0.25">
      <c r="A7" s="133" t="s">
        <v>180</v>
      </c>
      <c r="B7" s="133" t="s">
        <v>181</v>
      </c>
      <c r="C7" s="133" t="s">
        <v>182</v>
      </c>
      <c r="D7" s="134" t="s">
        <v>183</v>
      </c>
      <c r="E7" s="261"/>
      <c r="F7" s="261"/>
      <c r="G7" s="255"/>
      <c r="H7" s="259"/>
    </row>
    <row r="8" spans="1:8" s="142" customFormat="1" ht="13.8" x14ac:dyDescent="0.25">
      <c r="A8" s="137">
        <v>1</v>
      </c>
      <c r="B8" s="258" t="s">
        <v>594</v>
      </c>
      <c r="C8" s="258" t="s">
        <v>544</v>
      </c>
      <c r="D8" s="258">
        <v>1</v>
      </c>
      <c r="E8" s="261"/>
      <c r="F8" s="261"/>
      <c r="G8" s="255"/>
      <c r="H8" s="259"/>
    </row>
    <row r="9" spans="1:8" s="142" customFormat="1" ht="27.6" x14ac:dyDescent="0.25">
      <c r="A9" s="137">
        <v>2</v>
      </c>
      <c r="B9" s="258" t="s">
        <v>550</v>
      </c>
      <c r="C9" s="258" t="s">
        <v>545</v>
      </c>
      <c r="D9" s="258">
        <v>2</v>
      </c>
      <c r="E9" s="261"/>
      <c r="F9" s="261"/>
      <c r="G9" s="255"/>
      <c r="H9" s="259"/>
    </row>
    <row r="10" spans="1:8" s="142" customFormat="1" ht="13.8" x14ac:dyDescent="0.25">
      <c r="A10" s="137">
        <v>3</v>
      </c>
      <c r="B10" s="258" t="s">
        <v>548</v>
      </c>
      <c r="C10" s="258" t="s">
        <v>546</v>
      </c>
      <c r="D10" s="258">
        <v>2</v>
      </c>
      <c r="E10" s="261"/>
      <c r="F10" s="261"/>
      <c r="G10" s="255"/>
      <c r="H10" s="259"/>
    </row>
    <row r="11" spans="1:8" s="142" customFormat="1" ht="13.8" x14ac:dyDescent="0.25">
      <c r="A11" s="137">
        <v>4</v>
      </c>
      <c r="B11" s="258" t="s">
        <v>595</v>
      </c>
      <c r="C11" s="258" t="s">
        <v>593</v>
      </c>
      <c r="D11" s="258">
        <v>1</v>
      </c>
      <c r="E11" s="261"/>
      <c r="F11" s="261"/>
      <c r="G11" s="255"/>
      <c r="H11" s="259"/>
    </row>
    <row r="12" spans="1:8" s="142" customFormat="1" ht="27.6" x14ac:dyDescent="0.25">
      <c r="A12" s="137">
        <v>5</v>
      </c>
      <c r="B12" s="258" t="s">
        <v>549</v>
      </c>
      <c r="C12" s="258" t="s">
        <v>547</v>
      </c>
      <c r="D12" s="258">
        <v>1</v>
      </c>
      <c r="E12" s="261"/>
      <c r="F12" s="261"/>
      <c r="G12" s="255"/>
      <c r="H12" s="259"/>
    </row>
    <row r="13" spans="1:8" s="142" customFormat="1" x14ac:dyDescent="0.25">
      <c r="A13" s="135"/>
      <c r="B13" s="136"/>
      <c r="C13" s="136"/>
      <c r="D13" s="128"/>
      <c r="E13" s="261"/>
      <c r="F13" s="261"/>
      <c r="G13" s="255"/>
      <c r="H13" s="259"/>
    </row>
    <row r="14" spans="1:8" ht="13.8" customHeight="1" x14ac:dyDescent="0.25">
      <c r="A14" s="338" t="s">
        <v>184</v>
      </c>
      <c r="B14" s="338"/>
      <c r="C14" s="338"/>
      <c r="D14" s="338"/>
      <c r="E14" s="261"/>
      <c r="F14" s="261"/>
      <c r="G14" s="257"/>
      <c r="H14" s="256"/>
    </row>
    <row r="15" spans="1:8" ht="13.8" customHeight="1" x14ac:dyDescent="0.25">
      <c r="A15" s="338" t="s">
        <v>77</v>
      </c>
      <c r="B15" s="338"/>
      <c r="C15" s="338"/>
      <c r="D15" s="338"/>
      <c r="E15" s="261"/>
      <c r="F15" s="261"/>
      <c r="G15" s="257"/>
      <c r="H15" s="256"/>
    </row>
    <row r="16" spans="1:8" ht="30" customHeight="1" x14ac:dyDescent="0.25">
      <c r="A16" s="343" t="str">
        <f xml:space="preserve"> INDEX([2]реестр!N:N, F1+8)</f>
        <v>Сураев С.П.</v>
      </c>
      <c r="B16" s="343"/>
      <c r="C16" s="343"/>
      <c r="D16" s="343"/>
      <c r="E16" s="261"/>
      <c r="F16" s="257"/>
      <c r="G16" s="256"/>
      <c r="H16" s="256"/>
    </row>
    <row r="17" spans="1:8" ht="13.8" x14ac:dyDescent="0.25">
      <c r="A17" s="342" t="s">
        <v>26</v>
      </c>
      <c r="B17" s="342"/>
      <c r="C17" s="342"/>
      <c r="D17" s="342"/>
      <c r="E17" s="261"/>
      <c r="F17" s="261"/>
      <c r="G17" s="257"/>
      <c r="H17" s="256"/>
    </row>
    <row r="18" spans="1:8" ht="13.8" customHeight="1" x14ac:dyDescent="0.25">
      <c r="A18" s="338" t="s">
        <v>185</v>
      </c>
      <c r="B18" s="338"/>
      <c r="C18" s="338"/>
      <c r="D18" s="338"/>
      <c r="E18" s="261"/>
      <c r="F18" s="261"/>
      <c r="G18" s="257"/>
      <c r="H18" s="256"/>
    </row>
    <row r="19" spans="1:8" ht="13.8" customHeight="1" x14ac:dyDescent="0.25">
      <c r="A19" s="338" t="s">
        <v>80</v>
      </c>
      <c r="B19" s="338"/>
      <c r="C19" s="338"/>
      <c r="D19" s="338"/>
      <c r="E19" s="261"/>
      <c r="F19" s="261"/>
      <c r="G19" s="257"/>
      <c r="H19" s="256"/>
    </row>
    <row r="20" spans="1:8" ht="30" customHeight="1" x14ac:dyDescent="0.25">
      <c r="A20" s="343" t="s">
        <v>76</v>
      </c>
      <c r="B20" s="343"/>
      <c r="C20" s="343"/>
      <c r="D20" s="343"/>
      <c r="E20" s="261"/>
      <c r="F20" s="261"/>
      <c r="G20" s="257"/>
      <c r="H20" s="256"/>
    </row>
    <row r="21" spans="1:8" ht="13.8" x14ac:dyDescent="0.25">
      <c r="A21" s="342" t="s">
        <v>26</v>
      </c>
      <c r="B21" s="342"/>
      <c r="C21" s="342"/>
      <c r="D21" s="342"/>
      <c r="E21" s="261"/>
      <c r="F21" s="261"/>
      <c r="G21" s="257"/>
      <c r="H21" s="256"/>
    </row>
    <row r="22" spans="1:8" ht="13.8" x14ac:dyDescent="0.25">
      <c r="A22" s="344" t="s">
        <v>66</v>
      </c>
      <c r="B22" s="344"/>
      <c r="C22" s="344"/>
      <c r="D22" s="344"/>
      <c r="E22" s="261"/>
      <c r="F22" s="261"/>
      <c r="G22" s="257"/>
      <c r="H22" s="256"/>
    </row>
    <row r="23" spans="1:8" ht="30" customHeight="1" x14ac:dyDescent="0.25">
      <c r="A23" s="343" t="s">
        <v>82</v>
      </c>
      <c r="B23" s="343"/>
      <c r="C23" s="343"/>
      <c r="D23" s="343"/>
      <c r="E23" s="261"/>
      <c r="F23" s="261"/>
      <c r="G23" s="257"/>
      <c r="H23" s="256"/>
    </row>
    <row r="24" spans="1:8" ht="13.8" x14ac:dyDescent="0.25">
      <c r="A24" s="342" t="s">
        <v>26</v>
      </c>
      <c r="B24" s="342"/>
      <c r="C24" s="342"/>
      <c r="D24" s="342"/>
      <c r="E24" s="261"/>
      <c r="F24" s="261"/>
      <c r="G24" s="257"/>
      <c r="H24" s="256"/>
    </row>
    <row r="25" spans="1:8" ht="13.8" x14ac:dyDescent="0.25">
      <c r="A25" s="344" t="s">
        <v>186</v>
      </c>
      <c r="B25" s="344"/>
      <c r="C25" s="344"/>
      <c r="D25" s="344"/>
      <c r="E25" s="261"/>
      <c r="F25" s="261"/>
      <c r="G25" s="257"/>
      <c r="H25" s="256"/>
    </row>
    <row r="26" spans="1:8" s="224" customFormat="1" ht="30" customHeight="1" x14ac:dyDescent="0.25">
      <c r="A26" s="343" t="s">
        <v>256</v>
      </c>
      <c r="B26" s="343"/>
      <c r="C26" s="343"/>
      <c r="D26" s="343"/>
      <c r="E26" s="261"/>
      <c r="F26" s="261"/>
      <c r="G26" s="257"/>
      <c r="H26" s="256"/>
    </row>
    <row r="27" spans="1:8" s="224" customFormat="1" ht="13.8" x14ac:dyDescent="0.25">
      <c r="A27" s="342" t="s">
        <v>26</v>
      </c>
      <c r="B27" s="342"/>
      <c r="C27" s="342"/>
      <c r="D27" s="342"/>
      <c r="E27" s="261"/>
      <c r="F27" s="261"/>
      <c r="G27" s="257"/>
      <c r="H27" s="256"/>
    </row>
  </sheetData>
  <mergeCells count="19">
    <mergeCell ref="A27:D27"/>
    <mergeCell ref="A21:D21"/>
    <mergeCell ref="A22:D22"/>
    <mergeCell ref="A23:D23"/>
    <mergeCell ref="A24:D24"/>
    <mergeCell ref="A25:D25"/>
    <mergeCell ref="A26:D26"/>
    <mergeCell ref="E5:H5"/>
    <mergeCell ref="A14:D14"/>
    <mergeCell ref="A20:D20"/>
    <mergeCell ref="C1:D1"/>
    <mergeCell ref="B2:D2"/>
    <mergeCell ref="A4:D4"/>
    <mergeCell ref="A5:D5"/>
    <mergeCell ref="A15:D15"/>
    <mergeCell ref="A16:D16"/>
    <mergeCell ref="A17:D17"/>
    <mergeCell ref="A18:D18"/>
    <mergeCell ref="A19:D19"/>
  </mergeCells>
  <pageMargins left="0.7" right="0.7" top="0.75" bottom="0.75" header="0.3" footer="0.3"/>
  <pageSetup paperSize="9" scale="78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B76C0C-0F8B-47C8-847C-ADAFD9644C8D}">
  <sheetPr codeName="Лист90">
    <tabColor theme="7" tint="0.59999389629810485"/>
  </sheetPr>
  <dimension ref="A1:H27"/>
  <sheetViews>
    <sheetView view="pageBreakPreview" zoomScale="53" zoomScaleNormal="115" zoomScaleSheetLayoutView="115" workbookViewId="0">
      <selection activeCell="F2" sqref="F2"/>
    </sheetView>
  </sheetViews>
  <sheetFormatPr defaultColWidth="9.109375" defaultRowHeight="15.6" x14ac:dyDescent="0.25"/>
  <cols>
    <col min="1" max="1" width="5.88671875" style="135" customWidth="1"/>
    <col min="2" max="2" width="55.44140625" style="136" customWidth="1"/>
    <col min="3" max="3" width="42.6640625" style="136" customWidth="1"/>
    <col min="4" max="4" width="9.33203125" style="128" customWidth="1"/>
    <col min="5" max="5" width="10.6640625" style="224" customWidth="1"/>
    <col min="6" max="6" width="5.33203125" style="224" customWidth="1"/>
    <col min="7" max="7" width="10.6640625" style="223" customWidth="1"/>
    <col min="8" max="8" width="10.6640625" style="143" customWidth="1"/>
    <col min="9" max="16384" width="9.109375" style="143"/>
  </cols>
  <sheetData>
    <row r="1" spans="1:8" ht="17.399999999999999" thickBot="1" x14ac:dyDescent="0.3">
      <c r="A1" s="126"/>
      <c r="B1" s="127"/>
      <c r="C1" s="339" t="s">
        <v>195</v>
      </c>
      <c r="D1" s="339"/>
      <c r="E1" s="262"/>
      <c r="F1" s="260">
        <v>50</v>
      </c>
      <c r="G1" s="257"/>
      <c r="H1" s="257"/>
    </row>
    <row r="2" spans="1:8" x14ac:dyDescent="0.25">
      <c r="A2" s="129"/>
      <c r="B2" s="340" t="str">
        <f xml:space="preserve"> CONCATENATE("к АОСР ",A5)</f>
        <v>к АОСР № АИР-М-1.2-56-АР-50 от 09.05.2024</v>
      </c>
      <c r="C2" s="340"/>
      <c r="D2" s="340"/>
      <c r="E2" s="261"/>
      <c r="F2" s="261"/>
      <c r="G2" s="257"/>
      <c r="H2" s="256"/>
    </row>
    <row r="3" spans="1:8" ht="16.8" x14ac:dyDescent="0.3">
      <c r="A3" s="126"/>
      <c r="B3" s="126"/>
      <c r="C3" s="130"/>
      <c r="D3" s="130"/>
      <c r="E3" s="261"/>
      <c r="F3" s="261"/>
      <c r="G3" s="257"/>
      <c r="H3" s="256"/>
    </row>
    <row r="4" spans="1:8" ht="13.8" customHeight="1" x14ac:dyDescent="0.25">
      <c r="A4" s="341" t="s">
        <v>179</v>
      </c>
      <c r="B4" s="341"/>
      <c r="C4" s="341"/>
      <c r="D4" s="341"/>
      <c r="E4" s="261"/>
      <c r="F4" s="261"/>
      <c r="G4" s="257"/>
      <c r="H4" s="256"/>
    </row>
    <row r="5" spans="1:8" ht="13.8" customHeight="1" x14ac:dyDescent="0.25">
      <c r="A5" s="341" t="str">
        <f>CONCATENATE("№ ", INDEX([2]реестр!B:B, F1+8), " от ", TEXT(INDEX([2]реестр!C:C, F1+8), "ДД.ММ.ГГГГ"))</f>
        <v>№ АИР-М-1.2-56-АР-50 от 09.05.2024</v>
      </c>
      <c r="B5" s="341"/>
      <c r="C5" s="341"/>
      <c r="D5" s="341"/>
      <c r="E5" s="341"/>
      <c r="F5" s="341"/>
      <c r="G5" s="341"/>
      <c r="H5" s="341"/>
    </row>
    <row r="6" spans="1:8" s="142" customFormat="1" ht="16.8" x14ac:dyDescent="0.3">
      <c r="A6" s="131"/>
      <c r="B6" s="131"/>
      <c r="C6" s="131"/>
      <c r="D6" s="132"/>
      <c r="E6" s="261"/>
      <c r="F6" s="261"/>
      <c r="G6" s="255"/>
      <c r="H6" s="259"/>
    </row>
    <row r="7" spans="1:8" s="142" customFormat="1" ht="27.6" x14ac:dyDescent="0.25">
      <c r="A7" s="133" t="s">
        <v>180</v>
      </c>
      <c r="B7" s="133" t="s">
        <v>181</v>
      </c>
      <c r="C7" s="133" t="s">
        <v>182</v>
      </c>
      <c r="D7" s="134" t="s">
        <v>183</v>
      </c>
      <c r="E7" s="261"/>
      <c r="F7" s="261"/>
      <c r="G7" s="255"/>
      <c r="H7" s="259"/>
    </row>
    <row r="8" spans="1:8" s="142" customFormat="1" ht="13.8" x14ac:dyDescent="0.25">
      <c r="A8" s="137">
        <v>1</v>
      </c>
      <c r="B8" s="258" t="s">
        <v>596</v>
      </c>
      <c r="C8" s="258" t="s">
        <v>544</v>
      </c>
      <c r="D8" s="258">
        <v>1</v>
      </c>
      <c r="E8" s="261"/>
      <c r="F8" s="261"/>
      <c r="G8" s="255"/>
      <c r="H8" s="259"/>
    </row>
    <row r="9" spans="1:8" s="142" customFormat="1" ht="27.6" x14ac:dyDescent="0.25">
      <c r="A9" s="137">
        <v>2</v>
      </c>
      <c r="B9" s="258" t="s">
        <v>550</v>
      </c>
      <c r="C9" s="258" t="s">
        <v>545</v>
      </c>
      <c r="D9" s="258">
        <v>2</v>
      </c>
      <c r="E9" s="261"/>
      <c r="F9" s="261"/>
      <c r="G9" s="255"/>
      <c r="H9" s="259"/>
    </row>
    <row r="10" spans="1:8" s="142" customFormat="1" ht="13.8" x14ac:dyDescent="0.25">
      <c r="A10" s="137">
        <v>3</v>
      </c>
      <c r="B10" s="258" t="s">
        <v>548</v>
      </c>
      <c r="C10" s="258" t="s">
        <v>546</v>
      </c>
      <c r="D10" s="258">
        <v>2</v>
      </c>
      <c r="E10" s="261"/>
      <c r="F10" s="261"/>
      <c r="G10" s="255"/>
      <c r="H10" s="259"/>
    </row>
    <row r="11" spans="1:8" s="142" customFormat="1" ht="13.8" x14ac:dyDescent="0.25">
      <c r="A11" s="137">
        <v>4</v>
      </c>
      <c r="B11" s="258" t="s">
        <v>597</v>
      </c>
      <c r="C11" s="258" t="s">
        <v>593</v>
      </c>
      <c r="D11" s="258">
        <v>1</v>
      </c>
      <c r="E11" s="261"/>
      <c r="F11" s="261"/>
      <c r="G11" s="255"/>
      <c r="H11" s="259"/>
    </row>
    <row r="12" spans="1:8" s="142" customFormat="1" ht="27.6" x14ac:dyDescent="0.25">
      <c r="A12" s="137">
        <v>5</v>
      </c>
      <c r="B12" s="258" t="s">
        <v>549</v>
      </c>
      <c r="C12" s="258" t="s">
        <v>547</v>
      </c>
      <c r="D12" s="258">
        <v>1</v>
      </c>
      <c r="E12" s="261"/>
      <c r="F12" s="261"/>
      <c r="G12" s="255"/>
      <c r="H12" s="259"/>
    </row>
    <row r="13" spans="1:8" s="142" customFormat="1" x14ac:dyDescent="0.25">
      <c r="A13" s="135"/>
      <c r="B13" s="136"/>
      <c r="C13" s="136"/>
      <c r="D13" s="128"/>
      <c r="E13" s="261"/>
      <c r="F13" s="261"/>
      <c r="G13" s="255"/>
      <c r="H13" s="259"/>
    </row>
    <row r="14" spans="1:8" ht="13.8" customHeight="1" x14ac:dyDescent="0.25">
      <c r="A14" s="338" t="s">
        <v>184</v>
      </c>
      <c r="B14" s="338"/>
      <c r="C14" s="338"/>
      <c r="D14" s="338"/>
      <c r="E14" s="261"/>
      <c r="F14" s="261"/>
      <c r="G14" s="257"/>
      <c r="H14" s="256"/>
    </row>
    <row r="15" spans="1:8" ht="13.8" customHeight="1" x14ac:dyDescent="0.25">
      <c r="A15" s="338" t="s">
        <v>77</v>
      </c>
      <c r="B15" s="338"/>
      <c r="C15" s="338"/>
      <c r="D15" s="338"/>
      <c r="E15" s="261"/>
      <c r="F15" s="261"/>
      <c r="G15" s="257"/>
      <c r="H15" s="256"/>
    </row>
    <row r="16" spans="1:8" ht="30" customHeight="1" x14ac:dyDescent="0.25">
      <c r="A16" s="343" t="str">
        <f xml:space="preserve"> INDEX([2]реестр!N:N, F1+8)</f>
        <v>Серов А.В.</v>
      </c>
      <c r="B16" s="343"/>
      <c r="C16" s="343"/>
      <c r="D16" s="343"/>
      <c r="E16" s="261"/>
      <c r="F16" s="257"/>
      <c r="G16" s="256"/>
      <c r="H16" s="256"/>
    </row>
    <row r="17" spans="1:8" ht="13.8" x14ac:dyDescent="0.25">
      <c r="A17" s="342" t="s">
        <v>26</v>
      </c>
      <c r="B17" s="342"/>
      <c r="C17" s="342"/>
      <c r="D17" s="342"/>
      <c r="E17" s="261"/>
      <c r="F17" s="261"/>
      <c r="G17" s="257"/>
      <c r="H17" s="256"/>
    </row>
    <row r="18" spans="1:8" ht="13.8" customHeight="1" x14ac:dyDescent="0.25">
      <c r="A18" s="338" t="s">
        <v>185</v>
      </c>
      <c r="B18" s="338"/>
      <c r="C18" s="338"/>
      <c r="D18" s="338"/>
      <c r="E18" s="261"/>
      <c r="F18" s="261"/>
      <c r="G18" s="257"/>
      <c r="H18" s="256"/>
    </row>
    <row r="19" spans="1:8" ht="13.8" customHeight="1" x14ac:dyDescent="0.25">
      <c r="A19" s="338" t="s">
        <v>80</v>
      </c>
      <c r="B19" s="338"/>
      <c r="C19" s="338"/>
      <c r="D19" s="338"/>
      <c r="E19" s="261"/>
      <c r="F19" s="261"/>
      <c r="G19" s="257"/>
      <c r="H19" s="256"/>
    </row>
    <row r="20" spans="1:8" ht="30" customHeight="1" x14ac:dyDescent="0.25">
      <c r="A20" s="343" t="s">
        <v>76</v>
      </c>
      <c r="B20" s="343"/>
      <c r="C20" s="343"/>
      <c r="D20" s="343"/>
      <c r="E20" s="261"/>
      <c r="F20" s="261"/>
      <c r="G20" s="257"/>
      <c r="H20" s="256"/>
    </row>
    <row r="21" spans="1:8" ht="13.8" x14ac:dyDescent="0.25">
      <c r="A21" s="342" t="s">
        <v>26</v>
      </c>
      <c r="B21" s="342"/>
      <c r="C21" s="342"/>
      <c r="D21" s="342"/>
      <c r="E21" s="261"/>
      <c r="F21" s="261"/>
      <c r="G21" s="257"/>
      <c r="H21" s="256"/>
    </row>
    <row r="22" spans="1:8" ht="13.8" x14ac:dyDescent="0.25">
      <c r="A22" s="344" t="s">
        <v>66</v>
      </c>
      <c r="B22" s="344"/>
      <c r="C22" s="344"/>
      <c r="D22" s="344"/>
      <c r="E22" s="261"/>
      <c r="F22" s="261"/>
      <c r="G22" s="257"/>
      <c r="H22" s="256"/>
    </row>
    <row r="23" spans="1:8" ht="30" customHeight="1" x14ac:dyDescent="0.25">
      <c r="A23" s="343" t="s">
        <v>82</v>
      </c>
      <c r="B23" s="343"/>
      <c r="C23" s="343"/>
      <c r="D23" s="343"/>
      <c r="E23" s="261"/>
      <c r="F23" s="261"/>
      <c r="G23" s="257"/>
      <c r="H23" s="256"/>
    </row>
    <row r="24" spans="1:8" ht="13.8" x14ac:dyDescent="0.25">
      <c r="A24" s="342" t="s">
        <v>26</v>
      </c>
      <c r="B24" s="342"/>
      <c r="C24" s="342"/>
      <c r="D24" s="342"/>
      <c r="E24" s="261"/>
      <c r="F24" s="261"/>
      <c r="G24" s="257"/>
      <c r="H24" s="256"/>
    </row>
    <row r="25" spans="1:8" ht="13.8" x14ac:dyDescent="0.25">
      <c r="A25" s="344" t="s">
        <v>186</v>
      </c>
      <c r="B25" s="344"/>
      <c r="C25" s="344"/>
      <c r="D25" s="344"/>
      <c r="E25" s="261"/>
      <c r="F25" s="261"/>
      <c r="G25" s="257"/>
      <c r="H25" s="256"/>
    </row>
    <row r="26" spans="1:8" s="224" customFormat="1" ht="30" customHeight="1" x14ac:dyDescent="0.25">
      <c r="A26" s="343" t="s">
        <v>256</v>
      </c>
      <c r="B26" s="343"/>
      <c r="C26" s="343"/>
      <c r="D26" s="343"/>
      <c r="E26" s="261"/>
      <c r="F26" s="261"/>
      <c r="G26" s="257"/>
      <c r="H26" s="256"/>
    </row>
    <row r="27" spans="1:8" s="224" customFormat="1" ht="13.8" x14ac:dyDescent="0.25">
      <c r="A27" s="342" t="s">
        <v>26</v>
      </c>
      <c r="B27" s="342"/>
      <c r="C27" s="342"/>
      <c r="D27" s="342"/>
      <c r="E27" s="261"/>
      <c r="F27" s="261"/>
      <c r="G27" s="257"/>
      <c r="H27" s="256"/>
    </row>
  </sheetData>
  <mergeCells count="19">
    <mergeCell ref="A27:D27"/>
    <mergeCell ref="A21:D21"/>
    <mergeCell ref="A22:D22"/>
    <mergeCell ref="A23:D23"/>
    <mergeCell ref="A24:D24"/>
    <mergeCell ref="A25:D25"/>
    <mergeCell ref="A26:D26"/>
    <mergeCell ref="E5:H5"/>
    <mergeCell ref="A14:D14"/>
    <mergeCell ref="A20:D20"/>
    <mergeCell ref="C1:D1"/>
    <mergeCell ref="B2:D2"/>
    <mergeCell ref="A4:D4"/>
    <mergeCell ref="A5:D5"/>
    <mergeCell ref="A15:D15"/>
    <mergeCell ref="A16:D16"/>
    <mergeCell ref="A17:D17"/>
    <mergeCell ref="A18:D18"/>
    <mergeCell ref="A19:D19"/>
  </mergeCells>
  <pageMargins left="0.7" right="0.7" top="0.75" bottom="0.75" header="0.3" footer="0.3"/>
  <pageSetup paperSize="9" scale="78"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C20B4C-949F-4F11-AD22-ABED909E03A4}">
  <sheetPr codeName="Лист56">
    <tabColor rgb="FF66FF99"/>
  </sheetPr>
  <dimension ref="A1:H31"/>
  <sheetViews>
    <sheetView view="pageBreakPreview" zoomScale="82" zoomScaleNormal="115" zoomScaleSheetLayoutView="115" workbookViewId="0">
      <selection activeCell="F2" sqref="F2"/>
    </sheetView>
  </sheetViews>
  <sheetFormatPr defaultColWidth="9.109375" defaultRowHeight="15.6" x14ac:dyDescent="0.25"/>
  <cols>
    <col min="1" max="1" width="5.88671875" style="135" customWidth="1"/>
    <col min="2" max="2" width="55.44140625" style="136" customWidth="1"/>
    <col min="3" max="3" width="42.6640625" style="136" customWidth="1"/>
    <col min="4" max="4" width="9.33203125" style="128" customWidth="1"/>
    <col min="5" max="5" width="10.6640625" style="224" customWidth="1"/>
    <col min="6" max="6" width="5.33203125" style="224" customWidth="1"/>
    <col min="7" max="7" width="10.6640625" style="223" customWidth="1"/>
    <col min="8" max="8" width="10.6640625" style="143" customWidth="1"/>
    <col min="9" max="16384" width="9.109375" style="143"/>
  </cols>
  <sheetData>
    <row r="1" spans="1:8" ht="17.399999999999999" thickBot="1" x14ac:dyDescent="0.3">
      <c r="A1" s="126"/>
      <c r="B1" s="127"/>
      <c r="C1" s="339" t="s">
        <v>195</v>
      </c>
      <c r="D1" s="339"/>
      <c r="E1" s="225"/>
      <c r="F1" s="226">
        <v>53</v>
      </c>
      <c r="H1" s="223"/>
    </row>
    <row r="2" spans="1:8" x14ac:dyDescent="0.25">
      <c r="A2" s="129"/>
      <c r="B2" s="340" t="str">
        <f xml:space="preserve"> CONCATENATE("к АОСР ",A5)</f>
        <v>к АОСР № АИР-М-1.2-61.17-АР-53 от 16.05.2024</v>
      </c>
      <c r="C2" s="340"/>
      <c r="D2" s="340"/>
    </row>
    <row r="3" spans="1:8" ht="16.8" x14ac:dyDescent="0.3">
      <c r="A3" s="126"/>
      <c r="B3" s="126"/>
      <c r="C3" s="130"/>
      <c r="D3" s="130"/>
    </row>
    <row r="4" spans="1:8" ht="13.8" x14ac:dyDescent="0.25">
      <c r="A4" s="341" t="s">
        <v>179</v>
      </c>
      <c r="B4" s="341"/>
      <c r="C4" s="341"/>
      <c r="D4" s="341"/>
    </row>
    <row r="5" spans="1:8" ht="13.8" x14ac:dyDescent="0.25">
      <c r="A5" s="341" t="str">
        <f>CONCATENATE("№ ", INDEX(реестр!B:B, F1+8), " от ", TEXT(INDEX(реестр!C:C, F1+8), "ДД.ММ.ГГГГ"))</f>
        <v>№ АИР-М-1.2-61.17-АР-53 от 16.05.2024</v>
      </c>
      <c r="B5" s="341"/>
      <c r="C5" s="341"/>
      <c r="D5" s="341"/>
      <c r="E5" s="341"/>
      <c r="F5" s="341"/>
      <c r="G5" s="341"/>
      <c r="H5" s="341"/>
    </row>
    <row r="6" spans="1:8" s="142" customFormat="1" ht="16.8" x14ac:dyDescent="0.3">
      <c r="A6" s="131"/>
      <c r="B6" s="131"/>
      <c r="C6" s="131"/>
      <c r="D6" s="132"/>
      <c r="E6" s="224"/>
      <c r="F6" s="224"/>
      <c r="G6" s="234"/>
    </row>
    <row r="7" spans="1:8" s="142" customFormat="1" ht="27.6" x14ac:dyDescent="0.25">
      <c r="A7" s="133" t="s">
        <v>180</v>
      </c>
      <c r="B7" s="133" t="s">
        <v>181</v>
      </c>
      <c r="C7" s="133" t="s">
        <v>182</v>
      </c>
      <c r="D7" s="134" t="s">
        <v>183</v>
      </c>
      <c r="E7" s="224"/>
      <c r="F7" s="224"/>
      <c r="G7" s="234"/>
    </row>
    <row r="8" spans="1:8" s="142" customFormat="1" ht="27.6" x14ac:dyDescent="0.25">
      <c r="A8" s="137">
        <v>1</v>
      </c>
      <c r="B8" s="214" t="s">
        <v>437</v>
      </c>
      <c r="C8" s="214" t="s">
        <v>431</v>
      </c>
      <c r="D8" s="214">
        <v>1</v>
      </c>
      <c r="E8" s="224"/>
      <c r="F8" s="224"/>
      <c r="G8" s="234"/>
    </row>
    <row r="9" spans="1:8" s="142" customFormat="1" ht="27.6" x14ac:dyDescent="0.25">
      <c r="A9" s="137">
        <v>2</v>
      </c>
      <c r="B9" s="214" t="s">
        <v>432</v>
      </c>
      <c r="C9" s="214" t="s">
        <v>433</v>
      </c>
      <c r="D9" s="214">
        <v>1</v>
      </c>
      <c r="E9" s="224"/>
      <c r="F9" s="224"/>
      <c r="G9" s="234"/>
    </row>
    <row r="10" spans="1:8" s="142" customFormat="1" ht="27.6" x14ac:dyDescent="0.25">
      <c r="A10" s="137">
        <v>3</v>
      </c>
      <c r="B10" s="214" t="s">
        <v>438</v>
      </c>
      <c r="C10" s="214" t="s">
        <v>434</v>
      </c>
      <c r="D10" s="214">
        <v>1</v>
      </c>
    </row>
    <row r="11" spans="1:8" s="142" customFormat="1" ht="27.6" x14ac:dyDescent="0.25">
      <c r="A11" s="137">
        <v>4</v>
      </c>
      <c r="B11" s="214" t="s">
        <v>413</v>
      </c>
      <c r="C11" s="214" t="s">
        <v>387</v>
      </c>
      <c r="D11" s="214">
        <v>2</v>
      </c>
    </row>
    <row r="12" spans="1:8" s="142" customFormat="1" ht="27.6" x14ac:dyDescent="0.25">
      <c r="A12" s="137">
        <v>5</v>
      </c>
      <c r="B12" s="214" t="s">
        <v>413</v>
      </c>
      <c r="C12" s="214" t="s">
        <v>388</v>
      </c>
      <c r="D12" s="214">
        <v>2</v>
      </c>
    </row>
    <row r="13" spans="1:8" s="142" customFormat="1" ht="27.6" x14ac:dyDescent="0.25">
      <c r="A13" s="137">
        <v>6</v>
      </c>
      <c r="B13" s="214" t="s">
        <v>414</v>
      </c>
      <c r="C13" s="214" t="s">
        <v>389</v>
      </c>
      <c r="D13" s="214">
        <v>2</v>
      </c>
      <c r="H13" s="219"/>
    </row>
    <row r="14" spans="1:8" s="142" customFormat="1" ht="27.6" x14ac:dyDescent="0.25">
      <c r="A14" s="137">
        <v>7</v>
      </c>
      <c r="B14" s="214" t="s">
        <v>439</v>
      </c>
      <c r="C14" s="214" t="s">
        <v>435</v>
      </c>
      <c r="D14" s="214">
        <v>1</v>
      </c>
    </row>
    <row r="15" spans="1:8" s="142" customFormat="1" ht="27.6" x14ac:dyDescent="0.25">
      <c r="A15" s="137">
        <v>8</v>
      </c>
      <c r="B15" s="214" t="s">
        <v>415</v>
      </c>
      <c r="C15" s="214" t="s">
        <v>391</v>
      </c>
      <c r="D15" s="214">
        <v>2</v>
      </c>
    </row>
    <row r="16" spans="1:8" s="142" customFormat="1" ht="27.6" x14ac:dyDescent="0.25">
      <c r="A16" s="137">
        <v>9</v>
      </c>
      <c r="B16" s="214" t="s">
        <v>416</v>
      </c>
      <c r="C16" s="214" t="s">
        <v>392</v>
      </c>
      <c r="D16" s="214">
        <v>2</v>
      </c>
    </row>
    <row r="17" spans="1:7" s="142" customFormat="1" x14ac:dyDescent="0.25">
      <c r="A17" s="135"/>
      <c r="B17" s="136"/>
      <c r="C17" s="136"/>
      <c r="D17" s="128"/>
      <c r="E17" s="224"/>
      <c r="F17" s="224"/>
      <c r="G17" s="234"/>
    </row>
    <row r="18" spans="1:7" ht="13.8" x14ac:dyDescent="0.25">
      <c r="A18" s="338" t="s">
        <v>184</v>
      </c>
      <c r="B18" s="338"/>
      <c r="C18" s="338"/>
      <c r="D18" s="338"/>
    </row>
    <row r="19" spans="1:7" ht="13.8" x14ac:dyDescent="0.25">
      <c r="A19" s="338" t="s">
        <v>77</v>
      </c>
      <c r="B19" s="338"/>
      <c r="C19" s="338"/>
      <c r="D19" s="338"/>
    </row>
    <row r="20" spans="1:7" ht="30" customHeight="1" x14ac:dyDescent="0.25">
      <c r="A20" s="343" t="str">
        <f xml:space="preserve"> INDEX(реестр!N:N, F1+8)</f>
        <v>Алгушаев Р.Р.</v>
      </c>
      <c r="B20" s="343"/>
      <c r="C20" s="343"/>
      <c r="D20" s="343"/>
      <c r="F20" s="223"/>
      <c r="G20" s="143"/>
    </row>
    <row r="21" spans="1:7" ht="13.8" x14ac:dyDescent="0.25">
      <c r="A21" s="342" t="s">
        <v>26</v>
      </c>
      <c r="B21" s="342"/>
      <c r="C21" s="342"/>
      <c r="D21" s="342"/>
    </row>
    <row r="22" spans="1:7" ht="13.8" x14ac:dyDescent="0.25">
      <c r="A22" s="338" t="s">
        <v>185</v>
      </c>
      <c r="B22" s="338"/>
      <c r="C22" s="338"/>
      <c r="D22" s="338"/>
    </row>
    <row r="23" spans="1:7" ht="13.8" x14ac:dyDescent="0.25">
      <c r="A23" s="338" t="s">
        <v>80</v>
      </c>
      <c r="B23" s="338"/>
      <c r="C23" s="338"/>
      <c r="D23" s="338"/>
    </row>
    <row r="24" spans="1:7" ht="30" customHeight="1" x14ac:dyDescent="0.25">
      <c r="A24" s="343" t="s">
        <v>76</v>
      </c>
      <c r="B24" s="343"/>
      <c r="C24" s="343"/>
      <c r="D24" s="343"/>
    </row>
    <row r="25" spans="1:7" ht="13.8" x14ac:dyDescent="0.25">
      <c r="A25" s="342" t="s">
        <v>26</v>
      </c>
      <c r="B25" s="342"/>
      <c r="C25" s="342"/>
      <c r="D25" s="342"/>
    </row>
    <row r="26" spans="1:7" ht="13.8" x14ac:dyDescent="0.25">
      <c r="A26" s="344" t="s">
        <v>66</v>
      </c>
      <c r="B26" s="344"/>
      <c r="C26" s="344"/>
      <c r="D26" s="344"/>
    </row>
    <row r="27" spans="1:7" ht="30" customHeight="1" x14ac:dyDescent="0.25">
      <c r="A27" s="343" t="s">
        <v>82</v>
      </c>
      <c r="B27" s="343"/>
      <c r="C27" s="343"/>
      <c r="D27" s="343"/>
    </row>
    <row r="28" spans="1:7" ht="13.8" x14ac:dyDescent="0.25">
      <c r="A28" s="342" t="s">
        <v>26</v>
      </c>
      <c r="B28" s="342"/>
      <c r="C28" s="342"/>
      <c r="D28" s="342"/>
    </row>
    <row r="29" spans="1:7" ht="13.8" x14ac:dyDescent="0.25">
      <c r="A29" s="344" t="s">
        <v>186</v>
      </c>
      <c r="B29" s="344"/>
      <c r="C29" s="344"/>
      <c r="D29" s="344"/>
    </row>
    <row r="30" spans="1:7" ht="30" customHeight="1" x14ac:dyDescent="0.25">
      <c r="A30" s="343" t="s">
        <v>256</v>
      </c>
      <c r="B30" s="343"/>
      <c r="C30" s="343"/>
      <c r="D30" s="343"/>
    </row>
    <row r="31" spans="1:7" ht="13.8" x14ac:dyDescent="0.25">
      <c r="A31" s="342" t="s">
        <v>26</v>
      </c>
      <c r="B31" s="342"/>
      <c r="C31" s="342"/>
      <c r="D31" s="342"/>
    </row>
  </sheetData>
  <mergeCells count="19">
    <mergeCell ref="A31:D31"/>
    <mergeCell ref="A25:D25"/>
    <mergeCell ref="A26:D26"/>
    <mergeCell ref="A27:D27"/>
    <mergeCell ref="A28:D28"/>
    <mergeCell ref="A29:D29"/>
    <mergeCell ref="A30:D30"/>
    <mergeCell ref="E5:H5"/>
    <mergeCell ref="A18:D18"/>
    <mergeCell ref="A24:D24"/>
    <mergeCell ref="C1:D1"/>
    <mergeCell ref="B2:D2"/>
    <mergeCell ref="A4:D4"/>
    <mergeCell ref="A5:D5"/>
    <mergeCell ref="A19:D19"/>
    <mergeCell ref="A20:D20"/>
    <mergeCell ref="A21:D21"/>
    <mergeCell ref="A22:D22"/>
    <mergeCell ref="A23:D23"/>
  </mergeCells>
  <pageMargins left="0.7" right="0.7" top="0.75" bottom="0.75" header="0.3" footer="0.3"/>
  <pageSetup paperSize="9" scale="78" orientation="portrait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19D5E-9817-4981-B8FC-D7F363828A40}">
  <sheetPr codeName="Лист57">
    <tabColor rgb="FF66FFFF"/>
  </sheetPr>
  <dimension ref="A1:H33"/>
  <sheetViews>
    <sheetView zoomScale="115" zoomScaleNormal="115" zoomScaleSheetLayoutView="109" zoomScalePageLayoutView="52" workbookViewId="0">
      <selection activeCell="A19" sqref="A19:XFD21"/>
    </sheetView>
  </sheetViews>
  <sheetFormatPr defaultColWidth="9.109375" defaultRowHeight="15.6" x14ac:dyDescent="0.25"/>
  <cols>
    <col min="1" max="1" width="5.88671875" style="135" customWidth="1"/>
    <col min="2" max="2" width="55.44140625" style="136" customWidth="1"/>
    <col min="3" max="3" width="42.6640625" style="136" customWidth="1"/>
    <col min="4" max="4" width="9.33203125" style="128" customWidth="1"/>
    <col min="5" max="5" width="10.6640625" style="224" customWidth="1"/>
    <col min="6" max="6" width="5.33203125" style="224" customWidth="1"/>
    <col min="7" max="7" width="10.6640625" style="223" customWidth="1"/>
    <col min="8" max="8" width="10.6640625" style="143" customWidth="1"/>
    <col min="9" max="16384" width="9.109375" style="143"/>
  </cols>
  <sheetData>
    <row r="1" spans="1:8" ht="17.399999999999999" thickBot="1" x14ac:dyDescent="0.3">
      <c r="A1" s="126"/>
      <c r="B1" s="127"/>
      <c r="C1" s="339" t="s">
        <v>195</v>
      </c>
      <c r="D1" s="339"/>
      <c r="E1" s="225"/>
      <c r="F1" s="226">
        <v>54</v>
      </c>
      <c r="H1" s="223"/>
    </row>
    <row r="2" spans="1:8" x14ac:dyDescent="0.25">
      <c r="A2" s="129"/>
      <c r="B2" s="340" t="str">
        <f xml:space="preserve"> CONCATENATE("к АОСР ",A5)</f>
        <v>к АОСР № АИР-М-1.2-61.17-АР-54 от 04.05.2024</v>
      </c>
      <c r="C2" s="340"/>
      <c r="D2" s="340"/>
    </row>
    <row r="3" spans="1:8" ht="16.8" x14ac:dyDescent="0.3">
      <c r="A3" s="126"/>
      <c r="B3" s="126"/>
      <c r="C3" s="130"/>
      <c r="D3" s="130"/>
    </row>
    <row r="4" spans="1:8" ht="13.8" x14ac:dyDescent="0.25">
      <c r="A4" s="341" t="s">
        <v>179</v>
      </c>
      <c r="B4" s="341"/>
      <c r="C4" s="341"/>
      <c r="D4" s="341"/>
    </row>
    <row r="5" spans="1:8" ht="13.8" x14ac:dyDescent="0.25">
      <c r="A5" s="341" t="str">
        <f>CONCATENATE("№ ", INDEX(реестр!B:B, F1+8), " от ", TEXT(INDEX(реестр!C:C, F1+8), "ДД.ММ.ГГГГ"))</f>
        <v>№ АИР-М-1.2-61.17-АР-54 от 04.05.2024</v>
      </c>
      <c r="B5" s="341"/>
      <c r="C5" s="341"/>
      <c r="D5" s="341"/>
      <c r="E5" s="341"/>
      <c r="F5" s="341"/>
      <c r="G5" s="341"/>
      <c r="H5" s="341"/>
    </row>
    <row r="6" spans="1:8" s="142" customFormat="1" ht="10.8" customHeight="1" x14ac:dyDescent="0.3">
      <c r="A6" s="131"/>
      <c r="B6" s="131"/>
      <c r="C6" s="131"/>
      <c r="D6" s="132"/>
      <c r="E6" s="224"/>
      <c r="F6" s="224"/>
      <c r="G6" s="234"/>
    </row>
    <row r="7" spans="1:8" s="142" customFormat="1" ht="27.6" x14ac:dyDescent="0.25">
      <c r="A7" s="133" t="s">
        <v>180</v>
      </c>
      <c r="B7" s="133" t="s">
        <v>181</v>
      </c>
      <c r="C7" s="133" t="s">
        <v>182</v>
      </c>
      <c r="D7" s="134" t="s">
        <v>183</v>
      </c>
      <c r="E7" s="224"/>
      <c r="F7" s="224"/>
      <c r="G7" s="234"/>
    </row>
    <row r="8" spans="1:8" s="142" customFormat="1" ht="27.6" x14ac:dyDescent="0.25">
      <c r="A8" s="137">
        <v>1</v>
      </c>
      <c r="B8" s="214" t="s">
        <v>444</v>
      </c>
      <c r="C8" s="214" t="s">
        <v>305</v>
      </c>
      <c r="D8" s="214">
        <v>1</v>
      </c>
      <c r="E8" s="224"/>
      <c r="F8" s="224"/>
      <c r="G8" s="234"/>
    </row>
    <row r="9" spans="1:8" s="142" customFormat="1" ht="27.6" x14ac:dyDescent="0.25">
      <c r="A9" s="137">
        <v>2</v>
      </c>
      <c r="B9" s="214" t="s">
        <v>442</v>
      </c>
      <c r="C9" s="214" t="s">
        <v>305</v>
      </c>
      <c r="D9" s="214">
        <v>1</v>
      </c>
      <c r="E9" s="224"/>
      <c r="F9" s="224"/>
      <c r="G9" s="234"/>
    </row>
    <row r="10" spans="1:8" s="142" customFormat="1" ht="27.6" x14ac:dyDescent="0.25">
      <c r="A10" s="137">
        <v>3</v>
      </c>
      <c r="B10" s="214" t="s">
        <v>446</v>
      </c>
      <c r="C10" s="214" t="s">
        <v>305</v>
      </c>
      <c r="D10" s="214">
        <v>1</v>
      </c>
      <c r="E10" s="224"/>
      <c r="F10" s="224"/>
      <c r="G10" s="234"/>
    </row>
    <row r="11" spans="1:8" s="142" customFormat="1" ht="27.6" x14ac:dyDescent="0.25">
      <c r="A11" s="137">
        <v>4</v>
      </c>
      <c r="B11" s="214" t="s">
        <v>447</v>
      </c>
      <c r="C11" s="214" t="s">
        <v>305</v>
      </c>
      <c r="D11" s="214">
        <v>1</v>
      </c>
      <c r="E11" s="224"/>
      <c r="F11" s="224"/>
      <c r="G11" s="234"/>
    </row>
    <row r="12" spans="1:8" s="142" customFormat="1" ht="27.6" x14ac:dyDescent="0.25">
      <c r="A12" s="137">
        <v>5</v>
      </c>
      <c r="B12" s="214" t="s">
        <v>448</v>
      </c>
      <c r="C12" s="214" t="s">
        <v>305</v>
      </c>
      <c r="D12" s="214">
        <v>1</v>
      </c>
      <c r="E12" s="224"/>
      <c r="F12" s="224"/>
      <c r="G12" s="234"/>
    </row>
    <row r="13" spans="1:8" s="142" customFormat="1" ht="27.6" x14ac:dyDescent="0.25">
      <c r="A13" s="137">
        <v>6</v>
      </c>
      <c r="B13" s="214" t="s">
        <v>443</v>
      </c>
      <c r="C13" s="214" t="s">
        <v>305</v>
      </c>
      <c r="D13" s="214">
        <v>1</v>
      </c>
      <c r="E13" s="224"/>
      <c r="F13" s="224"/>
      <c r="G13" s="234"/>
    </row>
    <row r="14" spans="1:8" s="142" customFormat="1" ht="27.6" x14ac:dyDescent="0.25">
      <c r="A14" s="137">
        <v>7</v>
      </c>
      <c r="B14" s="214" t="s">
        <v>449</v>
      </c>
      <c r="C14" s="214" t="s">
        <v>305</v>
      </c>
      <c r="D14" s="214">
        <v>1</v>
      </c>
      <c r="E14" s="224"/>
      <c r="F14" s="224"/>
      <c r="G14" s="234"/>
    </row>
    <row r="15" spans="1:8" s="142" customFormat="1" ht="27.6" x14ac:dyDescent="0.25">
      <c r="A15" s="137">
        <v>8</v>
      </c>
      <c r="B15" s="214" t="s">
        <v>450</v>
      </c>
      <c r="C15" s="214" t="s">
        <v>305</v>
      </c>
      <c r="D15" s="214">
        <v>1</v>
      </c>
      <c r="E15" s="224"/>
      <c r="F15" s="224"/>
      <c r="G15" s="234"/>
    </row>
    <row r="16" spans="1:8" s="142" customFormat="1" ht="27.6" x14ac:dyDescent="0.25">
      <c r="A16" s="137">
        <v>9</v>
      </c>
      <c r="B16" s="214" t="s">
        <v>451</v>
      </c>
      <c r="C16" s="214" t="s">
        <v>305</v>
      </c>
      <c r="D16" s="214">
        <v>1</v>
      </c>
      <c r="E16" s="224"/>
      <c r="F16" s="224"/>
      <c r="G16" s="234"/>
    </row>
    <row r="17" spans="1:7" s="142" customFormat="1" ht="27.6" x14ac:dyDescent="0.25">
      <c r="A17" s="137">
        <v>10</v>
      </c>
      <c r="B17" s="214" t="s">
        <v>452</v>
      </c>
      <c r="C17" s="214" t="s">
        <v>305</v>
      </c>
      <c r="D17" s="214">
        <v>1</v>
      </c>
      <c r="E17" s="224"/>
      <c r="F17" s="224"/>
      <c r="G17" s="234"/>
    </row>
    <row r="18" spans="1:7" s="142" customFormat="1" ht="27.6" x14ac:dyDescent="0.25">
      <c r="A18" s="137">
        <v>11</v>
      </c>
      <c r="B18" s="214" t="s">
        <v>457</v>
      </c>
      <c r="C18" s="214" t="s">
        <v>445</v>
      </c>
      <c r="D18" s="214">
        <v>2</v>
      </c>
      <c r="E18" s="224"/>
      <c r="F18" s="224"/>
      <c r="G18" s="234"/>
    </row>
    <row r="19" spans="1:7" s="142" customFormat="1" ht="7.2" customHeight="1" x14ac:dyDescent="0.25">
      <c r="A19" s="135"/>
      <c r="B19" s="136"/>
      <c r="C19" s="136"/>
      <c r="D19" s="128"/>
      <c r="E19" s="224"/>
      <c r="F19" s="224"/>
      <c r="G19" s="234"/>
    </row>
    <row r="20" spans="1:7" ht="13.8" x14ac:dyDescent="0.25">
      <c r="A20" s="338" t="s">
        <v>184</v>
      </c>
      <c r="B20" s="338"/>
      <c r="C20" s="338"/>
      <c r="D20" s="338"/>
    </row>
    <row r="21" spans="1:7" ht="13.8" x14ac:dyDescent="0.25">
      <c r="A21" s="338" t="s">
        <v>77</v>
      </c>
      <c r="B21" s="338"/>
      <c r="C21" s="338"/>
      <c r="D21" s="338"/>
    </row>
    <row r="22" spans="1:7" ht="26.4" customHeight="1" x14ac:dyDescent="0.25">
      <c r="A22" s="343" t="str">
        <f xml:space="preserve"> INDEX(реестр!N:N, F1+8)</f>
        <v>Сураев С.П.</v>
      </c>
      <c r="B22" s="343"/>
      <c r="C22" s="343"/>
      <c r="D22" s="343"/>
      <c r="F22" s="223"/>
      <c r="G22" s="143"/>
    </row>
    <row r="23" spans="1:7" ht="10.199999999999999" customHeight="1" x14ac:dyDescent="0.25">
      <c r="A23" s="342" t="s">
        <v>26</v>
      </c>
      <c r="B23" s="342"/>
      <c r="C23" s="342"/>
      <c r="D23" s="342"/>
    </row>
    <row r="24" spans="1:7" ht="13.8" x14ac:dyDescent="0.25">
      <c r="A24" s="338" t="s">
        <v>185</v>
      </c>
      <c r="B24" s="338"/>
      <c r="C24" s="338"/>
      <c r="D24" s="338"/>
    </row>
    <row r="25" spans="1:7" ht="13.8" x14ac:dyDescent="0.25">
      <c r="A25" s="338" t="s">
        <v>80</v>
      </c>
      <c r="B25" s="338"/>
      <c r="C25" s="338"/>
      <c r="D25" s="338"/>
    </row>
    <row r="26" spans="1:7" ht="26.4" customHeight="1" x14ac:dyDescent="0.25">
      <c r="A26" s="343" t="s">
        <v>76</v>
      </c>
      <c r="B26" s="343"/>
      <c r="C26" s="343"/>
      <c r="D26" s="343"/>
    </row>
    <row r="27" spans="1:7" ht="10.199999999999999" customHeight="1" x14ac:dyDescent="0.25">
      <c r="A27" s="342" t="s">
        <v>26</v>
      </c>
      <c r="B27" s="342"/>
      <c r="C27" s="342"/>
      <c r="D27" s="342"/>
    </row>
    <row r="28" spans="1:7" ht="13.8" x14ac:dyDescent="0.25">
      <c r="A28" s="344" t="s">
        <v>66</v>
      </c>
      <c r="B28" s="344"/>
      <c r="C28" s="344"/>
      <c r="D28" s="344"/>
    </row>
    <row r="29" spans="1:7" ht="26.4" customHeight="1" x14ac:dyDescent="0.25">
      <c r="A29" s="343" t="s">
        <v>82</v>
      </c>
      <c r="B29" s="343"/>
      <c r="C29" s="343"/>
      <c r="D29" s="343"/>
    </row>
    <row r="30" spans="1:7" ht="10.8" customHeight="1" x14ac:dyDescent="0.25">
      <c r="A30" s="342" t="s">
        <v>26</v>
      </c>
      <c r="B30" s="342"/>
      <c r="C30" s="342"/>
      <c r="D30" s="342"/>
    </row>
    <row r="31" spans="1:7" ht="13.8" x14ac:dyDescent="0.25">
      <c r="A31" s="344" t="s">
        <v>186</v>
      </c>
      <c r="B31" s="344"/>
      <c r="C31" s="344"/>
      <c r="D31" s="344"/>
    </row>
    <row r="32" spans="1:7" ht="26.4" customHeight="1" x14ac:dyDescent="0.25">
      <c r="A32" s="343" t="s">
        <v>256</v>
      </c>
      <c r="B32" s="343"/>
      <c r="C32" s="343"/>
      <c r="D32" s="343"/>
    </row>
    <row r="33" spans="1:4" ht="10.199999999999999" customHeight="1" x14ac:dyDescent="0.25">
      <c r="A33" s="342" t="s">
        <v>26</v>
      </c>
      <c r="B33" s="342"/>
      <c r="C33" s="342"/>
      <c r="D33" s="342"/>
    </row>
  </sheetData>
  <mergeCells count="19">
    <mergeCell ref="E5:H5"/>
    <mergeCell ref="A20:D20"/>
    <mergeCell ref="A21:D21"/>
    <mergeCell ref="A32:D32"/>
    <mergeCell ref="A33:D33"/>
    <mergeCell ref="A22:D22"/>
    <mergeCell ref="A23:D23"/>
    <mergeCell ref="A24:D24"/>
    <mergeCell ref="A25:D25"/>
    <mergeCell ref="A26:D26"/>
    <mergeCell ref="A27:D27"/>
    <mergeCell ref="C1:D1"/>
    <mergeCell ref="A28:D28"/>
    <mergeCell ref="A29:D29"/>
    <mergeCell ref="A30:D30"/>
    <mergeCell ref="A31:D31"/>
    <mergeCell ref="B2:D2"/>
    <mergeCell ref="A4:D4"/>
    <mergeCell ref="A5:D5"/>
  </mergeCells>
  <pageMargins left="0.7" right="0.7" top="0.75" bottom="0.75" header="0.3" footer="0.3"/>
  <pageSetup paperSize="9" scale="78"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4EC43E-EDE6-45DD-8694-AB6AED54C745}">
  <sheetPr codeName="Лист74">
    <tabColor rgb="FF66FFFF"/>
  </sheetPr>
  <dimension ref="A1:H28"/>
  <sheetViews>
    <sheetView zoomScale="115" zoomScaleNormal="115" zoomScaleSheetLayoutView="109" zoomScalePageLayoutView="52" workbookViewId="0">
      <selection activeCell="D14" sqref="D14"/>
    </sheetView>
  </sheetViews>
  <sheetFormatPr defaultColWidth="9.109375" defaultRowHeight="15.6" x14ac:dyDescent="0.25"/>
  <cols>
    <col min="1" max="1" width="5.88671875" style="135" customWidth="1"/>
    <col min="2" max="2" width="55.44140625" style="136" customWidth="1"/>
    <col min="3" max="3" width="42.6640625" style="136" customWidth="1"/>
    <col min="4" max="4" width="9.33203125" style="128" customWidth="1"/>
    <col min="5" max="5" width="10.6640625" style="224" customWidth="1"/>
    <col min="6" max="6" width="5.33203125" style="224" customWidth="1"/>
    <col min="7" max="7" width="10.6640625" style="223" customWidth="1"/>
    <col min="8" max="8" width="10.6640625" style="143" customWidth="1"/>
    <col min="9" max="16384" width="9.109375" style="143"/>
  </cols>
  <sheetData>
    <row r="1" spans="1:8" ht="17.399999999999999" thickBot="1" x14ac:dyDescent="0.3">
      <c r="A1" s="126"/>
      <c r="B1" s="127"/>
      <c r="C1" s="339" t="s">
        <v>195</v>
      </c>
      <c r="D1" s="339"/>
      <c r="E1" s="225"/>
      <c r="F1" s="226">
        <v>56</v>
      </c>
      <c r="H1" s="223"/>
    </row>
    <row r="2" spans="1:8" x14ac:dyDescent="0.25">
      <c r="A2" s="129"/>
      <c r="B2" s="340" t="str">
        <f xml:space="preserve"> CONCATENATE("к АОСР ",A5)</f>
        <v>к АОСР № АИР-М-1.2-61.17-АР-56 от 05.05.2024</v>
      </c>
      <c r="C2" s="340"/>
      <c r="D2" s="340"/>
    </row>
    <row r="3" spans="1:8" ht="16.8" x14ac:dyDescent="0.3">
      <c r="A3" s="126"/>
      <c r="B3" s="126"/>
      <c r="C3" s="130"/>
      <c r="D3" s="130"/>
    </row>
    <row r="4" spans="1:8" ht="13.8" x14ac:dyDescent="0.25">
      <c r="A4" s="341" t="s">
        <v>179</v>
      </c>
      <c r="B4" s="341"/>
      <c r="C4" s="341"/>
      <c r="D4" s="341"/>
    </row>
    <row r="5" spans="1:8" ht="13.8" x14ac:dyDescent="0.25">
      <c r="A5" s="341" t="str">
        <f>CONCATENATE("№ ", INDEX(реестр!B:B, F1+8), " от ", TEXT(INDEX(реестр!C:C, F1+8), "ДД.ММ.ГГГГ"))</f>
        <v>№ АИР-М-1.2-61.17-АР-56 от 05.05.2024</v>
      </c>
      <c r="B5" s="341"/>
      <c r="C5" s="341"/>
      <c r="D5" s="341"/>
      <c r="E5" s="341"/>
      <c r="F5" s="341"/>
      <c r="G5" s="341"/>
      <c r="H5" s="341"/>
    </row>
    <row r="6" spans="1:8" s="142" customFormat="1" ht="10.8" customHeight="1" x14ac:dyDescent="0.3">
      <c r="A6" s="131"/>
      <c r="B6" s="131"/>
      <c r="C6" s="131"/>
      <c r="D6" s="132"/>
      <c r="E6" s="224"/>
      <c r="F6" s="224"/>
      <c r="G6" s="234"/>
    </row>
    <row r="7" spans="1:8" s="142" customFormat="1" ht="27.6" x14ac:dyDescent="0.25">
      <c r="A7" s="133" t="s">
        <v>180</v>
      </c>
      <c r="B7" s="133" t="s">
        <v>181</v>
      </c>
      <c r="C7" s="133" t="s">
        <v>182</v>
      </c>
      <c r="D7" s="134" t="s">
        <v>183</v>
      </c>
      <c r="E7" s="224"/>
      <c r="F7" s="224"/>
      <c r="G7" s="234"/>
    </row>
    <row r="8" spans="1:8" s="142" customFormat="1" ht="13.8" x14ac:dyDescent="0.25">
      <c r="A8" s="137">
        <v>1</v>
      </c>
      <c r="B8" s="214" t="s">
        <v>478</v>
      </c>
      <c r="C8" s="214" t="s">
        <v>312</v>
      </c>
      <c r="D8" s="214">
        <v>1</v>
      </c>
      <c r="E8" s="224"/>
      <c r="F8" s="224"/>
      <c r="G8" s="234"/>
    </row>
    <row r="9" spans="1:8" s="142" customFormat="1" ht="27.6" x14ac:dyDescent="0.25">
      <c r="A9" s="137">
        <v>2</v>
      </c>
      <c r="B9" s="214" t="s">
        <v>584</v>
      </c>
      <c r="C9" s="214" t="s">
        <v>479</v>
      </c>
      <c r="D9" s="214">
        <v>1</v>
      </c>
      <c r="E9" s="224"/>
      <c r="F9" s="224"/>
      <c r="G9" s="234"/>
    </row>
    <row r="10" spans="1:8" s="142" customFormat="1" ht="27.6" x14ac:dyDescent="0.25">
      <c r="A10" s="137">
        <v>3</v>
      </c>
      <c r="B10" s="214" t="s">
        <v>481</v>
      </c>
      <c r="C10" s="214" t="s">
        <v>582</v>
      </c>
      <c r="D10" s="214">
        <v>1</v>
      </c>
      <c r="E10" s="224"/>
      <c r="F10" s="224"/>
      <c r="G10" s="234"/>
    </row>
    <row r="11" spans="1:8" s="142" customFormat="1" ht="13.8" x14ac:dyDescent="0.25">
      <c r="A11" s="137">
        <v>4</v>
      </c>
      <c r="B11" s="214" t="s">
        <v>483</v>
      </c>
      <c r="C11" s="214" t="s">
        <v>583</v>
      </c>
      <c r="D11" s="214">
        <v>1</v>
      </c>
      <c r="E11" s="224"/>
      <c r="F11" s="224"/>
      <c r="G11" s="234"/>
    </row>
    <row r="12" spans="1:8" s="142" customFormat="1" ht="27.6" x14ac:dyDescent="0.25">
      <c r="A12" s="137">
        <v>5</v>
      </c>
      <c r="B12" s="214" t="s">
        <v>486</v>
      </c>
      <c r="C12" s="214" t="s">
        <v>485</v>
      </c>
      <c r="D12" s="214">
        <v>1</v>
      </c>
      <c r="E12" s="224"/>
      <c r="F12" s="224"/>
      <c r="G12" s="234"/>
    </row>
    <row r="13" spans="1:8" s="142" customFormat="1" ht="27.6" x14ac:dyDescent="0.25">
      <c r="A13" s="137">
        <v>6</v>
      </c>
      <c r="B13" s="214" t="s">
        <v>486</v>
      </c>
      <c r="C13" s="214" t="s">
        <v>484</v>
      </c>
      <c r="D13" s="214">
        <v>1</v>
      </c>
      <c r="E13" s="224"/>
      <c r="F13" s="224"/>
      <c r="G13" s="234"/>
    </row>
    <row r="14" spans="1:8" s="142" customFormat="1" ht="7.2" customHeight="1" x14ac:dyDescent="0.25">
      <c r="A14" s="135"/>
      <c r="B14" s="136"/>
      <c r="C14" s="136"/>
      <c r="D14" s="128"/>
      <c r="E14" s="224"/>
      <c r="F14" s="224"/>
      <c r="G14" s="234"/>
    </row>
    <row r="15" spans="1:8" ht="13.8" x14ac:dyDescent="0.25">
      <c r="A15" s="338" t="s">
        <v>184</v>
      </c>
      <c r="B15" s="338"/>
      <c r="C15" s="338"/>
      <c r="D15" s="338"/>
    </row>
    <row r="16" spans="1:8" ht="13.8" x14ac:dyDescent="0.25">
      <c r="A16" s="338" t="s">
        <v>77</v>
      </c>
      <c r="B16" s="338"/>
      <c r="C16" s="338"/>
      <c r="D16" s="338"/>
    </row>
    <row r="17" spans="1:7" ht="26.4" customHeight="1" x14ac:dyDescent="0.25">
      <c r="A17" s="343" t="str">
        <f xml:space="preserve"> INDEX(реестр!N:N, F1+8)</f>
        <v>Сураев С.П.</v>
      </c>
      <c r="B17" s="343"/>
      <c r="C17" s="343"/>
      <c r="D17" s="343"/>
      <c r="F17" s="223"/>
      <c r="G17" s="143"/>
    </row>
    <row r="18" spans="1:7" ht="10.199999999999999" customHeight="1" x14ac:dyDescent="0.25">
      <c r="A18" s="342" t="s">
        <v>26</v>
      </c>
      <c r="B18" s="342"/>
      <c r="C18" s="342"/>
      <c r="D18" s="342"/>
    </row>
    <row r="19" spans="1:7" ht="13.8" x14ac:dyDescent="0.25">
      <c r="A19" s="338" t="s">
        <v>185</v>
      </c>
      <c r="B19" s="338"/>
      <c r="C19" s="338"/>
      <c r="D19" s="338"/>
    </row>
    <row r="20" spans="1:7" ht="13.8" x14ac:dyDescent="0.25">
      <c r="A20" s="338" t="s">
        <v>80</v>
      </c>
      <c r="B20" s="338"/>
      <c r="C20" s="338"/>
      <c r="D20" s="338"/>
    </row>
    <row r="21" spans="1:7" ht="26.4" customHeight="1" x14ac:dyDescent="0.25">
      <c r="A21" s="343" t="s">
        <v>76</v>
      </c>
      <c r="B21" s="343"/>
      <c r="C21" s="343"/>
      <c r="D21" s="343"/>
    </row>
    <row r="22" spans="1:7" ht="10.199999999999999" customHeight="1" x14ac:dyDescent="0.25">
      <c r="A22" s="342" t="s">
        <v>26</v>
      </c>
      <c r="B22" s="342"/>
      <c r="C22" s="342"/>
      <c r="D22" s="342"/>
    </row>
    <row r="23" spans="1:7" ht="13.8" x14ac:dyDescent="0.25">
      <c r="A23" s="344" t="s">
        <v>66</v>
      </c>
      <c r="B23" s="344"/>
      <c r="C23" s="344"/>
      <c r="D23" s="344"/>
    </row>
    <row r="24" spans="1:7" ht="26.4" customHeight="1" x14ac:dyDescent="0.25">
      <c r="A24" s="343" t="s">
        <v>82</v>
      </c>
      <c r="B24" s="343"/>
      <c r="C24" s="343"/>
      <c r="D24" s="343"/>
    </row>
    <row r="25" spans="1:7" ht="10.8" customHeight="1" x14ac:dyDescent="0.25">
      <c r="A25" s="342" t="s">
        <v>26</v>
      </c>
      <c r="B25" s="342"/>
      <c r="C25" s="342"/>
      <c r="D25" s="342"/>
    </row>
    <row r="26" spans="1:7" ht="13.8" x14ac:dyDescent="0.25">
      <c r="A26" s="344" t="s">
        <v>186</v>
      </c>
      <c r="B26" s="344"/>
      <c r="C26" s="344"/>
      <c r="D26" s="344"/>
    </row>
    <row r="27" spans="1:7" ht="26.4" customHeight="1" x14ac:dyDescent="0.25">
      <c r="A27" s="343" t="s">
        <v>256</v>
      </c>
      <c r="B27" s="343"/>
      <c r="C27" s="343"/>
      <c r="D27" s="343"/>
    </row>
    <row r="28" spans="1:7" ht="10.199999999999999" customHeight="1" x14ac:dyDescent="0.25">
      <c r="A28" s="342" t="s">
        <v>26</v>
      </c>
      <c r="B28" s="342"/>
      <c r="C28" s="342"/>
      <c r="D28" s="342"/>
    </row>
  </sheetData>
  <mergeCells count="19">
    <mergeCell ref="E5:H5"/>
    <mergeCell ref="A15:D15"/>
    <mergeCell ref="A21:D21"/>
    <mergeCell ref="C1:D1"/>
    <mergeCell ref="B2:D2"/>
    <mergeCell ref="A4:D4"/>
    <mergeCell ref="A5:D5"/>
    <mergeCell ref="A16:D16"/>
    <mergeCell ref="A17:D17"/>
    <mergeCell ref="A18:D18"/>
    <mergeCell ref="A19:D19"/>
    <mergeCell ref="A20:D20"/>
    <mergeCell ref="A28:D28"/>
    <mergeCell ref="A22:D22"/>
    <mergeCell ref="A23:D23"/>
    <mergeCell ref="A24:D24"/>
    <mergeCell ref="A25:D25"/>
    <mergeCell ref="A26:D26"/>
    <mergeCell ref="A27:D27"/>
  </mergeCells>
  <pageMargins left="0.7" right="0.7" top="0.75" bottom="0.75" header="0.3" footer="0.3"/>
  <pageSetup paperSize="9" scale="78" orientation="portrait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A9318-B6B5-49B8-A82E-7AB3F9A4489E}">
  <sheetPr codeName="Лист58">
    <tabColor rgb="FF66FFFF"/>
  </sheetPr>
  <dimension ref="A1:H31"/>
  <sheetViews>
    <sheetView view="pageBreakPreview" zoomScale="115" zoomScaleNormal="115" zoomScaleSheetLayoutView="115" workbookViewId="0">
      <selection activeCell="F2" sqref="F2"/>
    </sheetView>
  </sheetViews>
  <sheetFormatPr defaultColWidth="9.109375" defaultRowHeight="15.6" x14ac:dyDescent="0.25"/>
  <cols>
    <col min="1" max="1" width="5.88671875" style="135" customWidth="1"/>
    <col min="2" max="2" width="55.44140625" style="136" customWidth="1"/>
    <col min="3" max="3" width="42.6640625" style="136" customWidth="1"/>
    <col min="4" max="4" width="9.33203125" style="128" customWidth="1"/>
    <col min="5" max="5" width="10.6640625" style="224" customWidth="1"/>
    <col min="6" max="6" width="5.33203125" style="224" customWidth="1"/>
    <col min="7" max="7" width="10.6640625" style="223" customWidth="1"/>
    <col min="8" max="8" width="10.6640625" style="143" customWidth="1"/>
    <col min="9" max="16384" width="9.109375" style="143"/>
  </cols>
  <sheetData>
    <row r="1" spans="1:8" ht="17.399999999999999" thickBot="1" x14ac:dyDescent="0.3">
      <c r="A1" s="126"/>
      <c r="B1" s="127"/>
      <c r="C1" s="339" t="s">
        <v>195</v>
      </c>
      <c r="D1" s="339"/>
      <c r="E1" s="225"/>
      <c r="F1" s="226">
        <v>57</v>
      </c>
      <c r="H1" s="223"/>
    </row>
    <row r="2" spans="1:8" x14ac:dyDescent="0.25">
      <c r="A2" s="129"/>
      <c r="B2" s="340" t="str">
        <f xml:space="preserve"> CONCATENATE("к АОСР ",A5)</f>
        <v>к АОСР № АИР-М-1.2-61.17-АР-57 от 08.05.2024</v>
      </c>
      <c r="C2" s="340"/>
      <c r="D2" s="340"/>
    </row>
    <row r="3" spans="1:8" ht="16.8" x14ac:dyDescent="0.3">
      <c r="A3" s="126"/>
      <c r="B3" s="126"/>
      <c r="C3" s="130"/>
      <c r="D3" s="130"/>
    </row>
    <row r="4" spans="1:8" ht="13.8" x14ac:dyDescent="0.25">
      <c r="A4" s="341" t="s">
        <v>179</v>
      </c>
      <c r="B4" s="341"/>
      <c r="C4" s="341"/>
      <c r="D4" s="341"/>
    </row>
    <row r="5" spans="1:8" ht="13.8" x14ac:dyDescent="0.25">
      <c r="A5" s="341" t="str">
        <f>CONCATENATE("№ ", INDEX(реестр!B:B, F1+8), " от ", TEXT(INDEX(реестр!C:C, F1+8), "ДД.ММ.ГГГГ"))</f>
        <v>№ АИР-М-1.2-61.17-АР-57 от 08.05.2024</v>
      </c>
      <c r="B5" s="341"/>
      <c r="C5" s="341"/>
      <c r="D5" s="341"/>
      <c r="E5" s="341"/>
      <c r="F5" s="341"/>
      <c r="G5" s="341"/>
      <c r="H5" s="341"/>
    </row>
    <row r="6" spans="1:8" s="142" customFormat="1" ht="16.8" x14ac:dyDescent="0.3">
      <c r="A6" s="131"/>
      <c r="B6" s="131"/>
      <c r="C6" s="131"/>
      <c r="D6" s="132"/>
      <c r="E6" s="224"/>
      <c r="F6" s="224"/>
      <c r="G6" s="234"/>
    </row>
    <row r="7" spans="1:8" s="142" customFormat="1" ht="27.6" x14ac:dyDescent="0.25">
      <c r="A7" s="133" t="s">
        <v>180</v>
      </c>
      <c r="B7" s="133" t="s">
        <v>181</v>
      </c>
      <c r="C7" s="133" t="s">
        <v>182</v>
      </c>
      <c r="D7" s="134" t="s">
        <v>183</v>
      </c>
      <c r="E7" s="224"/>
      <c r="F7" s="224"/>
      <c r="G7" s="234"/>
    </row>
    <row r="8" spans="1:8" s="142" customFormat="1" ht="27.6" x14ac:dyDescent="0.25">
      <c r="A8" s="137">
        <v>1</v>
      </c>
      <c r="B8" s="214" t="s">
        <v>453</v>
      </c>
      <c r="C8" s="214" t="s">
        <v>305</v>
      </c>
      <c r="D8" s="245">
        <v>1</v>
      </c>
      <c r="E8" s="224"/>
      <c r="F8" s="224"/>
      <c r="G8" s="234"/>
    </row>
    <row r="9" spans="1:8" s="142" customFormat="1" ht="27.6" x14ac:dyDescent="0.25">
      <c r="A9" s="137">
        <v>2</v>
      </c>
      <c r="B9" s="214" t="s">
        <v>459</v>
      </c>
      <c r="C9" s="214" t="s">
        <v>461</v>
      </c>
      <c r="D9" s="245">
        <v>1</v>
      </c>
      <c r="E9" s="224"/>
      <c r="F9" s="224"/>
      <c r="G9" s="234"/>
    </row>
    <row r="10" spans="1:8" s="142" customFormat="1" ht="27.6" x14ac:dyDescent="0.25">
      <c r="A10" s="137">
        <v>3</v>
      </c>
      <c r="B10" s="214" t="s">
        <v>460</v>
      </c>
      <c r="C10" s="214" t="s">
        <v>461</v>
      </c>
      <c r="D10" s="245">
        <v>1</v>
      </c>
      <c r="E10" s="224"/>
      <c r="F10" s="224"/>
      <c r="G10" s="234"/>
    </row>
    <row r="11" spans="1:8" s="142" customFormat="1" ht="27.6" x14ac:dyDescent="0.25">
      <c r="A11" s="137">
        <v>4</v>
      </c>
      <c r="B11" s="214" t="s">
        <v>454</v>
      </c>
      <c r="C11" s="214" t="s">
        <v>305</v>
      </c>
      <c r="D11" s="245">
        <v>1</v>
      </c>
      <c r="E11" s="224"/>
      <c r="F11" s="224"/>
      <c r="G11" s="234"/>
    </row>
    <row r="12" spans="1:8" s="142" customFormat="1" ht="27.6" x14ac:dyDescent="0.25">
      <c r="A12" s="137">
        <v>5</v>
      </c>
      <c r="B12" s="214" t="s">
        <v>440</v>
      </c>
      <c r="C12" s="214" t="s">
        <v>305</v>
      </c>
      <c r="D12" s="214">
        <v>1</v>
      </c>
      <c r="E12" s="224"/>
      <c r="F12" s="224"/>
      <c r="G12" s="234"/>
    </row>
    <row r="13" spans="1:8" s="142" customFormat="1" ht="27.6" x14ac:dyDescent="0.25">
      <c r="A13" s="137">
        <v>6</v>
      </c>
      <c r="B13" s="214" t="s">
        <v>441</v>
      </c>
      <c r="C13" s="214" t="s">
        <v>305</v>
      </c>
      <c r="D13" s="214">
        <v>1</v>
      </c>
      <c r="E13" s="224"/>
      <c r="F13" s="224"/>
      <c r="G13" s="234"/>
    </row>
    <row r="14" spans="1:8" s="142" customFormat="1" ht="27.6" x14ac:dyDescent="0.25">
      <c r="A14" s="137">
        <v>7</v>
      </c>
      <c r="B14" s="214" t="s">
        <v>455</v>
      </c>
      <c r="C14" s="214" t="s">
        <v>305</v>
      </c>
      <c r="D14" s="214">
        <v>1</v>
      </c>
      <c r="E14" s="224"/>
      <c r="F14" s="224"/>
      <c r="G14" s="234"/>
    </row>
    <row r="15" spans="1:8" s="142" customFormat="1" ht="27.6" x14ac:dyDescent="0.25">
      <c r="A15" s="137">
        <v>8</v>
      </c>
      <c r="B15" s="214" t="s">
        <v>456</v>
      </c>
      <c r="C15" s="214" t="s">
        <v>305</v>
      </c>
      <c r="D15" s="214">
        <v>1</v>
      </c>
      <c r="E15" s="224"/>
      <c r="F15" s="224"/>
      <c r="G15" s="234"/>
    </row>
    <row r="16" spans="1:8" s="142" customFormat="1" ht="27.6" x14ac:dyDescent="0.25">
      <c r="A16" s="137">
        <v>9</v>
      </c>
      <c r="B16" s="214" t="s">
        <v>457</v>
      </c>
      <c r="C16" s="214" t="s">
        <v>445</v>
      </c>
      <c r="D16" s="214">
        <v>2</v>
      </c>
      <c r="E16" s="224"/>
      <c r="F16" s="224"/>
      <c r="G16" s="234"/>
    </row>
    <row r="17" spans="1:8" s="142" customFormat="1" x14ac:dyDescent="0.25">
      <c r="A17" s="135"/>
      <c r="B17" s="136"/>
      <c r="C17" s="136"/>
      <c r="D17" s="128"/>
      <c r="E17" s="224"/>
      <c r="F17" s="224"/>
      <c r="G17" s="234"/>
    </row>
    <row r="18" spans="1:8" ht="13.8" x14ac:dyDescent="0.25">
      <c r="A18" s="338" t="s">
        <v>184</v>
      </c>
      <c r="B18" s="338"/>
      <c r="C18" s="338"/>
      <c r="D18" s="338"/>
    </row>
    <row r="19" spans="1:8" ht="13.8" x14ac:dyDescent="0.25">
      <c r="A19" s="338" t="s">
        <v>77</v>
      </c>
      <c r="B19" s="338"/>
      <c r="C19" s="338"/>
      <c r="D19" s="338"/>
    </row>
    <row r="20" spans="1:8" ht="30" customHeight="1" x14ac:dyDescent="0.25">
      <c r="A20" s="343" t="str">
        <f xml:space="preserve"> INDEX(реестр!N:N, F1+8)</f>
        <v>Серов А.В.</v>
      </c>
      <c r="B20" s="343"/>
      <c r="C20" s="343"/>
      <c r="D20" s="343"/>
      <c r="F20" s="223"/>
      <c r="G20" s="143"/>
    </row>
    <row r="21" spans="1:8" ht="13.8" x14ac:dyDescent="0.25">
      <c r="A21" s="342" t="s">
        <v>26</v>
      </c>
      <c r="B21" s="342"/>
      <c r="C21" s="342"/>
      <c r="D21" s="342"/>
    </row>
    <row r="22" spans="1:8" ht="13.8" x14ac:dyDescent="0.25">
      <c r="A22" s="338" t="s">
        <v>185</v>
      </c>
      <c r="B22" s="338"/>
      <c r="C22" s="338"/>
      <c r="D22" s="338"/>
    </row>
    <row r="23" spans="1:8" ht="13.8" x14ac:dyDescent="0.25">
      <c r="A23" s="338" t="s">
        <v>80</v>
      </c>
      <c r="B23" s="338"/>
      <c r="C23" s="338"/>
      <c r="D23" s="338"/>
    </row>
    <row r="24" spans="1:8" ht="30" customHeight="1" x14ac:dyDescent="0.25">
      <c r="A24" s="343" t="s">
        <v>76</v>
      </c>
      <c r="B24" s="343"/>
      <c r="C24" s="343"/>
      <c r="D24" s="343"/>
    </row>
    <row r="25" spans="1:8" ht="13.8" x14ac:dyDescent="0.25">
      <c r="A25" s="342" t="s">
        <v>26</v>
      </c>
      <c r="B25" s="342"/>
      <c r="C25" s="342"/>
      <c r="D25" s="342"/>
    </row>
    <row r="26" spans="1:8" ht="13.8" x14ac:dyDescent="0.25">
      <c r="A26" s="344" t="s">
        <v>66</v>
      </c>
      <c r="B26" s="344"/>
      <c r="C26" s="344"/>
      <c r="D26" s="344"/>
    </row>
    <row r="27" spans="1:8" ht="30" customHeight="1" x14ac:dyDescent="0.25">
      <c r="A27" s="343" t="s">
        <v>82</v>
      </c>
      <c r="B27" s="343"/>
      <c r="C27" s="343"/>
      <c r="D27" s="343"/>
    </row>
    <row r="28" spans="1:8" ht="13.8" x14ac:dyDescent="0.25">
      <c r="A28" s="342" t="s">
        <v>26</v>
      </c>
      <c r="B28" s="342"/>
      <c r="C28" s="342"/>
      <c r="D28" s="342"/>
    </row>
    <row r="29" spans="1:8" ht="13.8" x14ac:dyDescent="0.25">
      <c r="A29" s="344" t="s">
        <v>186</v>
      </c>
      <c r="B29" s="344"/>
      <c r="C29" s="344"/>
      <c r="D29" s="344"/>
    </row>
    <row r="30" spans="1:8" s="224" customFormat="1" ht="30" customHeight="1" x14ac:dyDescent="0.25">
      <c r="A30" s="343" t="s">
        <v>256</v>
      </c>
      <c r="B30" s="343"/>
      <c r="C30" s="343"/>
      <c r="D30" s="343"/>
      <c r="G30" s="223"/>
      <c r="H30" s="143"/>
    </row>
    <row r="31" spans="1:8" s="224" customFormat="1" ht="13.8" x14ac:dyDescent="0.25">
      <c r="A31" s="342" t="s">
        <v>26</v>
      </c>
      <c r="B31" s="342"/>
      <c r="C31" s="342"/>
      <c r="D31" s="342"/>
      <c r="G31" s="223"/>
      <c r="H31" s="143"/>
    </row>
  </sheetData>
  <mergeCells count="19">
    <mergeCell ref="A31:D31"/>
    <mergeCell ref="A25:D25"/>
    <mergeCell ref="A26:D26"/>
    <mergeCell ref="A27:D27"/>
    <mergeCell ref="A28:D28"/>
    <mergeCell ref="A29:D29"/>
    <mergeCell ref="A30:D30"/>
    <mergeCell ref="E5:H5"/>
    <mergeCell ref="A18:D18"/>
    <mergeCell ref="A24:D24"/>
    <mergeCell ref="C1:D1"/>
    <mergeCell ref="B2:D2"/>
    <mergeCell ref="A4:D4"/>
    <mergeCell ref="A5:D5"/>
    <mergeCell ref="A19:D19"/>
    <mergeCell ref="A20:D20"/>
    <mergeCell ref="A21:D21"/>
    <mergeCell ref="A22:D22"/>
    <mergeCell ref="A23:D23"/>
  </mergeCells>
  <pageMargins left="0.7" right="0.7" top="0.75" bottom="0.75" header="0.3" footer="0.3"/>
  <pageSetup paperSize="9" scale="78" orientation="portrait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34328-CDDA-46F3-8942-1A26C28BCAEB}">
  <sheetPr codeName="Лист73">
    <tabColor rgb="FF66FFFF"/>
  </sheetPr>
  <dimension ref="A1:H28"/>
  <sheetViews>
    <sheetView zoomScale="115" zoomScaleNormal="115" zoomScaleSheetLayoutView="109" zoomScalePageLayoutView="52" workbookViewId="0">
      <selection activeCell="F2" sqref="F2"/>
    </sheetView>
  </sheetViews>
  <sheetFormatPr defaultColWidth="9.109375" defaultRowHeight="15.6" x14ac:dyDescent="0.25"/>
  <cols>
    <col min="1" max="1" width="5.88671875" style="135" customWidth="1"/>
    <col min="2" max="2" width="55.44140625" style="136" customWidth="1"/>
    <col min="3" max="3" width="42.6640625" style="136" customWidth="1"/>
    <col min="4" max="4" width="9.33203125" style="128" customWidth="1"/>
    <col min="5" max="5" width="10.6640625" style="224" customWidth="1"/>
    <col min="6" max="6" width="5.33203125" style="224" customWidth="1"/>
    <col min="7" max="7" width="10.6640625" style="223" customWidth="1"/>
    <col min="8" max="8" width="10.6640625" style="143" customWidth="1"/>
    <col min="9" max="16384" width="9.109375" style="143"/>
  </cols>
  <sheetData>
    <row r="1" spans="1:8" ht="17.399999999999999" thickBot="1" x14ac:dyDescent="0.3">
      <c r="A1" s="126"/>
      <c r="B1" s="127"/>
      <c r="C1" s="339" t="s">
        <v>195</v>
      </c>
      <c r="D1" s="339"/>
      <c r="E1" s="225"/>
      <c r="F1" s="226">
        <v>58</v>
      </c>
      <c r="H1" s="223"/>
    </row>
    <row r="2" spans="1:8" x14ac:dyDescent="0.25">
      <c r="A2" s="129"/>
      <c r="B2" s="340" t="str">
        <f xml:space="preserve"> CONCATENATE("к АОСР ",A5)</f>
        <v>к АОСР № АИР-М-1.2-61.17-АР-58 от 10.05.2024</v>
      </c>
      <c r="C2" s="340"/>
      <c r="D2" s="340"/>
    </row>
    <row r="3" spans="1:8" ht="16.8" x14ac:dyDescent="0.3">
      <c r="A3" s="126"/>
      <c r="B3" s="126"/>
      <c r="C3" s="130"/>
      <c r="D3" s="130"/>
    </row>
    <row r="4" spans="1:8" ht="13.8" x14ac:dyDescent="0.25">
      <c r="A4" s="341" t="s">
        <v>179</v>
      </c>
      <c r="B4" s="341"/>
      <c r="C4" s="341"/>
      <c r="D4" s="341"/>
    </row>
    <row r="5" spans="1:8" ht="13.8" x14ac:dyDescent="0.25">
      <c r="A5" s="341" t="str">
        <f>CONCATENATE("№ ", INDEX(реестр!B:B, F1+8), " от ", TEXT(INDEX(реестр!C:C, F1+8), "ДД.ММ.ГГГГ"))</f>
        <v>№ АИР-М-1.2-61.17-АР-58 от 10.05.2024</v>
      </c>
      <c r="B5" s="341"/>
      <c r="C5" s="341"/>
      <c r="D5" s="341"/>
      <c r="E5" s="341"/>
      <c r="F5" s="341"/>
      <c r="G5" s="341"/>
      <c r="H5" s="341"/>
    </row>
    <row r="6" spans="1:8" s="142" customFormat="1" ht="10.8" customHeight="1" x14ac:dyDescent="0.3">
      <c r="A6" s="131"/>
      <c r="B6" s="131"/>
      <c r="C6" s="131"/>
      <c r="D6" s="132"/>
      <c r="E6" s="224"/>
      <c r="F6" s="224"/>
      <c r="G6" s="234"/>
    </row>
    <row r="7" spans="1:8" s="142" customFormat="1" ht="27.6" x14ac:dyDescent="0.25">
      <c r="A7" s="133" t="s">
        <v>180</v>
      </c>
      <c r="B7" s="133" t="s">
        <v>181</v>
      </c>
      <c r="C7" s="133" t="s">
        <v>182</v>
      </c>
      <c r="D7" s="134" t="s">
        <v>183</v>
      </c>
      <c r="E7" s="224"/>
      <c r="F7" s="224"/>
      <c r="G7" s="234"/>
    </row>
    <row r="8" spans="1:8" s="142" customFormat="1" ht="13.8" x14ac:dyDescent="0.25">
      <c r="A8" s="137">
        <v>1</v>
      </c>
      <c r="B8" s="214" t="s">
        <v>478</v>
      </c>
      <c r="C8" s="214" t="s">
        <v>312</v>
      </c>
      <c r="D8" s="214">
        <v>1</v>
      </c>
      <c r="E8" s="224"/>
      <c r="F8" s="224"/>
      <c r="G8" s="234"/>
    </row>
    <row r="9" spans="1:8" s="142" customFormat="1" ht="27.6" x14ac:dyDescent="0.25">
      <c r="A9" s="137">
        <v>2</v>
      </c>
      <c r="B9" s="214" t="s">
        <v>584</v>
      </c>
      <c r="C9" s="214" t="s">
        <v>479</v>
      </c>
      <c r="D9" s="214">
        <v>1</v>
      </c>
      <c r="E9" s="224"/>
      <c r="F9" s="224"/>
      <c r="G9" s="234"/>
    </row>
    <row r="10" spans="1:8" s="142" customFormat="1" ht="27.6" x14ac:dyDescent="0.25">
      <c r="A10" s="137">
        <v>3</v>
      </c>
      <c r="B10" s="214" t="s">
        <v>481</v>
      </c>
      <c r="C10" s="214" t="s">
        <v>582</v>
      </c>
      <c r="D10" s="214">
        <v>1</v>
      </c>
      <c r="E10" s="224"/>
      <c r="F10" s="224"/>
      <c r="G10" s="234"/>
    </row>
    <row r="11" spans="1:8" s="142" customFormat="1" ht="13.8" x14ac:dyDescent="0.25">
      <c r="A11" s="137">
        <v>4</v>
      </c>
      <c r="B11" s="214" t="s">
        <v>483</v>
      </c>
      <c r="C11" s="214" t="s">
        <v>583</v>
      </c>
      <c r="D11" s="214">
        <v>1</v>
      </c>
      <c r="E11" s="224"/>
      <c r="F11" s="224"/>
      <c r="G11" s="234"/>
    </row>
    <row r="12" spans="1:8" s="142" customFormat="1" ht="27.6" x14ac:dyDescent="0.25">
      <c r="A12" s="137">
        <v>5</v>
      </c>
      <c r="B12" s="214" t="s">
        <v>486</v>
      </c>
      <c r="C12" s="214" t="s">
        <v>485</v>
      </c>
      <c r="D12" s="214">
        <v>1</v>
      </c>
      <c r="E12" s="224"/>
      <c r="F12" s="224"/>
      <c r="G12" s="234"/>
    </row>
    <row r="13" spans="1:8" s="142" customFormat="1" ht="27.6" x14ac:dyDescent="0.25">
      <c r="A13" s="137">
        <v>6</v>
      </c>
      <c r="B13" s="214" t="s">
        <v>486</v>
      </c>
      <c r="C13" s="214" t="s">
        <v>484</v>
      </c>
      <c r="D13" s="214">
        <v>1</v>
      </c>
      <c r="E13" s="224"/>
      <c r="F13" s="224"/>
      <c r="G13" s="234"/>
    </row>
    <row r="14" spans="1:8" s="142" customFormat="1" ht="7.2" customHeight="1" x14ac:dyDescent="0.25">
      <c r="A14" s="135"/>
      <c r="B14" s="136"/>
      <c r="C14" s="136"/>
      <c r="D14" s="128"/>
      <c r="E14" s="224"/>
      <c r="F14" s="224"/>
      <c r="G14" s="234"/>
    </row>
    <row r="15" spans="1:8" ht="13.8" x14ac:dyDescent="0.25">
      <c r="A15" s="338" t="s">
        <v>184</v>
      </c>
      <c r="B15" s="338"/>
      <c r="C15" s="338"/>
      <c r="D15" s="338"/>
    </row>
    <row r="16" spans="1:8" ht="13.8" x14ac:dyDescent="0.25">
      <c r="A16" s="338" t="s">
        <v>77</v>
      </c>
      <c r="B16" s="338"/>
      <c r="C16" s="338"/>
      <c r="D16" s="338"/>
    </row>
    <row r="17" spans="1:7" ht="26.4" customHeight="1" x14ac:dyDescent="0.25">
      <c r="A17" s="343" t="str">
        <f xml:space="preserve"> INDEX(реестр!N:N, F1+8)</f>
        <v>Серов А.В.</v>
      </c>
      <c r="B17" s="343"/>
      <c r="C17" s="343"/>
      <c r="D17" s="343"/>
      <c r="F17" s="223"/>
      <c r="G17" s="143"/>
    </row>
    <row r="18" spans="1:7" ht="10.199999999999999" customHeight="1" x14ac:dyDescent="0.25">
      <c r="A18" s="342" t="s">
        <v>26</v>
      </c>
      <c r="B18" s="342"/>
      <c r="C18" s="342"/>
      <c r="D18" s="342"/>
    </row>
    <row r="19" spans="1:7" ht="13.8" x14ac:dyDescent="0.25">
      <c r="A19" s="338" t="s">
        <v>185</v>
      </c>
      <c r="B19" s="338"/>
      <c r="C19" s="338"/>
      <c r="D19" s="338"/>
    </row>
    <row r="20" spans="1:7" ht="13.8" x14ac:dyDescent="0.25">
      <c r="A20" s="338" t="s">
        <v>80</v>
      </c>
      <c r="B20" s="338"/>
      <c r="C20" s="338"/>
      <c r="D20" s="338"/>
    </row>
    <row r="21" spans="1:7" ht="26.4" customHeight="1" x14ac:dyDescent="0.25">
      <c r="A21" s="343" t="s">
        <v>76</v>
      </c>
      <c r="B21" s="343"/>
      <c r="C21" s="343"/>
      <c r="D21" s="343"/>
    </row>
    <row r="22" spans="1:7" ht="10.199999999999999" customHeight="1" x14ac:dyDescent="0.25">
      <c r="A22" s="342" t="s">
        <v>26</v>
      </c>
      <c r="B22" s="342"/>
      <c r="C22" s="342"/>
      <c r="D22" s="342"/>
    </row>
    <row r="23" spans="1:7" ht="13.8" x14ac:dyDescent="0.25">
      <c r="A23" s="344" t="s">
        <v>66</v>
      </c>
      <c r="B23" s="344"/>
      <c r="C23" s="344"/>
      <c r="D23" s="344"/>
    </row>
    <row r="24" spans="1:7" ht="26.4" customHeight="1" x14ac:dyDescent="0.25">
      <c r="A24" s="343" t="s">
        <v>82</v>
      </c>
      <c r="B24" s="343"/>
      <c r="C24" s="343"/>
      <c r="D24" s="343"/>
    </row>
    <row r="25" spans="1:7" ht="10.8" customHeight="1" x14ac:dyDescent="0.25">
      <c r="A25" s="342" t="s">
        <v>26</v>
      </c>
      <c r="B25" s="342"/>
      <c r="C25" s="342"/>
      <c r="D25" s="342"/>
    </row>
    <row r="26" spans="1:7" ht="13.8" x14ac:dyDescent="0.25">
      <c r="A26" s="344" t="s">
        <v>186</v>
      </c>
      <c r="B26" s="344"/>
      <c r="C26" s="344"/>
      <c r="D26" s="344"/>
    </row>
    <row r="27" spans="1:7" ht="26.4" customHeight="1" x14ac:dyDescent="0.25">
      <c r="A27" s="343" t="s">
        <v>256</v>
      </c>
      <c r="B27" s="343"/>
      <c r="C27" s="343"/>
      <c r="D27" s="343"/>
    </row>
    <row r="28" spans="1:7" ht="10.199999999999999" customHeight="1" x14ac:dyDescent="0.25">
      <c r="A28" s="342" t="s">
        <v>26</v>
      </c>
      <c r="B28" s="342"/>
      <c r="C28" s="342"/>
      <c r="D28" s="342"/>
    </row>
  </sheetData>
  <mergeCells count="19">
    <mergeCell ref="E5:H5"/>
    <mergeCell ref="A15:D15"/>
    <mergeCell ref="A21:D21"/>
    <mergeCell ref="C1:D1"/>
    <mergeCell ref="B2:D2"/>
    <mergeCell ref="A4:D4"/>
    <mergeCell ref="A5:D5"/>
    <mergeCell ref="A16:D16"/>
    <mergeCell ref="A17:D17"/>
    <mergeCell ref="A18:D18"/>
    <mergeCell ref="A19:D19"/>
    <mergeCell ref="A20:D20"/>
    <mergeCell ref="A28:D28"/>
    <mergeCell ref="A22:D22"/>
    <mergeCell ref="A23:D23"/>
    <mergeCell ref="A24:D24"/>
    <mergeCell ref="A25:D25"/>
    <mergeCell ref="A26:D26"/>
    <mergeCell ref="A27:D27"/>
  </mergeCells>
  <pageMargins left="0.7" right="0.7" top="0.75" bottom="0.75" header="0.3" footer="0.3"/>
  <pageSetup paperSize="9" scale="78" orientation="portrait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70A711-4D09-4261-BE71-57DEE37CE5D3}">
  <sheetPr codeName="Лист78">
    <tabColor rgb="FF66FFFF"/>
  </sheetPr>
  <dimension ref="A1:H29"/>
  <sheetViews>
    <sheetView view="pageBreakPreview" zoomScale="74" zoomScaleNormal="115" zoomScaleSheetLayoutView="115" workbookViewId="0">
      <selection activeCell="F2" sqref="F2"/>
    </sheetView>
  </sheetViews>
  <sheetFormatPr defaultColWidth="9.109375" defaultRowHeight="15.6" x14ac:dyDescent="0.25"/>
  <cols>
    <col min="1" max="1" width="5.88671875" style="135" customWidth="1"/>
    <col min="2" max="2" width="55.44140625" style="136" customWidth="1"/>
    <col min="3" max="3" width="42.6640625" style="136" customWidth="1"/>
    <col min="4" max="4" width="9.33203125" style="128" customWidth="1"/>
    <col min="5" max="5" width="10.6640625" style="224" customWidth="1"/>
    <col min="6" max="6" width="5.33203125" style="224" customWidth="1"/>
    <col min="7" max="7" width="10.6640625" style="223" customWidth="1"/>
    <col min="8" max="8" width="10.6640625" style="143" customWidth="1"/>
    <col min="9" max="16384" width="9.109375" style="143"/>
  </cols>
  <sheetData>
    <row r="1" spans="1:8" ht="17.399999999999999" thickBot="1" x14ac:dyDescent="0.3">
      <c r="A1" s="126"/>
      <c r="B1" s="127"/>
      <c r="C1" s="339" t="s">
        <v>195</v>
      </c>
      <c r="D1" s="339"/>
      <c r="E1" s="225"/>
      <c r="F1" s="226">
        <v>61</v>
      </c>
      <c r="H1" s="223"/>
    </row>
    <row r="2" spans="1:8" x14ac:dyDescent="0.25">
      <c r="A2" s="129"/>
      <c r="B2" s="340" t="str">
        <f xml:space="preserve"> CONCATENATE("к АОСР ",A5)</f>
        <v>к АОСР № АИР-М-1.2-61.17-АР-61 от 06.05.2024</v>
      </c>
      <c r="C2" s="340"/>
      <c r="D2" s="340"/>
    </row>
    <row r="3" spans="1:8" ht="16.8" x14ac:dyDescent="0.3">
      <c r="A3" s="126"/>
      <c r="B3" s="126"/>
      <c r="C3" s="130"/>
      <c r="D3" s="130"/>
    </row>
    <row r="4" spans="1:8" ht="13.8" x14ac:dyDescent="0.25">
      <c r="A4" s="341" t="s">
        <v>179</v>
      </c>
      <c r="B4" s="341"/>
      <c r="C4" s="341"/>
      <c r="D4" s="341"/>
    </row>
    <row r="5" spans="1:8" ht="13.8" x14ac:dyDescent="0.25">
      <c r="A5" s="341" t="str">
        <f>CONCATENATE("№ ", INDEX(реестр!B:B, F1+8), " от ", TEXT(INDEX(реестр!C:C, F1+8), "ДД.ММ.ГГГГ"))</f>
        <v>№ АИР-М-1.2-61.17-АР-61 от 06.05.2024</v>
      </c>
      <c r="B5" s="341"/>
      <c r="C5" s="341"/>
      <c r="D5" s="341"/>
      <c r="E5" s="341"/>
      <c r="F5" s="341"/>
      <c r="G5" s="341"/>
      <c r="H5" s="341"/>
    </row>
    <row r="6" spans="1:8" s="142" customFormat="1" ht="16.8" x14ac:dyDescent="0.3">
      <c r="A6" s="131"/>
      <c r="B6" s="131"/>
      <c r="C6" s="131"/>
      <c r="D6" s="132"/>
      <c r="E6" s="224"/>
      <c r="F6" s="224"/>
      <c r="G6" s="234"/>
    </row>
    <row r="7" spans="1:8" s="142" customFormat="1" ht="27.6" x14ac:dyDescent="0.25">
      <c r="A7" s="133" t="s">
        <v>180</v>
      </c>
      <c r="B7" s="133" t="s">
        <v>181</v>
      </c>
      <c r="C7" s="133" t="s">
        <v>182</v>
      </c>
      <c r="D7" s="134" t="s">
        <v>183</v>
      </c>
      <c r="E7" s="224"/>
      <c r="F7" s="224"/>
      <c r="G7" s="234"/>
    </row>
    <row r="8" spans="1:8" s="142" customFormat="1" ht="13.8" x14ac:dyDescent="0.25">
      <c r="A8" s="137">
        <v>1</v>
      </c>
      <c r="B8" s="214" t="s">
        <v>462</v>
      </c>
      <c r="C8" s="214" t="s">
        <v>306</v>
      </c>
      <c r="D8" s="214">
        <v>1</v>
      </c>
      <c r="E8" s="224"/>
      <c r="F8" s="224"/>
      <c r="G8" s="234"/>
    </row>
    <row r="9" spans="1:8" s="142" customFormat="1" ht="27.6" x14ac:dyDescent="0.25">
      <c r="A9" s="137">
        <v>2</v>
      </c>
      <c r="B9" s="214" t="s">
        <v>310</v>
      </c>
      <c r="C9" s="214" t="s">
        <v>307</v>
      </c>
      <c r="D9" s="214">
        <v>1</v>
      </c>
      <c r="E9" s="224"/>
      <c r="F9" s="224"/>
      <c r="G9" s="234"/>
    </row>
    <row r="10" spans="1:8" s="142" customFormat="1" ht="27.6" x14ac:dyDescent="0.25">
      <c r="A10" s="137">
        <v>3</v>
      </c>
      <c r="B10" s="214" t="s">
        <v>310</v>
      </c>
      <c r="C10" s="214" t="s">
        <v>309</v>
      </c>
      <c r="D10" s="214">
        <v>1</v>
      </c>
      <c r="E10" s="224"/>
      <c r="F10" s="224"/>
      <c r="G10" s="234"/>
    </row>
    <row r="11" spans="1:8" s="142" customFormat="1" ht="13.8" x14ac:dyDescent="0.25">
      <c r="A11" s="137">
        <v>4</v>
      </c>
      <c r="B11" s="214" t="s">
        <v>311</v>
      </c>
      <c r="C11" s="214" t="s">
        <v>308</v>
      </c>
      <c r="D11" s="214">
        <v>3</v>
      </c>
      <c r="E11" s="224"/>
      <c r="F11" s="224"/>
      <c r="G11" s="234"/>
    </row>
    <row r="12" spans="1:8" s="142" customFormat="1" ht="13.8" x14ac:dyDescent="0.25">
      <c r="A12" s="137">
        <v>5</v>
      </c>
      <c r="B12" s="214" t="s">
        <v>315</v>
      </c>
      <c r="C12" s="214" t="s">
        <v>312</v>
      </c>
      <c r="D12" s="214">
        <v>1</v>
      </c>
      <c r="E12" s="224"/>
      <c r="F12" s="224"/>
      <c r="G12" s="234"/>
    </row>
    <row r="13" spans="1:8" s="142" customFormat="1" ht="27.6" x14ac:dyDescent="0.25">
      <c r="A13" s="137">
        <v>6</v>
      </c>
      <c r="B13" s="214" t="s">
        <v>316</v>
      </c>
      <c r="C13" s="214" t="s">
        <v>313</v>
      </c>
      <c r="D13" s="214">
        <v>1</v>
      </c>
      <c r="E13" s="224"/>
      <c r="F13" s="224"/>
      <c r="G13" s="234"/>
    </row>
    <row r="14" spans="1:8" s="142" customFormat="1" ht="27.6" x14ac:dyDescent="0.25">
      <c r="A14" s="137">
        <v>7</v>
      </c>
      <c r="B14" s="214" t="s">
        <v>317</v>
      </c>
      <c r="C14" s="214" t="s">
        <v>314</v>
      </c>
      <c r="D14" s="214">
        <v>3</v>
      </c>
      <c r="E14" s="224"/>
      <c r="F14" s="224"/>
      <c r="G14" s="234"/>
    </row>
    <row r="15" spans="1:8" s="142" customFormat="1" x14ac:dyDescent="0.25">
      <c r="A15" s="135"/>
      <c r="B15" s="136"/>
      <c r="C15" s="136"/>
      <c r="D15" s="128"/>
      <c r="E15" s="224"/>
      <c r="F15" s="224"/>
      <c r="G15" s="234"/>
    </row>
    <row r="16" spans="1:8" ht="13.8" x14ac:dyDescent="0.25">
      <c r="A16" s="338" t="s">
        <v>184</v>
      </c>
      <c r="B16" s="338"/>
      <c r="C16" s="338"/>
      <c r="D16" s="338"/>
    </row>
    <row r="17" spans="1:8" ht="13.8" x14ac:dyDescent="0.25">
      <c r="A17" s="338" t="s">
        <v>77</v>
      </c>
      <c r="B17" s="338"/>
      <c r="C17" s="338"/>
      <c r="D17" s="338"/>
    </row>
    <row r="18" spans="1:8" ht="30" customHeight="1" x14ac:dyDescent="0.25">
      <c r="A18" s="343" t="str">
        <f xml:space="preserve"> INDEX(реестр!N:N, F1+8)</f>
        <v>Сураев С.П.</v>
      </c>
      <c r="B18" s="343"/>
      <c r="C18" s="343"/>
      <c r="D18" s="343"/>
      <c r="F18" s="223"/>
      <c r="G18" s="143"/>
    </row>
    <row r="19" spans="1:8" ht="13.8" x14ac:dyDescent="0.25">
      <c r="A19" s="342" t="s">
        <v>26</v>
      </c>
      <c r="B19" s="342"/>
      <c r="C19" s="342"/>
      <c r="D19" s="342"/>
    </row>
    <row r="20" spans="1:8" ht="13.8" x14ac:dyDescent="0.25">
      <c r="A20" s="338" t="s">
        <v>185</v>
      </c>
      <c r="B20" s="338"/>
      <c r="C20" s="338"/>
      <c r="D20" s="338"/>
    </row>
    <row r="21" spans="1:8" ht="13.8" x14ac:dyDescent="0.25">
      <c r="A21" s="338" t="s">
        <v>80</v>
      </c>
      <c r="B21" s="338"/>
      <c r="C21" s="338"/>
      <c r="D21" s="338"/>
    </row>
    <row r="22" spans="1:8" ht="30" customHeight="1" x14ac:dyDescent="0.25">
      <c r="A22" s="343" t="s">
        <v>76</v>
      </c>
      <c r="B22" s="343"/>
      <c r="C22" s="343"/>
      <c r="D22" s="343"/>
    </row>
    <row r="23" spans="1:8" ht="13.8" x14ac:dyDescent="0.25">
      <c r="A23" s="342" t="s">
        <v>26</v>
      </c>
      <c r="B23" s="342"/>
      <c r="C23" s="342"/>
      <c r="D23" s="342"/>
    </row>
    <row r="24" spans="1:8" ht="13.8" x14ac:dyDescent="0.25">
      <c r="A24" s="344" t="s">
        <v>66</v>
      </c>
      <c r="B24" s="344"/>
      <c r="C24" s="344"/>
      <c r="D24" s="344"/>
    </row>
    <row r="25" spans="1:8" ht="30" customHeight="1" x14ac:dyDescent="0.25">
      <c r="A25" s="343" t="s">
        <v>82</v>
      </c>
      <c r="B25" s="343"/>
      <c r="C25" s="343"/>
      <c r="D25" s="343"/>
    </row>
    <row r="26" spans="1:8" ht="13.8" x14ac:dyDescent="0.25">
      <c r="A26" s="342" t="s">
        <v>26</v>
      </c>
      <c r="B26" s="342"/>
      <c r="C26" s="342"/>
      <c r="D26" s="342"/>
    </row>
    <row r="27" spans="1:8" ht="13.8" x14ac:dyDescent="0.25">
      <c r="A27" s="344" t="s">
        <v>186</v>
      </c>
      <c r="B27" s="344"/>
      <c r="C27" s="344"/>
      <c r="D27" s="344"/>
    </row>
    <row r="28" spans="1:8" s="224" customFormat="1" ht="30" customHeight="1" x14ac:dyDescent="0.25">
      <c r="A28" s="343" t="s">
        <v>256</v>
      </c>
      <c r="B28" s="343"/>
      <c r="C28" s="343"/>
      <c r="D28" s="343"/>
      <c r="G28" s="223"/>
      <c r="H28" s="143"/>
    </row>
    <row r="29" spans="1:8" s="224" customFormat="1" ht="13.8" x14ac:dyDescent="0.25">
      <c r="A29" s="342" t="s">
        <v>26</v>
      </c>
      <c r="B29" s="342"/>
      <c r="C29" s="342"/>
      <c r="D29" s="342"/>
      <c r="G29" s="223"/>
      <c r="H29" s="143"/>
    </row>
  </sheetData>
  <mergeCells count="19">
    <mergeCell ref="E5:H5"/>
    <mergeCell ref="A16:D16"/>
    <mergeCell ref="A22:D22"/>
    <mergeCell ref="C1:D1"/>
    <mergeCell ref="B2:D2"/>
    <mergeCell ref="A4:D4"/>
    <mergeCell ref="A5:D5"/>
    <mergeCell ref="A17:D17"/>
    <mergeCell ref="A18:D18"/>
    <mergeCell ref="A19:D19"/>
    <mergeCell ref="A20:D20"/>
    <mergeCell ref="A21:D21"/>
    <mergeCell ref="A29:D29"/>
    <mergeCell ref="A23:D23"/>
    <mergeCell ref="A24:D24"/>
    <mergeCell ref="A25:D25"/>
    <mergeCell ref="A26:D26"/>
    <mergeCell ref="A27:D27"/>
    <mergeCell ref="A28:D28"/>
  </mergeCells>
  <pageMargins left="0.7" right="0.7" top="0.75" bottom="0.75" header="0.3" footer="0.3"/>
  <pageSetup paperSize="9" scale="78" orientation="portrait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BAD575-51EE-4B3B-847B-866EA8426D1C}">
  <sheetPr codeName="Лист64">
    <tabColor rgb="FF66FFFF"/>
  </sheetPr>
  <dimension ref="A1:AN35"/>
  <sheetViews>
    <sheetView view="pageBreakPreview" zoomScale="80" zoomScaleNormal="115" zoomScaleSheetLayoutView="115" workbookViewId="0">
      <selection activeCell="F2" sqref="F2"/>
    </sheetView>
  </sheetViews>
  <sheetFormatPr defaultColWidth="9.109375" defaultRowHeight="15.6" x14ac:dyDescent="0.25"/>
  <cols>
    <col min="1" max="1" width="5.88671875" style="135" customWidth="1"/>
    <col min="2" max="2" width="55.44140625" style="136" customWidth="1"/>
    <col min="3" max="3" width="42.6640625" style="136" customWidth="1"/>
    <col min="4" max="4" width="9.33203125" style="128" customWidth="1"/>
    <col min="5" max="7" width="9.109375" style="143"/>
    <col min="8" max="8" width="63.44140625" style="143" customWidth="1"/>
    <col min="9" max="9" width="36.6640625" style="143" customWidth="1"/>
    <col min="10" max="16384" width="9.109375" style="143"/>
  </cols>
  <sheetData>
    <row r="1" spans="1:40" ht="17.399999999999999" thickBot="1" x14ac:dyDescent="0.3">
      <c r="A1" s="126"/>
      <c r="B1" s="127"/>
      <c r="C1" s="339" t="s">
        <v>195</v>
      </c>
      <c r="D1" s="339"/>
      <c r="E1" s="225"/>
      <c r="F1" s="226">
        <v>62</v>
      </c>
      <c r="G1" s="223"/>
      <c r="H1" s="223"/>
    </row>
    <row r="2" spans="1:40" x14ac:dyDescent="0.25">
      <c r="A2" s="129"/>
      <c r="B2" s="340" t="str">
        <f xml:space="preserve"> CONCATENATE("к АОСР ",A5)</f>
        <v>к АОСР № АИР-М-1.2-61.17-АР-62 от 08.05.2024</v>
      </c>
      <c r="C2" s="340"/>
      <c r="D2" s="340"/>
    </row>
    <row r="3" spans="1:40" ht="16.8" x14ac:dyDescent="0.3">
      <c r="A3" s="126"/>
      <c r="B3" s="126"/>
      <c r="C3" s="130"/>
      <c r="D3" s="130"/>
    </row>
    <row r="4" spans="1:40" ht="13.8" x14ac:dyDescent="0.25">
      <c r="A4" s="341" t="s">
        <v>179</v>
      </c>
      <c r="B4" s="341"/>
      <c r="C4" s="341"/>
      <c r="D4" s="341"/>
    </row>
    <row r="5" spans="1:40" ht="15" customHeight="1" x14ac:dyDescent="0.25">
      <c r="A5" s="341" t="str">
        <f>CONCATENATE("№ ", INDEX(реестр!B:B, F1+8), " от ", TEXT(INDEX(реестр!C:C, F1+8), "ДД.ММ.ГГГГ"))</f>
        <v>№ АИР-М-1.2-61.17-АР-62 от 08.05.2024</v>
      </c>
      <c r="B5" s="341"/>
      <c r="C5" s="341"/>
      <c r="D5" s="341"/>
      <c r="F5" s="341"/>
      <c r="G5" s="341"/>
      <c r="H5" s="341"/>
      <c r="I5" s="341"/>
    </row>
    <row r="6" spans="1:40" s="142" customFormat="1" ht="16.8" x14ac:dyDescent="0.3">
      <c r="A6" s="131"/>
      <c r="B6" s="131"/>
      <c r="C6" s="131"/>
      <c r="D6" s="132"/>
    </row>
    <row r="7" spans="1:40" s="142" customFormat="1" ht="27.6" x14ac:dyDescent="0.25">
      <c r="A7" s="133" t="s">
        <v>180</v>
      </c>
      <c r="B7" s="133" t="s">
        <v>181</v>
      </c>
      <c r="C7" s="133" t="s">
        <v>182</v>
      </c>
      <c r="D7" s="134" t="s">
        <v>183</v>
      </c>
    </row>
    <row r="8" spans="1:40" s="137" customFormat="1" ht="27.6" x14ac:dyDescent="0.25">
      <c r="A8" s="137">
        <v>1</v>
      </c>
      <c r="B8" s="137" t="s">
        <v>585</v>
      </c>
      <c r="C8" s="137" t="s">
        <v>586</v>
      </c>
      <c r="D8" s="245">
        <v>1</v>
      </c>
      <c r="E8" s="217"/>
      <c r="F8" s="217"/>
      <c r="G8" s="217"/>
      <c r="H8" s="217"/>
      <c r="I8" s="217"/>
      <c r="J8" s="217"/>
      <c r="K8" s="217"/>
      <c r="L8" s="217"/>
      <c r="M8" s="217"/>
      <c r="N8" s="217"/>
      <c r="O8" s="217"/>
      <c r="P8" s="217"/>
      <c r="Q8" s="217"/>
      <c r="R8" s="217"/>
      <c r="S8" s="217"/>
      <c r="T8" s="217"/>
      <c r="U8" s="217"/>
      <c r="V8" s="217"/>
      <c r="W8" s="217"/>
      <c r="X8" s="217"/>
      <c r="Y8" s="217"/>
      <c r="Z8" s="217"/>
      <c r="AA8" s="217"/>
      <c r="AB8" s="217"/>
      <c r="AC8" s="217"/>
      <c r="AD8" s="217"/>
      <c r="AE8" s="217"/>
      <c r="AF8" s="217"/>
      <c r="AG8" s="217"/>
      <c r="AH8" s="217"/>
      <c r="AI8" s="217"/>
      <c r="AJ8" s="217"/>
      <c r="AK8" s="217"/>
      <c r="AL8" s="217"/>
      <c r="AM8" s="217"/>
      <c r="AN8" s="217"/>
    </row>
    <row r="9" spans="1:40" s="217" customFormat="1" ht="27.6" x14ac:dyDescent="0.25">
      <c r="A9" s="137">
        <v>2</v>
      </c>
      <c r="B9" s="137" t="s">
        <v>587</v>
      </c>
      <c r="C9" s="137" t="s">
        <v>588</v>
      </c>
      <c r="D9" s="245">
        <v>1</v>
      </c>
    </row>
    <row r="10" spans="1:40" s="217" customFormat="1" ht="27.6" x14ac:dyDescent="0.25">
      <c r="A10" s="137">
        <v>3</v>
      </c>
      <c r="B10" s="137" t="s">
        <v>587</v>
      </c>
      <c r="C10" s="137" t="s">
        <v>589</v>
      </c>
      <c r="D10" s="245">
        <v>1</v>
      </c>
    </row>
    <row r="11" spans="1:40" s="142" customFormat="1" ht="27.6" x14ac:dyDescent="0.25">
      <c r="A11" s="137">
        <v>4</v>
      </c>
      <c r="B11" s="214" t="s">
        <v>463</v>
      </c>
      <c r="C11" s="214" t="s">
        <v>268</v>
      </c>
      <c r="D11" s="214">
        <v>1</v>
      </c>
    </row>
    <row r="12" spans="1:40" s="142" customFormat="1" ht="27.6" x14ac:dyDescent="0.25">
      <c r="A12" s="137">
        <v>5</v>
      </c>
      <c r="B12" s="214" t="s">
        <v>203</v>
      </c>
      <c r="C12" s="214" t="s">
        <v>281</v>
      </c>
      <c r="D12" s="214">
        <v>1</v>
      </c>
    </row>
    <row r="13" spans="1:40" s="142" customFormat="1" ht="27.6" x14ac:dyDescent="0.25">
      <c r="A13" s="137">
        <v>6</v>
      </c>
      <c r="B13" s="214" t="s">
        <v>203</v>
      </c>
      <c r="C13" s="214" t="s">
        <v>280</v>
      </c>
      <c r="D13" s="214">
        <v>2</v>
      </c>
    </row>
    <row r="14" spans="1:40" s="142" customFormat="1" ht="27.6" x14ac:dyDescent="0.25">
      <c r="A14" s="137">
        <v>7</v>
      </c>
      <c r="B14" s="214" t="s">
        <v>204</v>
      </c>
      <c r="C14" s="214" t="s">
        <v>279</v>
      </c>
      <c r="D14" s="214">
        <v>3</v>
      </c>
    </row>
    <row r="15" spans="1:40" s="142" customFormat="1" ht="27.6" x14ac:dyDescent="0.25">
      <c r="A15" s="137">
        <v>8</v>
      </c>
      <c r="B15" s="214" t="s">
        <v>464</v>
      </c>
      <c r="C15" s="214" t="s">
        <v>278</v>
      </c>
      <c r="D15" s="214">
        <v>1</v>
      </c>
      <c r="H15" s="206"/>
    </row>
    <row r="16" spans="1:40" s="142" customFormat="1" ht="27.6" x14ac:dyDescent="0.25">
      <c r="A16" s="137">
        <v>9</v>
      </c>
      <c r="B16" s="214" t="s">
        <v>202</v>
      </c>
      <c r="C16" s="214" t="s">
        <v>277</v>
      </c>
      <c r="D16" s="214">
        <v>1</v>
      </c>
    </row>
    <row r="17" spans="1:4" s="142" customFormat="1" ht="13.8" x14ac:dyDescent="0.25">
      <c r="A17" s="137">
        <v>10</v>
      </c>
      <c r="B17" s="214" t="s">
        <v>465</v>
      </c>
      <c r="C17" s="214" t="s">
        <v>298</v>
      </c>
      <c r="D17" s="214">
        <v>1</v>
      </c>
    </row>
    <row r="18" spans="1:4" s="142" customFormat="1" ht="27.6" x14ac:dyDescent="0.25">
      <c r="A18" s="137">
        <v>8</v>
      </c>
      <c r="B18" s="214" t="s">
        <v>302</v>
      </c>
      <c r="C18" s="214" t="s">
        <v>299</v>
      </c>
      <c r="D18" s="214">
        <v>2</v>
      </c>
    </row>
    <row r="19" spans="1:4" s="142" customFormat="1" ht="27.6" x14ac:dyDescent="0.25">
      <c r="A19" s="137">
        <v>9</v>
      </c>
      <c r="B19" s="214" t="s">
        <v>303</v>
      </c>
      <c r="C19" s="214" t="s">
        <v>300</v>
      </c>
      <c r="D19" s="214">
        <v>2</v>
      </c>
    </row>
    <row r="20" spans="1:4" s="142" customFormat="1" ht="13.8" x14ac:dyDescent="0.25">
      <c r="A20" s="137">
        <v>10</v>
      </c>
      <c r="B20" s="214" t="s">
        <v>304</v>
      </c>
      <c r="C20" s="214" t="s">
        <v>301</v>
      </c>
      <c r="D20" s="214">
        <v>2</v>
      </c>
    </row>
    <row r="21" spans="1:4" s="142" customFormat="1" x14ac:dyDescent="0.25">
      <c r="A21" s="135"/>
      <c r="B21" s="136"/>
      <c r="C21" s="136"/>
      <c r="D21" s="128"/>
    </row>
    <row r="22" spans="1:4" ht="13.8" x14ac:dyDescent="0.25">
      <c r="A22" s="338" t="s">
        <v>184</v>
      </c>
      <c r="B22" s="338"/>
      <c r="C22" s="338"/>
      <c r="D22" s="338"/>
    </row>
    <row r="23" spans="1:4" ht="13.8" x14ac:dyDescent="0.25">
      <c r="A23" s="338" t="s">
        <v>77</v>
      </c>
      <c r="B23" s="338"/>
      <c r="C23" s="338"/>
      <c r="D23" s="338"/>
    </row>
    <row r="24" spans="1:4" ht="30" customHeight="1" x14ac:dyDescent="0.25">
      <c r="A24" s="343" t="str">
        <f xml:space="preserve"> INDEX(реестр!N:N, F1+8)</f>
        <v>Серов А.В.</v>
      </c>
      <c r="B24" s="343"/>
      <c r="C24" s="343"/>
      <c r="D24" s="343"/>
    </row>
    <row r="25" spans="1:4" ht="13.8" x14ac:dyDescent="0.25">
      <c r="A25" s="342" t="s">
        <v>26</v>
      </c>
      <c r="B25" s="342"/>
      <c r="C25" s="342"/>
      <c r="D25" s="342"/>
    </row>
    <row r="26" spans="1:4" ht="13.8" x14ac:dyDescent="0.25">
      <c r="A26" s="338" t="s">
        <v>185</v>
      </c>
      <c r="B26" s="338"/>
      <c r="C26" s="338"/>
      <c r="D26" s="338"/>
    </row>
    <row r="27" spans="1:4" ht="13.8" x14ac:dyDescent="0.25">
      <c r="A27" s="338" t="s">
        <v>80</v>
      </c>
      <c r="B27" s="338"/>
      <c r="C27" s="338"/>
      <c r="D27" s="338"/>
    </row>
    <row r="28" spans="1:4" ht="30" customHeight="1" x14ac:dyDescent="0.25">
      <c r="A28" s="343" t="s">
        <v>76</v>
      </c>
      <c r="B28" s="343"/>
      <c r="C28" s="343"/>
      <c r="D28" s="343"/>
    </row>
    <row r="29" spans="1:4" ht="13.8" x14ac:dyDescent="0.25">
      <c r="A29" s="342" t="s">
        <v>26</v>
      </c>
      <c r="B29" s="342"/>
      <c r="C29" s="342"/>
      <c r="D29" s="342"/>
    </row>
    <row r="30" spans="1:4" ht="13.8" x14ac:dyDescent="0.25">
      <c r="A30" s="344" t="s">
        <v>66</v>
      </c>
      <c r="B30" s="344"/>
      <c r="C30" s="344"/>
      <c r="D30" s="344"/>
    </row>
    <row r="31" spans="1:4" ht="30" customHeight="1" x14ac:dyDescent="0.25">
      <c r="A31" s="343" t="s">
        <v>82</v>
      </c>
      <c r="B31" s="343"/>
      <c r="C31" s="343"/>
      <c r="D31" s="343"/>
    </row>
    <row r="32" spans="1:4" ht="13.8" x14ac:dyDescent="0.25">
      <c r="A32" s="342" t="s">
        <v>26</v>
      </c>
      <c r="B32" s="342"/>
      <c r="C32" s="342"/>
      <c r="D32" s="342"/>
    </row>
    <row r="33" spans="1:4" ht="13.8" x14ac:dyDescent="0.25">
      <c r="A33" s="344" t="s">
        <v>186</v>
      </c>
      <c r="B33" s="344"/>
      <c r="C33" s="344"/>
      <c r="D33" s="344"/>
    </row>
    <row r="34" spans="1:4" ht="30" customHeight="1" x14ac:dyDescent="0.25">
      <c r="A34" s="343" t="s">
        <v>256</v>
      </c>
      <c r="B34" s="343"/>
      <c r="C34" s="343"/>
      <c r="D34" s="343"/>
    </row>
    <row r="35" spans="1:4" ht="13.8" x14ac:dyDescent="0.25">
      <c r="A35" s="342" t="s">
        <v>26</v>
      </c>
      <c r="B35" s="342"/>
      <c r="C35" s="342"/>
      <c r="D35" s="342"/>
    </row>
  </sheetData>
  <mergeCells count="19">
    <mergeCell ref="F5:I5"/>
    <mergeCell ref="A22:D22"/>
    <mergeCell ref="A28:D28"/>
    <mergeCell ref="C1:D1"/>
    <mergeCell ref="B2:D2"/>
    <mergeCell ref="A4:D4"/>
    <mergeCell ref="A5:D5"/>
    <mergeCell ref="A23:D23"/>
    <mergeCell ref="A24:D24"/>
    <mergeCell ref="A25:D25"/>
    <mergeCell ref="A26:D26"/>
    <mergeCell ref="A27:D27"/>
    <mergeCell ref="A35:D35"/>
    <mergeCell ref="A29:D29"/>
    <mergeCell ref="A30:D30"/>
    <mergeCell ref="A31:D31"/>
    <mergeCell ref="A32:D32"/>
    <mergeCell ref="A33:D33"/>
    <mergeCell ref="A34:D34"/>
  </mergeCells>
  <pageMargins left="0.7" right="0.7" top="0.75" bottom="0.75" header="0.3" footer="0.3"/>
  <pageSetup paperSize="9" scale="78" orientation="portrait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970A4-A57C-49E2-8540-BB45FC24B4C4}">
  <sheetPr codeName="Лист70">
    <tabColor rgb="FF66FFFF"/>
  </sheetPr>
  <dimension ref="A1:I32"/>
  <sheetViews>
    <sheetView view="pageBreakPreview" zoomScale="67" zoomScaleNormal="115" zoomScaleSheetLayoutView="115" workbookViewId="0">
      <selection activeCell="F2" sqref="F2"/>
    </sheetView>
  </sheetViews>
  <sheetFormatPr defaultColWidth="9.109375" defaultRowHeight="15.6" x14ac:dyDescent="0.25"/>
  <cols>
    <col min="1" max="1" width="5.88671875" style="135" customWidth="1"/>
    <col min="2" max="2" width="55.44140625" style="136" customWidth="1"/>
    <col min="3" max="3" width="42.6640625" style="136" customWidth="1"/>
    <col min="4" max="4" width="9.33203125" style="128" customWidth="1"/>
    <col min="5" max="7" width="9.109375" style="143"/>
    <col min="8" max="8" width="63.44140625" style="143" customWidth="1"/>
    <col min="9" max="9" width="36.6640625" style="143" customWidth="1"/>
    <col min="10" max="16384" width="9.109375" style="143"/>
  </cols>
  <sheetData>
    <row r="1" spans="1:9" ht="17.399999999999999" thickBot="1" x14ac:dyDescent="0.3">
      <c r="A1" s="126"/>
      <c r="B1" s="127"/>
      <c r="C1" s="339" t="s">
        <v>195</v>
      </c>
      <c r="D1" s="339"/>
      <c r="E1" s="225"/>
      <c r="F1" s="226">
        <v>63</v>
      </c>
      <c r="G1" s="223"/>
      <c r="H1" s="223"/>
    </row>
    <row r="2" spans="1:9" x14ac:dyDescent="0.25">
      <c r="A2" s="129"/>
      <c r="B2" s="340" t="str">
        <f xml:space="preserve"> CONCATENATE("к АОСР ",A5)</f>
        <v>к АОСР № АИР-М-1.2-61.17-АР-63 от 12.05.2024</v>
      </c>
      <c r="C2" s="340"/>
      <c r="D2" s="340"/>
    </row>
    <row r="3" spans="1:9" ht="16.8" x14ac:dyDescent="0.3">
      <c r="A3" s="126"/>
      <c r="B3" s="126"/>
      <c r="C3" s="130"/>
      <c r="D3" s="130"/>
    </row>
    <row r="4" spans="1:9" ht="13.8" x14ac:dyDescent="0.25">
      <c r="A4" s="341" t="s">
        <v>179</v>
      </c>
      <c r="B4" s="341"/>
      <c r="C4" s="341"/>
      <c r="D4" s="341"/>
    </row>
    <row r="5" spans="1:9" ht="15" customHeight="1" x14ac:dyDescent="0.25">
      <c r="A5" s="341" t="str">
        <f>CONCATENATE("№ ", INDEX(реестр!B:B, F1+8), " от ", TEXT(INDEX(реестр!C:C, F1+8), "ДД.ММ.ГГГГ"))</f>
        <v>№ АИР-М-1.2-61.17-АР-63 от 12.05.2024</v>
      </c>
      <c r="B5" s="341"/>
      <c r="C5" s="341"/>
      <c r="D5" s="341"/>
      <c r="F5" s="341"/>
      <c r="G5" s="341"/>
      <c r="H5" s="341"/>
      <c r="I5" s="341"/>
    </row>
    <row r="6" spans="1:9" s="142" customFormat="1" ht="16.8" x14ac:dyDescent="0.3">
      <c r="A6" s="131"/>
      <c r="B6" s="131"/>
      <c r="C6" s="131"/>
      <c r="D6" s="132"/>
    </row>
    <row r="7" spans="1:9" s="142" customFormat="1" ht="27.6" x14ac:dyDescent="0.25">
      <c r="A7" s="133" t="s">
        <v>180</v>
      </c>
      <c r="B7" s="133" t="s">
        <v>181</v>
      </c>
      <c r="C7" s="133" t="s">
        <v>182</v>
      </c>
      <c r="D7" s="134" t="s">
        <v>183</v>
      </c>
    </row>
    <row r="8" spans="1:9" s="142" customFormat="1" ht="27.6" x14ac:dyDescent="0.25">
      <c r="A8" s="137">
        <v>1</v>
      </c>
      <c r="B8" s="214" t="s">
        <v>562</v>
      </c>
      <c r="C8" s="214" t="s">
        <v>268</v>
      </c>
      <c r="D8" s="214">
        <v>1</v>
      </c>
    </row>
    <row r="9" spans="1:9" s="142" customFormat="1" ht="27.6" x14ac:dyDescent="0.25">
      <c r="A9" s="137">
        <v>2</v>
      </c>
      <c r="B9" s="214" t="s">
        <v>203</v>
      </c>
      <c r="C9" s="214" t="s">
        <v>281</v>
      </c>
      <c r="D9" s="214">
        <v>1</v>
      </c>
    </row>
    <row r="10" spans="1:9" s="142" customFormat="1" ht="27.6" x14ac:dyDescent="0.25">
      <c r="A10" s="137">
        <v>3</v>
      </c>
      <c r="B10" s="214" t="s">
        <v>203</v>
      </c>
      <c r="C10" s="214" t="s">
        <v>280</v>
      </c>
      <c r="D10" s="214">
        <v>2</v>
      </c>
    </row>
    <row r="11" spans="1:9" s="142" customFormat="1" ht="27.6" x14ac:dyDescent="0.25">
      <c r="A11" s="137">
        <v>4</v>
      </c>
      <c r="B11" s="214" t="s">
        <v>204</v>
      </c>
      <c r="C11" s="214" t="s">
        <v>346</v>
      </c>
      <c r="D11" s="214">
        <v>3</v>
      </c>
    </row>
    <row r="12" spans="1:9" s="142" customFormat="1" ht="27.6" x14ac:dyDescent="0.25">
      <c r="A12" s="137">
        <v>5</v>
      </c>
      <c r="B12" s="214" t="s">
        <v>564</v>
      </c>
      <c r="C12" s="214" t="s">
        <v>278</v>
      </c>
      <c r="D12" s="214">
        <v>1</v>
      </c>
      <c r="H12" s="206"/>
    </row>
    <row r="13" spans="1:9" s="142" customFormat="1" ht="27.6" x14ac:dyDescent="0.25">
      <c r="A13" s="137">
        <v>6</v>
      </c>
      <c r="B13" s="214" t="s">
        <v>202</v>
      </c>
      <c r="C13" s="214" t="s">
        <v>277</v>
      </c>
      <c r="D13" s="214">
        <v>1</v>
      </c>
    </row>
    <row r="14" spans="1:9" s="142" customFormat="1" ht="13.8" x14ac:dyDescent="0.25">
      <c r="A14" s="137">
        <v>7</v>
      </c>
      <c r="B14" s="214" t="s">
        <v>563</v>
      </c>
      <c r="C14" s="214" t="s">
        <v>298</v>
      </c>
      <c r="D14" s="214">
        <v>1</v>
      </c>
    </row>
    <row r="15" spans="1:9" s="142" customFormat="1" ht="27.6" x14ac:dyDescent="0.25">
      <c r="A15" s="137">
        <v>8</v>
      </c>
      <c r="B15" s="214" t="s">
        <v>302</v>
      </c>
      <c r="C15" s="214" t="s">
        <v>299</v>
      </c>
      <c r="D15" s="214">
        <v>2</v>
      </c>
    </row>
    <row r="16" spans="1:9" s="142" customFormat="1" ht="27.6" x14ac:dyDescent="0.25">
      <c r="A16" s="137">
        <v>9</v>
      </c>
      <c r="B16" s="214" t="s">
        <v>303</v>
      </c>
      <c r="C16" s="214" t="s">
        <v>300</v>
      </c>
      <c r="D16" s="214">
        <v>2</v>
      </c>
    </row>
    <row r="17" spans="1:4" s="142" customFormat="1" ht="13.8" x14ac:dyDescent="0.25">
      <c r="A17" s="137">
        <v>10</v>
      </c>
      <c r="B17" s="214" t="s">
        <v>304</v>
      </c>
      <c r="C17" s="214" t="s">
        <v>301</v>
      </c>
      <c r="D17" s="214">
        <v>2</v>
      </c>
    </row>
    <row r="18" spans="1:4" s="142" customFormat="1" x14ac:dyDescent="0.25">
      <c r="A18" s="135"/>
      <c r="B18" s="136"/>
      <c r="C18" s="136"/>
      <c r="D18" s="128"/>
    </row>
    <row r="19" spans="1:4" ht="13.8" x14ac:dyDescent="0.25">
      <c r="A19" s="338" t="s">
        <v>184</v>
      </c>
      <c r="B19" s="338"/>
      <c r="C19" s="338"/>
      <c r="D19" s="338"/>
    </row>
    <row r="20" spans="1:4" ht="13.8" x14ac:dyDescent="0.25">
      <c r="A20" s="338" t="s">
        <v>77</v>
      </c>
      <c r="B20" s="338"/>
      <c r="C20" s="338"/>
      <c r="D20" s="338"/>
    </row>
    <row r="21" spans="1:4" ht="30" customHeight="1" x14ac:dyDescent="0.25">
      <c r="A21" s="343" t="str">
        <f xml:space="preserve"> INDEX(реестр!N:N, F1+8)</f>
        <v>Серов А.В.</v>
      </c>
      <c r="B21" s="343"/>
      <c r="C21" s="343"/>
      <c r="D21" s="343"/>
    </row>
    <row r="22" spans="1:4" ht="13.8" x14ac:dyDescent="0.25">
      <c r="A22" s="342" t="s">
        <v>26</v>
      </c>
      <c r="B22" s="342"/>
      <c r="C22" s="342"/>
      <c r="D22" s="342"/>
    </row>
    <row r="23" spans="1:4" ht="13.8" x14ac:dyDescent="0.25">
      <c r="A23" s="338" t="s">
        <v>185</v>
      </c>
      <c r="B23" s="338"/>
      <c r="C23" s="338"/>
      <c r="D23" s="338"/>
    </row>
    <row r="24" spans="1:4" ht="13.8" x14ac:dyDescent="0.25">
      <c r="A24" s="338" t="s">
        <v>80</v>
      </c>
      <c r="B24" s="338"/>
      <c r="C24" s="338"/>
      <c r="D24" s="338"/>
    </row>
    <row r="25" spans="1:4" ht="30" customHeight="1" x14ac:dyDescent="0.25">
      <c r="A25" s="343" t="s">
        <v>76</v>
      </c>
      <c r="B25" s="343"/>
      <c r="C25" s="343"/>
      <c r="D25" s="343"/>
    </row>
    <row r="26" spans="1:4" ht="13.8" x14ac:dyDescent="0.25">
      <c r="A26" s="342" t="s">
        <v>26</v>
      </c>
      <c r="B26" s="342"/>
      <c r="C26" s="342"/>
      <c r="D26" s="342"/>
    </row>
    <row r="27" spans="1:4" ht="13.8" x14ac:dyDescent="0.25">
      <c r="A27" s="344" t="s">
        <v>66</v>
      </c>
      <c r="B27" s="344"/>
      <c r="C27" s="344"/>
      <c r="D27" s="344"/>
    </row>
    <row r="28" spans="1:4" ht="30" customHeight="1" x14ac:dyDescent="0.25">
      <c r="A28" s="343" t="s">
        <v>82</v>
      </c>
      <c r="B28" s="343"/>
      <c r="C28" s="343"/>
      <c r="D28" s="343"/>
    </row>
    <row r="29" spans="1:4" ht="13.8" x14ac:dyDescent="0.25">
      <c r="A29" s="342" t="s">
        <v>26</v>
      </c>
      <c r="B29" s="342"/>
      <c r="C29" s="342"/>
      <c r="D29" s="342"/>
    </row>
    <row r="30" spans="1:4" ht="13.8" x14ac:dyDescent="0.25">
      <c r="A30" s="344" t="s">
        <v>186</v>
      </c>
      <c r="B30" s="344"/>
      <c r="C30" s="344"/>
      <c r="D30" s="344"/>
    </row>
    <row r="31" spans="1:4" ht="30" customHeight="1" x14ac:dyDescent="0.25">
      <c r="A31" s="343" t="s">
        <v>256</v>
      </c>
      <c r="B31" s="343"/>
      <c r="C31" s="343"/>
      <c r="D31" s="343"/>
    </row>
    <row r="32" spans="1:4" ht="13.8" x14ac:dyDescent="0.25">
      <c r="A32" s="342" t="s">
        <v>26</v>
      </c>
      <c r="B32" s="342"/>
      <c r="C32" s="342"/>
      <c r="D32" s="342"/>
    </row>
  </sheetData>
  <mergeCells count="19">
    <mergeCell ref="F5:I5"/>
    <mergeCell ref="A19:D19"/>
    <mergeCell ref="A25:D25"/>
    <mergeCell ref="C1:D1"/>
    <mergeCell ref="B2:D2"/>
    <mergeCell ref="A4:D4"/>
    <mergeCell ref="A5:D5"/>
    <mergeCell ref="A20:D20"/>
    <mergeCell ref="A21:D21"/>
    <mergeCell ref="A22:D22"/>
    <mergeCell ref="A23:D23"/>
    <mergeCell ref="A24:D24"/>
    <mergeCell ref="A32:D32"/>
    <mergeCell ref="A26:D26"/>
    <mergeCell ref="A27:D27"/>
    <mergeCell ref="A28:D28"/>
    <mergeCell ref="A29:D29"/>
    <mergeCell ref="A30:D30"/>
    <mergeCell ref="A31:D31"/>
  </mergeCells>
  <pageMargins left="0.7" right="0.7" top="0.75" bottom="0.75" header="0.3" footer="0.3"/>
  <pageSetup paperSize="9" scale="78" orientation="portrait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DD66E0-E866-4822-98BE-FCC9D2E0340B}">
  <sheetPr codeName="Лист77">
    <tabColor theme="7" tint="0.59999389629810485"/>
  </sheetPr>
  <dimension ref="A1:H27"/>
  <sheetViews>
    <sheetView view="pageBreakPreview" zoomScale="57" zoomScaleNormal="115" zoomScaleSheetLayoutView="115" workbookViewId="0">
      <selection activeCell="F1" sqref="F1"/>
    </sheetView>
  </sheetViews>
  <sheetFormatPr defaultColWidth="9.109375" defaultRowHeight="15.6" x14ac:dyDescent="0.25"/>
  <cols>
    <col min="1" max="1" width="5.88671875" style="135" customWidth="1"/>
    <col min="2" max="2" width="55.44140625" style="136" customWidth="1"/>
    <col min="3" max="3" width="42.6640625" style="136" customWidth="1"/>
    <col min="4" max="4" width="9.33203125" style="128" customWidth="1"/>
    <col min="5" max="5" width="10.6640625" style="224" customWidth="1"/>
    <col min="6" max="6" width="5.33203125" style="224" customWidth="1"/>
    <col min="7" max="7" width="10.6640625" style="223" customWidth="1"/>
    <col min="8" max="8" width="10.6640625" style="143" customWidth="1"/>
    <col min="9" max="16384" width="9.109375" style="143"/>
  </cols>
  <sheetData>
    <row r="1" spans="1:8" ht="17.399999999999999" thickBot="1" x14ac:dyDescent="0.3">
      <c r="A1" s="126"/>
      <c r="B1" s="127"/>
      <c r="C1" s="339" t="s">
        <v>195</v>
      </c>
      <c r="D1" s="339"/>
      <c r="E1" s="262"/>
      <c r="F1" s="260">
        <v>68</v>
      </c>
      <c r="G1" s="257"/>
      <c r="H1" s="257"/>
    </row>
    <row r="2" spans="1:8" x14ac:dyDescent="0.25">
      <c r="A2" s="129"/>
      <c r="B2" s="340" t="str">
        <f xml:space="preserve"> CONCATENATE("к АОСР ",A5)</f>
        <v>к АОСР № АИР-М-1.2-56-АР-68 от 06.05.2024</v>
      </c>
      <c r="C2" s="340"/>
      <c r="D2" s="340"/>
      <c r="E2" s="261"/>
      <c r="F2" s="261"/>
      <c r="G2" s="257"/>
      <c r="H2" s="256"/>
    </row>
    <row r="3" spans="1:8" ht="16.8" x14ac:dyDescent="0.3">
      <c r="A3" s="126"/>
      <c r="B3" s="126"/>
      <c r="C3" s="130"/>
      <c r="D3" s="130"/>
      <c r="E3" s="261"/>
      <c r="F3" s="261"/>
      <c r="G3" s="257"/>
      <c r="H3" s="256"/>
    </row>
    <row r="4" spans="1:8" ht="13.8" customHeight="1" x14ac:dyDescent="0.25">
      <c r="A4" s="341" t="s">
        <v>179</v>
      </c>
      <c r="B4" s="341"/>
      <c r="C4" s="341"/>
      <c r="D4" s="341"/>
      <c r="E4" s="261"/>
      <c r="F4" s="261"/>
      <c r="G4" s="257"/>
      <c r="H4" s="256"/>
    </row>
    <row r="5" spans="1:8" ht="13.8" customHeight="1" x14ac:dyDescent="0.25">
      <c r="A5" s="341" t="str">
        <f>CONCATENATE("№ ", INDEX([2]реестр!B:B, F1+8), " от ", TEXT(INDEX([2]реестр!C:C, F1+8), "ДД.ММ.ГГГГ"))</f>
        <v>№ АИР-М-1.2-56-АР-68 от 06.05.2024</v>
      </c>
      <c r="B5" s="341"/>
      <c r="C5" s="341"/>
      <c r="D5" s="341"/>
      <c r="E5" s="341"/>
      <c r="F5" s="341"/>
      <c r="G5" s="341"/>
      <c r="H5" s="341"/>
    </row>
    <row r="6" spans="1:8" s="142" customFormat="1" ht="16.8" x14ac:dyDescent="0.3">
      <c r="A6" s="131"/>
      <c r="B6" s="131"/>
      <c r="C6" s="131"/>
      <c r="D6" s="132"/>
      <c r="E6" s="261"/>
      <c r="F6" s="261"/>
      <c r="G6" s="255"/>
      <c r="H6" s="259"/>
    </row>
    <row r="7" spans="1:8" s="142" customFormat="1" ht="27.6" x14ac:dyDescent="0.25">
      <c r="A7" s="133" t="s">
        <v>180</v>
      </c>
      <c r="B7" s="133" t="s">
        <v>181</v>
      </c>
      <c r="C7" s="133" t="s">
        <v>182</v>
      </c>
      <c r="D7" s="134" t="s">
        <v>183</v>
      </c>
      <c r="E7" s="261"/>
      <c r="F7" s="261"/>
      <c r="G7" s="255"/>
      <c r="H7" s="259"/>
    </row>
    <row r="8" spans="1:8" s="142" customFormat="1" ht="13.8" x14ac:dyDescent="0.25">
      <c r="A8" s="137">
        <v>1</v>
      </c>
      <c r="B8" s="258" t="s">
        <v>598</v>
      </c>
      <c r="C8" s="258" t="s">
        <v>544</v>
      </c>
      <c r="D8" s="258">
        <v>1</v>
      </c>
      <c r="E8" s="261"/>
      <c r="F8" s="261"/>
      <c r="G8" s="255"/>
      <c r="H8" s="259"/>
    </row>
    <row r="9" spans="1:8" s="142" customFormat="1" ht="27.6" x14ac:dyDescent="0.25">
      <c r="A9" s="137">
        <v>2</v>
      </c>
      <c r="B9" s="258" t="s">
        <v>550</v>
      </c>
      <c r="C9" s="258" t="s">
        <v>545</v>
      </c>
      <c r="D9" s="258">
        <v>2</v>
      </c>
      <c r="E9" s="261"/>
      <c r="F9" s="261"/>
      <c r="G9" s="255"/>
      <c r="H9" s="259"/>
    </row>
    <row r="10" spans="1:8" s="142" customFormat="1" ht="13.8" x14ac:dyDescent="0.25">
      <c r="A10" s="137">
        <v>3</v>
      </c>
      <c r="B10" s="258" t="s">
        <v>548</v>
      </c>
      <c r="C10" s="258" t="s">
        <v>546</v>
      </c>
      <c r="D10" s="258">
        <v>2</v>
      </c>
      <c r="E10" s="261"/>
      <c r="F10" s="261"/>
      <c r="G10" s="255"/>
      <c r="H10" s="259"/>
    </row>
    <row r="11" spans="1:8" s="142" customFormat="1" ht="13.8" x14ac:dyDescent="0.25">
      <c r="A11" s="137">
        <v>4</v>
      </c>
      <c r="B11" s="258" t="s">
        <v>599</v>
      </c>
      <c r="C11" s="258" t="s">
        <v>593</v>
      </c>
      <c r="D11" s="258">
        <v>1</v>
      </c>
      <c r="E11" s="261"/>
      <c r="F11" s="261"/>
      <c r="G11" s="255"/>
      <c r="H11" s="259"/>
    </row>
    <row r="12" spans="1:8" s="142" customFormat="1" ht="27.6" x14ac:dyDescent="0.25">
      <c r="A12" s="137">
        <v>5</v>
      </c>
      <c r="B12" s="258" t="s">
        <v>549</v>
      </c>
      <c r="C12" s="258" t="s">
        <v>547</v>
      </c>
      <c r="D12" s="258">
        <v>1</v>
      </c>
      <c r="E12" s="261"/>
      <c r="F12" s="261"/>
      <c r="G12" s="255"/>
      <c r="H12" s="259"/>
    </row>
    <row r="13" spans="1:8" s="142" customFormat="1" x14ac:dyDescent="0.25">
      <c r="A13" s="135"/>
      <c r="B13" s="136"/>
      <c r="C13" s="136"/>
      <c r="D13" s="128"/>
      <c r="E13" s="261"/>
      <c r="F13" s="261"/>
      <c r="G13" s="255"/>
      <c r="H13" s="259"/>
    </row>
    <row r="14" spans="1:8" ht="13.8" customHeight="1" x14ac:dyDescent="0.25">
      <c r="A14" s="338" t="s">
        <v>184</v>
      </c>
      <c r="B14" s="338"/>
      <c r="C14" s="338"/>
      <c r="D14" s="338"/>
      <c r="E14" s="261"/>
      <c r="F14" s="261"/>
      <c r="G14" s="257"/>
      <c r="H14" s="256"/>
    </row>
    <row r="15" spans="1:8" ht="13.8" customHeight="1" x14ac:dyDescent="0.25">
      <c r="A15" s="338" t="s">
        <v>77</v>
      </c>
      <c r="B15" s="338"/>
      <c r="C15" s="338"/>
      <c r="D15" s="338"/>
      <c r="E15" s="261"/>
      <c r="F15" s="261"/>
      <c r="G15" s="257"/>
      <c r="H15" s="256"/>
    </row>
    <row r="16" spans="1:8" ht="30" customHeight="1" x14ac:dyDescent="0.25">
      <c r="A16" s="343" t="str">
        <f xml:space="preserve"> INDEX([2]реестр!N:N, F1+8)</f>
        <v>Сураев С.П.</v>
      </c>
      <c r="B16" s="343"/>
      <c r="C16" s="343"/>
      <c r="D16" s="343"/>
      <c r="E16" s="261"/>
      <c r="F16" s="257"/>
      <c r="G16" s="256"/>
      <c r="H16" s="256"/>
    </row>
    <row r="17" spans="1:8" ht="13.8" x14ac:dyDescent="0.25">
      <c r="A17" s="342" t="s">
        <v>26</v>
      </c>
      <c r="B17" s="342"/>
      <c r="C17" s="342"/>
      <c r="D17" s="342"/>
      <c r="E17" s="261"/>
      <c r="F17" s="261"/>
      <c r="G17" s="257"/>
      <c r="H17" s="256"/>
    </row>
    <row r="18" spans="1:8" ht="13.8" customHeight="1" x14ac:dyDescent="0.25">
      <c r="A18" s="338" t="s">
        <v>185</v>
      </c>
      <c r="B18" s="338"/>
      <c r="C18" s="338"/>
      <c r="D18" s="338"/>
      <c r="E18" s="261"/>
      <c r="F18" s="261"/>
      <c r="G18" s="257"/>
      <c r="H18" s="256"/>
    </row>
    <row r="19" spans="1:8" ht="13.8" customHeight="1" x14ac:dyDescent="0.25">
      <c r="A19" s="338" t="s">
        <v>80</v>
      </c>
      <c r="B19" s="338"/>
      <c r="C19" s="338"/>
      <c r="D19" s="338"/>
      <c r="E19" s="261"/>
      <c r="F19" s="261"/>
      <c r="G19" s="257"/>
      <c r="H19" s="256"/>
    </row>
    <row r="20" spans="1:8" ht="30" customHeight="1" x14ac:dyDescent="0.25">
      <c r="A20" s="343" t="s">
        <v>76</v>
      </c>
      <c r="B20" s="343"/>
      <c r="C20" s="343"/>
      <c r="D20" s="343"/>
      <c r="E20" s="261"/>
      <c r="F20" s="261"/>
      <c r="G20" s="257"/>
      <c r="H20" s="256"/>
    </row>
    <row r="21" spans="1:8" ht="13.8" x14ac:dyDescent="0.25">
      <c r="A21" s="342" t="s">
        <v>26</v>
      </c>
      <c r="B21" s="342"/>
      <c r="C21" s="342"/>
      <c r="D21" s="342"/>
      <c r="E21" s="261"/>
      <c r="F21" s="261"/>
      <c r="G21" s="257"/>
      <c r="H21" s="256"/>
    </row>
    <row r="22" spans="1:8" ht="13.8" x14ac:dyDescent="0.25">
      <c r="A22" s="344" t="s">
        <v>66</v>
      </c>
      <c r="B22" s="344"/>
      <c r="C22" s="344"/>
      <c r="D22" s="344"/>
      <c r="E22" s="261"/>
      <c r="F22" s="261"/>
      <c r="G22" s="257"/>
      <c r="H22" s="256"/>
    </row>
    <row r="23" spans="1:8" ht="30" customHeight="1" x14ac:dyDescent="0.25">
      <c r="A23" s="343" t="s">
        <v>82</v>
      </c>
      <c r="B23" s="343"/>
      <c r="C23" s="343"/>
      <c r="D23" s="343"/>
      <c r="E23" s="261"/>
      <c r="F23" s="261"/>
      <c r="G23" s="257"/>
      <c r="H23" s="256"/>
    </row>
    <row r="24" spans="1:8" ht="13.8" x14ac:dyDescent="0.25">
      <c r="A24" s="342" t="s">
        <v>26</v>
      </c>
      <c r="B24" s="342"/>
      <c r="C24" s="342"/>
      <c r="D24" s="342"/>
      <c r="E24" s="261"/>
      <c r="F24" s="261"/>
      <c r="G24" s="257"/>
      <c r="H24" s="256"/>
    </row>
    <row r="25" spans="1:8" ht="13.8" x14ac:dyDescent="0.25">
      <c r="A25" s="344" t="s">
        <v>186</v>
      </c>
      <c r="B25" s="344"/>
      <c r="C25" s="344"/>
      <c r="D25" s="344"/>
      <c r="E25" s="261"/>
      <c r="F25" s="261"/>
      <c r="G25" s="257"/>
      <c r="H25" s="256"/>
    </row>
    <row r="26" spans="1:8" s="224" customFormat="1" ht="30" customHeight="1" x14ac:dyDescent="0.25">
      <c r="A26" s="343" t="s">
        <v>256</v>
      </c>
      <c r="B26" s="343"/>
      <c r="C26" s="343"/>
      <c r="D26" s="343"/>
      <c r="E26" s="261"/>
      <c r="F26" s="261"/>
      <c r="G26" s="257"/>
      <c r="H26" s="256"/>
    </row>
    <row r="27" spans="1:8" s="224" customFormat="1" ht="13.8" x14ac:dyDescent="0.25">
      <c r="A27" s="342" t="s">
        <v>26</v>
      </c>
      <c r="B27" s="342"/>
      <c r="C27" s="342"/>
      <c r="D27" s="342"/>
      <c r="E27" s="261"/>
      <c r="F27" s="261"/>
      <c r="G27" s="257"/>
      <c r="H27" s="256"/>
    </row>
  </sheetData>
  <mergeCells count="19">
    <mergeCell ref="E5:H5"/>
    <mergeCell ref="A14:D14"/>
    <mergeCell ref="A20:D20"/>
    <mergeCell ref="C1:D1"/>
    <mergeCell ref="B2:D2"/>
    <mergeCell ref="A4:D4"/>
    <mergeCell ref="A5:D5"/>
    <mergeCell ref="A15:D15"/>
    <mergeCell ref="A16:D16"/>
    <mergeCell ref="A17:D17"/>
    <mergeCell ref="A18:D18"/>
    <mergeCell ref="A19:D19"/>
    <mergeCell ref="A27:D27"/>
    <mergeCell ref="A21:D21"/>
    <mergeCell ref="A22:D22"/>
    <mergeCell ref="A23:D23"/>
    <mergeCell ref="A24:D24"/>
    <mergeCell ref="A25:D25"/>
    <mergeCell ref="A26:D26"/>
  </mergeCells>
  <pageMargins left="0.7" right="0.7" top="0.75" bottom="0.75" header="0.3" footer="0.3"/>
  <pageSetup paperSize="9" scale="78" orientation="portrait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94010A-EF68-484B-A1B5-9FEA5BBB8CD6}">
  <sheetPr codeName="Лист103">
    <tabColor theme="7" tint="0.59999389629810485"/>
  </sheetPr>
  <dimension ref="A1:I27"/>
  <sheetViews>
    <sheetView view="pageBreakPreview" zoomScale="113" zoomScaleNormal="115" zoomScaleSheetLayoutView="38" workbookViewId="0">
      <selection activeCell="F2" sqref="F2"/>
    </sheetView>
  </sheetViews>
  <sheetFormatPr defaultColWidth="9.109375" defaultRowHeight="15.6" x14ac:dyDescent="0.25"/>
  <cols>
    <col min="1" max="1" width="5.88671875" style="135" customWidth="1"/>
    <col min="2" max="2" width="55.44140625" style="136" customWidth="1"/>
    <col min="3" max="3" width="42.6640625" style="136" customWidth="1"/>
    <col min="4" max="4" width="9.33203125" style="128" customWidth="1"/>
    <col min="5" max="6" width="9.109375" style="143"/>
    <col min="7" max="7" width="9.33203125" style="143" customWidth="1"/>
    <col min="8" max="8" width="63.44140625" style="143" customWidth="1"/>
    <col min="9" max="9" width="36.6640625" style="143" customWidth="1"/>
    <col min="10" max="16384" width="9.109375" style="143"/>
  </cols>
  <sheetData>
    <row r="1" spans="1:9" ht="17.399999999999999" thickBot="1" x14ac:dyDescent="0.3">
      <c r="A1" s="126"/>
      <c r="B1" s="127"/>
      <c r="C1" s="339" t="s">
        <v>195</v>
      </c>
      <c r="D1" s="339"/>
      <c r="E1" s="225"/>
      <c r="F1" s="226">
        <v>72</v>
      </c>
      <c r="G1" s="223"/>
      <c r="H1" s="223"/>
    </row>
    <row r="2" spans="1:9" x14ac:dyDescent="0.25">
      <c r="A2" s="129"/>
      <c r="B2" s="340" t="str">
        <f xml:space="preserve"> CONCATENATE("к АОСР ",A5)</f>
        <v>к АОСР № АИР-М-1.2-56-АР-72 от 13.05.2024</v>
      </c>
      <c r="C2" s="340"/>
      <c r="D2" s="340"/>
    </row>
    <row r="3" spans="1:9" ht="16.8" x14ac:dyDescent="0.3">
      <c r="A3" s="126"/>
      <c r="B3" s="126"/>
      <c r="C3" s="130"/>
      <c r="D3" s="130"/>
    </row>
    <row r="4" spans="1:9" ht="13.8" customHeight="1" x14ac:dyDescent="0.25">
      <c r="A4" s="341" t="s">
        <v>179</v>
      </c>
      <c r="B4" s="341"/>
      <c r="C4" s="341"/>
      <c r="D4" s="341"/>
    </row>
    <row r="5" spans="1:9" ht="15" customHeight="1" x14ac:dyDescent="0.25">
      <c r="A5" s="341" t="str">
        <f>CONCATENATE("№ ", INDEX([2]реестр!B:B, F1+8), " от ", TEXT(INDEX([2]реестр!C:C, F1+8), "ДД.ММ.ГГГГ"))</f>
        <v>№ АИР-М-1.2-56-АР-72 от 13.05.2024</v>
      </c>
      <c r="B5" s="341"/>
      <c r="C5" s="341"/>
      <c r="D5" s="341"/>
      <c r="F5" s="341"/>
      <c r="G5" s="341"/>
      <c r="H5" s="341"/>
      <c r="I5" s="341"/>
    </row>
    <row r="6" spans="1:9" s="142" customFormat="1" ht="16.8" x14ac:dyDescent="0.3">
      <c r="A6" s="131"/>
      <c r="B6" s="131"/>
      <c r="C6" s="131"/>
      <c r="D6" s="132"/>
    </row>
    <row r="7" spans="1:9" s="142" customFormat="1" ht="27.6" x14ac:dyDescent="0.25">
      <c r="A7" s="133" t="s">
        <v>180</v>
      </c>
      <c r="B7" s="133" t="s">
        <v>181</v>
      </c>
      <c r="C7" s="133" t="s">
        <v>182</v>
      </c>
      <c r="D7" s="134" t="s">
        <v>183</v>
      </c>
    </row>
    <row r="8" spans="1:9" s="142" customFormat="1" ht="13.8" customHeight="1" x14ac:dyDescent="0.25">
      <c r="A8" s="137">
        <v>1</v>
      </c>
      <c r="B8" s="258" t="s">
        <v>600</v>
      </c>
      <c r="C8" s="258" t="s">
        <v>544</v>
      </c>
      <c r="D8" s="258">
        <v>1</v>
      </c>
    </row>
    <row r="9" spans="1:9" s="142" customFormat="1" ht="27.6" x14ac:dyDescent="0.25">
      <c r="A9" s="137">
        <v>2</v>
      </c>
      <c r="B9" s="258" t="s">
        <v>550</v>
      </c>
      <c r="C9" s="258" t="s">
        <v>545</v>
      </c>
      <c r="D9" s="258">
        <v>1</v>
      </c>
    </row>
    <row r="10" spans="1:9" s="142" customFormat="1" ht="13.8" x14ac:dyDescent="0.25">
      <c r="A10" s="137">
        <v>3</v>
      </c>
      <c r="B10" s="258" t="s">
        <v>548</v>
      </c>
      <c r="C10" s="258" t="s">
        <v>546</v>
      </c>
      <c r="D10" s="258">
        <v>1</v>
      </c>
      <c r="H10" s="195"/>
    </row>
    <row r="11" spans="1:9" s="142" customFormat="1" ht="13.8" x14ac:dyDescent="0.25">
      <c r="A11" s="137">
        <v>4</v>
      </c>
      <c r="B11" s="258" t="s">
        <v>601</v>
      </c>
      <c r="C11" s="258" t="s">
        <v>643</v>
      </c>
      <c r="D11" s="258">
        <v>1</v>
      </c>
    </row>
    <row r="12" spans="1:9" s="142" customFormat="1" ht="27.6" x14ac:dyDescent="0.25">
      <c r="A12" s="137">
        <v>5</v>
      </c>
      <c r="B12" s="258" t="s">
        <v>549</v>
      </c>
      <c r="C12" s="258" t="s">
        <v>547</v>
      </c>
      <c r="D12" s="258">
        <v>1</v>
      </c>
    </row>
    <row r="13" spans="1:9" s="142" customFormat="1" x14ac:dyDescent="0.25">
      <c r="A13" s="135"/>
      <c r="B13" s="136"/>
      <c r="C13" s="136"/>
      <c r="D13" s="128"/>
    </row>
    <row r="14" spans="1:9" ht="13.8" customHeight="1" x14ac:dyDescent="0.25">
      <c r="A14" s="338" t="s">
        <v>184</v>
      </c>
      <c r="B14" s="338"/>
      <c r="C14" s="338"/>
      <c r="D14" s="338"/>
    </row>
    <row r="15" spans="1:9" ht="13.8" customHeight="1" x14ac:dyDescent="0.25">
      <c r="A15" s="338" t="s">
        <v>77</v>
      </c>
      <c r="B15" s="338"/>
      <c r="C15" s="338"/>
      <c r="D15" s="338"/>
    </row>
    <row r="16" spans="1:9" ht="30" customHeight="1" x14ac:dyDescent="0.25">
      <c r="A16" s="343" t="str">
        <f xml:space="preserve"> INDEX([2]реестр!N:N, F1+8)</f>
        <v>Серов А.В.</v>
      </c>
      <c r="B16" s="343"/>
      <c r="C16" s="343"/>
      <c r="D16" s="343"/>
    </row>
    <row r="17" spans="1:4" ht="13.8" x14ac:dyDescent="0.25">
      <c r="A17" s="342" t="s">
        <v>26</v>
      </c>
      <c r="B17" s="342"/>
      <c r="C17" s="342"/>
      <c r="D17" s="342"/>
    </row>
    <row r="18" spans="1:4" ht="13.8" customHeight="1" x14ac:dyDescent="0.25">
      <c r="A18" s="338" t="s">
        <v>185</v>
      </c>
      <c r="B18" s="338"/>
      <c r="C18" s="338"/>
      <c r="D18" s="338"/>
    </row>
    <row r="19" spans="1:4" ht="13.8" customHeight="1" x14ac:dyDescent="0.25">
      <c r="A19" s="338" t="s">
        <v>80</v>
      </c>
      <c r="B19" s="338"/>
      <c r="C19" s="338"/>
      <c r="D19" s="338"/>
    </row>
    <row r="20" spans="1:4" ht="30" customHeight="1" x14ac:dyDescent="0.25">
      <c r="A20" s="343" t="s">
        <v>76</v>
      </c>
      <c r="B20" s="343"/>
      <c r="C20" s="343"/>
      <c r="D20" s="343"/>
    </row>
    <row r="21" spans="1:4" ht="13.8" x14ac:dyDescent="0.25">
      <c r="A21" s="342" t="s">
        <v>26</v>
      </c>
      <c r="B21" s="342"/>
      <c r="C21" s="342"/>
      <c r="D21" s="342"/>
    </row>
    <row r="22" spans="1:4" ht="13.8" x14ac:dyDescent="0.25">
      <c r="A22" s="344" t="s">
        <v>66</v>
      </c>
      <c r="B22" s="344"/>
      <c r="C22" s="344"/>
      <c r="D22" s="344"/>
    </row>
    <row r="23" spans="1:4" ht="30" customHeight="1" x14ac:dyDescent="0.25">
      <c r="A23" s="343" t="s">
        <v>82</v>
      </c>
      <c r="B23" s="343"/>
      <c r="C23" s="343"/>
      <c r="D23" s="343"/>
    </row>
    <row r="24" spans="1:4" ht="13.8" x14ac:dyDescent="0.25">
      <c r="A24" s="342" t="s">
        <v>26</v>
      </c>
      <c r="B24" s="342"/>
      <c r="C24" s="342"/>
      <c r="D24" s="342"/>
    </row>
    <row r="25" spans="1:4" ht="13.8" x14ac:dyDescent="0.25">
      <c r="A25" s="344" t="s">
        <v>186</v>
      </c>
      <c r="B25" s="344"/>
      <c r="C25" s="344"/>
      <c r="D25" s="344"/>
    </row>
    <row r="26" spans="1:4" ht="30" customHeight="1" x14ac:dyDescent="0.25">
      <c r="A26" s="343" t="s">
        <v>256</v>
      </c>
      <c r="B26" s="343"/>
      <c r="C26" s="343"/>
      <c r="D26" s="343"/>
    </row>
    <row r="27" spans="1:4" ht="13.8" x14ac:dyDescent="0.25">
      <c r="A27" s="342" t="s">
        <v>26</v>
      </c>
      <c r="B27" s="342"/>
      <c r="C27" s="342"/>
      <c r="D27" s="342"/>
    </row>
  </sheetData>
  <mergeCells count="19">
    <mergeCell ref="A27:D27"/>
    <mergeCell ref="A21:D21"/>
    <mergeCell ref="A22:D22"/>
    <mergeCell ref="A23:D23"/>
    <mergeCell ref="A24:D24"/>
    <mergeCell ref="A25:D25"/>
    <mergeCell ref="A26:D26"/>
    <mergeCell ref="F5:I5"/>
    <mergeCell ref="A14:D14"/>
    <mergeCell ref="A20:D20"/>
    <mergeCell ref="C1:D1"/>
    <mergeCell ref="B2:D2"/>
    <mergeCell ref="A4:D4"/>
    <mergeCell ref="A5:D5"/>
    <mergeCell ref="A15:D15"/>
    <mergeCell ref="A16:D16"/>
    <mergeCell ref="A17:D17"/>
    <mergeCell ref="A18:D18"/>
    <mergeCell ref="A19:D19"/>
  </mergeCells>
  <pageMargins left="0.7" right="0.7" top="0.75" bottom="0.75" header="0.3" footer="0.3"/>
  <pageSetup paperSize="9" scale="78" orientation="portrait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A5C2A-167D-463D-97E1-965946EFE169}">
  <sheetPr codeName="Лист113">
    <tabColor theme="7" tint="0.59999389629810485"/>
  </sheetPr>
  <dimension ref="A1:I30"/>
  <sheetViews>
    <sheetView view="pageBreakPreview" zoomScale="88" zoomScaleNormal="115" zoomScaleSheetLayoutView="38" workbookViewId="0">
      <selection activeCell="F2" sqref="F2"/>
    </sheetView>
  </sheetViews>
  <sheetFormatPr defaultColWidth="9.109375" defaultRowHeight="15.6" x14ac:dyDescent="0.25"/>
  <cols>
    <col min="1" max="1" width="5.88671875" style="135" customWidth="1"/>
    <col min="2" max="2" width="55.44140625" style="136" customWidth="1"/>
    <col min="3" max="3" width="42.6640625" style="136" customWidth="1"/>
    <col min="4" max="4" width="9.33203125" style="128" customWidth="1"/>
    <col min="5" max="6" width="9.109375" style="143"/>
    <col min="7" max="7" width="9.33203125" style="143" customWidth="1"/>
    <col min="8" max="8" width="63.44140625" style="143" customWidth="1"/>
    <col min="9" max="9" width="36.6640625" style="143" customWidth="1"/>
    <col min="10" max="16384" width="9.109375" style="143"/>
  </cols>
  <sheetData>
    <row r="1" spans="1:9" ht="17.399999999999999" thickBot="1" x14ac:dyDescent="0.3">
      <c r="A1" s="126"/>
      <c r="B1" s="127"/>
      <c r="C1" s="339" t="s">
        <v>195</v>
      </c>
      <c r="D1" s="339"/>
      <c r="E1" s="225"/>
      <c r="F1" s="226">
        <v>74</v>
      </c>
      <c r="G1" s="223"/>
      <c r="H1" s="223"/>
    </row>
    <row r="2" spans="1:9" x14ac:dyDescent="0.25">
      <c r="A2" s="129"/>
      <c r="B2" s="340" t="str">
        <f xml:space="preserve"> CONCATENATE("к АОСР ",A5)</f>
        <v>к АОСР № АИР-М-1.2-56-АР-74 от 06.05.2024</v>
      </c>
      <c r="C2" s="340"/>
      <c r="D2" s="340"/>
    </row>
    <row r="3" spans="1:9" ht="16.8" x14ac:dyDescent="0.3">
      <c r="A3" s="126"/>
      <c r="B3" s="126"/>
      <c r="C3" s="130"/>
      <c r="D3" s="130"/>
    </row>
    <row r="4" spans="1:9" ht="13.8" customHeight="1" x14ac:dyDescent="0.25">
      <c r="A4" s="341" t="s">
        <v>179</v>
      </c>
      <c r="B4" s="341"/>
      <c r="C4" s="341"/>
      <c r="D4" s="341"/>
    </row>
    <row r="5" spans="1:9" ht="15" customHeight="1" x14ac:dyDescent="0.25">
      <c r="A5" s="341" t="str">
        <f>CONCATENATE("№ ", INDEX([2]реестр!B:B, F1+8), " от ", TEXT(INDEX([2]реестр!C:C, F1+8), "ДД.ММ.ГГГГ"))</f>
        <v>№ АИР-М-1.2-56-АР-74 от 06.05.2024</v>
      </c>
      <c r="B5" s="341"/>
      <c r="C5" s="341"/>
      <c r="D5" s="341"/>
      <c r="F5" s="341"/>
      <c r="G5" s="341"/>
      <c r="H5" s="341"/>
      <c r="I5" s="341"/>
    </row>
    <row r="6" spans="1:9" s="142" customFormat="1" ht="16.8" x14ac:dyDescent="0.3">
      <c r="A6" s="131"/>
      <c r="B6" s="131"/>
      <c r="C6" s="131"/>
      <c r="D6" s="132"/>
    </row>
    <row r="7" spans="1:9" s="142" customFormat="1" ht="27.6" x14ac:dyDescent="0.25">
      <c r="A7" s="133" t="s">
        <v>180</v>
      </c>
      <c r="B7" s="133" t="s">
        <v>181</v>
      </c>
      <c r="C7" s="133" t="s">
        <v>182</v>
      </c>
      <c r="D7" s="134" t="s">
        <v>183</v>
      </c>
    </row>
    <row r="8" spans="1:9" s="142" customFormat="1" ht="27.6" x14ac:dyDescent="0.25">
      <c r="A8" s="137">
        <v>1</v>
      </c>
      <c r="B8" s="258" t="s">
        <v>602</v>
      </c>
      <c r="C8" s="258" t="s">
        <v>603</v>
      </c>
      <c r="D8" s="258">
        <v>1</v>
      </c>
    </row>
    <row r="9" spans="1:9" s="142" customFormat="1" ht="27.6" x14ac:dyDescent="0.25">
      <c r="A9" s="137">
        <v>2</v>
      </c>
      <c r="B9" s="258" t="s">
        <v>557</v>
      </c>
      <c r="C9" s="258" t="s">
        <v>558</v>
      </c>
      <c r="D9" s="258">
        <v>2</v>
      </c>
    </row>
    <row r="10" spans="1:9" s="142" customFormat="1" ht="27.6" x14ac:dyDescent="0.25">
      <c r="A10" s="137">
        <v>3</v>
      </c>
      <c r="B10" s="258" t="s">
        <v>552</v>
      </c>
      <c r="C10" s="258" t="s">
        <v>553</v>
      </c>
      <c r="D10" s="258">
        <v>1</v>
      </c>
      <c r="H10" s="195"/>
    </row>
    <row r="11" spans="1:9" s="142" customFormat="1" ht="27.6" x14ac:dyDescent="0.25">
      <c r="A11" s="137">
        <v>4</v>
      </c>
      <c r="B11" s="258" t="s">
        <v>554</v>
      </c>
      <c r="C11" s="258" t="s">
        <v>555</v>
      </c>
      <c r="D11" s="258">
        <v>1</v>
      </c>
    </row>
    <row r="12" spans="1:9" s="142" customFormat="1" ht="27.6" x14ac:dyDescent="0.25">
      <c r="A12" s="137">
        <v>5</v>
      </c>
      <c r="B12" s="258" t="s">
        <v>604</v>
      </c>
      <c r="C12" s="258" t="s">
        <v>551</v>
      </c>
      <c r="D12" s="258">
        <v>1</v>
      </c>
    </row>
    <row r="13" spans="1:9" s="142" customFormat="1" ht="27.6" x14ac:dyDescent="0.25">
      <c r="A13" s="137">
        <v>6</v>
      </c>
      <c r="B13" s="258" t="s">
        <v>552</v>
      </c>
      <c r="C13" s="258" t="s">
        <v>553</v>
      </c>
      <c r="D13" s="258">
        <v>1</v>
      </c>
    </row>
    <row r="14" spans="1:9" ht="27.6" x14ac:dyDescent="0.25">
      <c r="A14" s="137">
        <v>7</v>
      </c>
      <c r="B14" s="258" t="s">
        <v>554</v>
      </c>
      <c r="C14" s="258" t="s">
        <v>555</v>
      </c>
      <c r="D14" s="258">
        <v>1</v>
      </c>
    </row>
    <row r="15" spans="1:9" ht="27.6" x14ac:dyDescent="0.25">
      <c r="A15" s="137">
        <v>8</v>
      </c>
      <c r="B15" s="258" t="s">
        <v>554</v>
      </c>
      <c r="C15" s="258" t="s">
        <v>556</v>
      </c>
      <c r="D15" s="258">
        <v>1</v>
      </c>
    </row>
    <row r="16" spans="1:9" ht="30" customHeight="1" x14ac:dyDescent="0.25"/>
    <row r="17" spans="1:4" ht="13.8" x14ac:dyDescent="0.25">
      <c r="A17" s="338" t="s">
        <v>184</v>
      </c>
      <c r="B17" s="338"/>
      <c r="C17" s="338"/>
      <c r="D17" s="338"/>
    </row>
    <row r="18" spans="1:4" ht="13.8" customHeight="1" x14ac:dyDescent="0.25">
      <c r="A18" s="338" t="s">
        <v>77</v>
      </c>
      <c r="B18" s="338"/>
      <c r="C18" s="338"/>
      <c r="D18" s="338"/>
    </row>
    <row r="19" spans="1:4" ht="13.8" customHeight="1" x14ac:dyDescent="0.25">
      <c r="A19" s="343" t="str">
        <f xml:space="preserve"> INDEX([2]реестр!N:N, F1+8)</f>
        <v>Сураев С.П.</v>
      </c>
      <c r="B19" s="343"/>
      <c r="C19" s="343"/>
      <c r="D19" s="343"/>
    </row>
    <row r="20" spans="1:4" ht="13.8" x14ac:dyDescent="0.25">
      <c r="A20" s="342" t="s">
        <v>26</v>
      </c>
      <c r="B20" s="342"/>
      <c r="C20" s="342"/>
      <c r="D20" s="342"/>
    </row>
    <row r="21" spans="1:4" ht="13.8" x14ac:dyDescent="0.25">
      <c r="A21" s="338" t="s">
        <v>185</v>
      </c>
      <c r="B21" s="338"/>
      <c r="C21" s="338"/>
      <c r="D21" s="338"/>
    </row>
    <row r="22" spans="1:4" ht="13.8" x14ac:dyDescent="0.25">
      <c r="A22" s="338" t="s">
        <v>80</v>
      </c>
      <c r="B22" s="338"/>
      <c r="C22" s="338"/>
      <c r="D22" s="338"/>
    </row>
    <row r="23" spans="1:4" ht="30" customHeight="1" x14ac:dyDescent="0.25">
      <c r="A23" s="343" t="s">
        <v>76</v>
      </c>
      <c r="B23" s="343"/>
      <c r="C23" s="343"/>
      <c r="D23" s="343"/>
    </row>
    <row r="24" spans="1:4" ht="13.8" x14ac:dyDescent="0.25">
      <c r="A24" s="342" t="s">
        <v>26</v>
      </c>
      <c r="B24" s="342"/>
      <c r="C24" s="342"/>
      <c r="D24" s="342"/>
    </row>
    <row r="25" spans="1:4" ht="13.8" x14ac:dyDescent="0.25">
      <c r="A25" s="344" t="s">
        <v>66</v>
      </c>
      <c r="B25" s="344"/>
      <c r="C25" s="344"/>
      <c r="D25" s="344"/>
    </row>
    <row r="26" spans="1:4" ht="30" customHeight="1" x14ac:dyDescent="0.25">
      <c r="A26" s="343" t="s">
        <v>82</v>
      </c>
      <c r="B26" s="343"/>
      <c r="C26" s="343"/>
      <c r="D26" s="343"/>
    </row>
    <row r="27" spans="1:4" ht="13.8" x14ac:dyDescent="0.25">
      <c r="A27" s="342" t="s">
        <v>26</v>
      </c>
      <c r="B27" s="342"/>
      <c r="C27" s="342"/>
      <c r="D27" s="342"/>
    </row>
    <row r="28" spans="1:4" ht="13.8" x14ac:dyDescent="0.25">
      <c r="A28" s="344" t="s">
        <v>186</v>
      </c>
      <c r="B28" s="344"/>
      <c r="C28" s="344"/>
      <c r="D28" s="344"/>
    </row>
    <row r="29" spans="1:4" ht="13.8" x14ac:dyDescent="0.25">
      <c r="A29" s="343" t="s">
        <v>256</v>
      </c>
      <c r="B29" s="343"/>
      <c r="C29" s="343"/>
      <c r="D29" s="343"/>
    </row>
    <row r="30" spans="1:4" ht="13.8" x14ac:dyDescent="0.25">
      <c r="A30" s="342" t="s">
        <v>26</v>
      </c>
      <c r="B30" s="342"/>
      <c r="C30" s="342"/>
      <c r="D30" s="342"/>
    </row>
  </sheetData>
  <mergeCells count="19">
    <mergeCell ref="A28:D28"/>
    <mergeCell ref="A29:D29"/>
    <mergeCell ref="A30:D30"/>
    <mergeCell ref="A21:D21"/>
    <mergeCell ref="A22:D22"/>
    <mergeCell ref="A23:D23"/>
    <mergeCell ref="A24:D24"/>
    <mergeCell ref="A25:D25"/>
    <mergeCell ref="A26:D26"/>
    <mergeCell ref="C1:D1"/>
    <mergeCell ref="B2:D2"/>
    <mergeCell ref="A4:D4"/>
    <mergeCell ref="A5:D5"/>
    <mergeCell ref="A27:D27"/>
    <mergeCell ref="F5:I5"/>
    <mergeCell ref="A17:D17"/>
    <mergeCell ref="A18:D18"/>
    <mergeCell ref="A19:D19"/>
    <mergeCell ref="A20:D20"/>
  </mergeCells>
  <pageMargins left="0.7" right="0.7" top="0.75" bottom="0.75" header="0.3" footer="0.3"/>
  <pageSetup paperSize="9" scale="78" orientation="portrait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2F1D0A-0616-4322-A6C5-710BA22EAD2B}">
  <sheetPr codeName="Лист60">
    <tabColor rgb="FFFF99FF"/>
  </sheetPr>
  <dimension ref="A1:H28"/>
  <sheetViews>
    <sheetView view="pageBreakPreview" zoomScale="90" zoomScaleNormal="115" zoomScaleSheetLayoutView="90" workbookViewId="0">
      <selection activeCell="A6" sqref="A6"/>
    </sheetView>
  </sheetViews>
  <sheetFormatPr defaultColWidth="9.109375" defaultRowHeight="15.6" x14ac:dyDescent="0.25"/>
  <cols>
    <col min="1" max="1" width="5.88671875" style="135" customWidth="1"/>
    <col min="2" max="2" width="55.44140625" style="136" customWidth="1"/>
    <col min="3" max="3" width="42.6640625" style="136" customWidth="1"/>
    <col min="4" max="4" width="9.33203125" style="128" customWidth="1"/>
    <col min="5" max="5" width="10.6640625" style="224" customWidth="1"/>
    <col min="6" max="6" width="5.33203125" style="224" customWidth="1"/>
    <col min="7" max="7" width="10.6640625" style="223" customWidth="1"/>
    <col min="8" max="8" width="10.6640625" style="143" customWidth="1"/>
    <col min="9" max="16384" width="9.109375" style="143"/>
  </cols>
  <sheetData>
    <row r="1" spans="1:8" ht="17.399999999999999" thickBot="1" x14ac:dyDescent="0.3">
      <c r="A1" s="126"/>
      <c r="B1" s="127"/>
      <c r="C1" s="339" t="s">
        <v>195</v>
      </c>
      <c r="D1" s="339"/>
      <c r="E1" s="225"/>
      <c r="F1" s="226">
        <v>77</v>
      </c>
      <c r="H1" s="223"/>
    </row>
    <row r="2" spans="1:8" x14ac:dyDescent="0.25">
      <c r="A2" s="129"/>
      <c r="B2" s="340" t="str">
        <f xml:space="preserve"> CONCATENATE("к АОСР ",A5)</f>
        <v>к АОСР № АИР-М-1.2-61.17-АР-77 от 27.05.2024</v>
      </c>
      <c r="C2" s="340"/>
      <c r="D2" s="340"/>
    </row>
    <row r="3" spans="1:8" ht="16.8" x14ac:dyDescent="0.3">
      <c r="A3" s="126"/>
      <c r="B3" s="126"/>
      <c r="C3" s="130"/>
      <c r="D3" s="130"/>
    </row>
    <row r="4" spans="1:8" ht="13.8" x14ac:dyDescent="0.25">
      <c r="A4" s="341" t="s">
        <v>179</v>
      </c>
      <c r="B4" s="341"/>
      <c r="C4" s="341"/>
      <c r="D4" s="341"/>
    </row>
    <row r="5" spans="1:8" ht="13.8" x14ac:dyDescent="0.25">
      <c r="A5" s="341" t="str">
        <f>CONCATENATE("№ ", INDEX(реестр!B:B, F1+8), " от ", TEXT(INDEX(реестр!C:C, F1+8), "ДД.ММ.ГГГГ"))</f>
        <v>№ АИР-М-1.2-61.17-АР-77 от 27.05.2024</v>
      </c>
      <c r="B5" s="341"/>
      <c r="C5" s="341"/>
      <c r="D5" s="341"/>
      <c r="E5" s="341"/>
      <c r="F5" s="341"/>
      <c r="G5" s="341"/>
      <c r="H5" s="341"/>
    </row>
    <row r="6" spans="1:8" s="142" customFormat="1" ht="16.8" x14ac:dyDescent="0.3">
      <c r="A6" s="131"/>
      <c r="B6" s="131"/>
      <c r="C6" s="131"/>
      <c r="D6" s="132"/>
      <c r="E6" s="224"/>
      <c r="F6" s="224"/>
      <c r="G6" s="234"/>
    </row>
    <row r="7" spans="1:8" s="142" customFormat="1" ht="27.6" x14ac:dyDescent="0.25">
      <c r="A7" s="133" t="s">
        <v>180</v>
      </c>
      <c r="B7" s="133" t="s">
        <v>181</v>
      </c>
      <c r="C7" s="133" t="s">
        <v>182</v>
      </c>
      <c r="D7" s="134" t="s">
        <v>183</v>
      </c>
      <c r="E7" s="224"/>
      <c r="F7" s="224"/>
      <c r="G7" s="234"/>
    </row>
    <row r="8" spans="1:8" s="142" customFormat="1" ht="27.6" x14ac:dyDescent="0.25">
      <c r="A8" s="137">
        <v>1</v>
      </c>
      <c r="B8" s="214" t="s">
        <v>534</v>
      </c>
      <c r="C8" s="214" t="s">
        <v>525</v>
      </c>
      <c r="D8" s="214">
        <v>2</v>
      </c>
      <c r="E8" s="224"/>
      <c r="F8" s="224"/>
      <c r="G8" s="234"/>
    </row>
    <row r="9" spans="1:8" s="142" customFormat="1" ht="27.6" x14ac:dyDescent="0.25">
      <c r="A9" s="137">
        <v>2</v>
      </c>
      <c r="B9" s="214" t="s">
        <v>526</v>
      </c>
      <c r="C9" s="214" t="s">
        <v>527</v>
      </c>
      <c r="D9" s="214">
        <v>1</v>
      </c>
      <c r="E9" s="224"/>
      <c r="F9" s="224"/>
      <c r="G9" s="234"/>
    </row>
    <row r="10" spans="1:8" s="142" customFormat="1" ht="27.6" x14ac:dyDescent="0.25">
      <c r="A10" s="137">
        <v>3</v>
      </c>
      <c r="B10" s="214" t="s">
        <v>526</v>
      </c>
      <c r="C10" s="214" t="s">
        <v>528</v>
      </c>
      <c r="D10" s="214">
        <v>1</v>
      </c>
      <c r="E10" s="224"/>
      <c r="F10" s="224"/>
      <c r="G10" s="234"/>
    </row>
    <row r="11" spans="1:8" s="142" customFormat="1" ht="27.6" x14ac:dyDescent="0.25">
      <c r="A11" s="137">
        <v>4</v>
      </c>
      <c r="B11" s="214" t="s">
        <v>535</v>
      </c>
      <c r="C11" s="214" t="s">
        <v>531</v>
      </c>
      <c r="D11" s="214">
        <v>1</v>
      </c>
      <c r="E11" s="224"/>
      <c r="F11" s="224"/>
      <c r="G11" s="234"/>
    </row>
    <row r="12" spans="1:8" s="142" customFormat="1" ht="27.6" x14ac:dyDescent="0.25">
      <c r="A12" s="137">
        <v>5</v>
      </c>
      <c r="B12" s="214" t="s">
        <v>532</v>
      </c>
      <c r="C12" s="214" t="s">
        <v>297</v>
      </c>
      <c r="D12" s="214">
        <v>1</v>
      </c>
      <c r="E12" s="224"/>
      <c r="F12" s="224"/>
      <c r="G12" s="234"/>
    </row>
    <row r="13" spans="1:8" s="142" customFormat="1" ht="27.6" x14ac:dyDescent="0.25">
      <c r="A13" s="137">
        <v>6</v>
      </c>
      <c r="B13" s="214" t="s">
        <v>533</v>
      </c>
      <c r="C13" s="214" t="s">
        <v>296</v>
      </c>
      <c r="D13" s="214">
        <v>2</v>
      </c>
      <c r="E13" s="224"/>
      <c r="F13" s="224"/>
      <c r="G13" s="234"/>
    </row>
    <row r="14" spans="1:8" s="142" customFormat="1" x14ac:dyDescent="0.25">
      <c r="A14" s="135"/>
      <c r="B14" s="136"/>
      <c r="C14" s="136"/>
      <c r="D14" s="128"/>
      <c r="E14" s="224"/>
      <c r="F14" s="224"/>
      <c r="G14" s="234"/>
    </row>
    <row r="15" spans="1:8" ht="13.8" x14ac:dyDescent="0.25">
      <c r="A15" s="338" t="s">
        <v>184</v>
      </c>
      <c r="B15" s="338"/>
      <c r="C15" s="338"/>
      <c r="D15" s="338"/>
    </row>
    <row r="16" spans="1:8" ht="13.8" x14ac:dyDescent="0.25">
      <c r="A16" s="338" t="s">
        <v>77</v>
      </c>
      <c r="B16" s="338"/>
      <c r="C16" s="338"/>
      <c r="D16" s="338"/>
    </row>
    <row r="17" spans="1:8" ht="30" customHeight="1" x14ac:dyDescent="0.25">
      <c r="A17" s="343" t="str">
        <f xml:space="preserve"> INDEX(реестр!N:N, F1+8)</f>
        <v>Серов А.В.</v>
      </c>
      <c r="B17" s="343"/>
      <c r="C17" s="343"/>
      <c r="D17" s="343"/>
      <c r="F17" s="223"/>
      <c r="G17" s="143"/>
    </row>
    <row r="18" spans="1:8" ht="13.8" x14ac:dyDescent="0.25">
      <c r="A18" s="342" t="s">
        <v>26</v>
      </c>
      <c r="B18" s="342"/>
      <c r="C18" s="342"/>
      <c r="D18" s="342"/>
    </row>
    <row r="19" spans="1:8" ht="13.8" x14ac:dyDescent="0.25">
      <c r="A19" s="338" t="s">
        <v>185</v>
      </c>
      <c r="B19" s="338"/>
      <c r="C19" s="338"/>
      <c r="D19" s="338"/>
    </row>
    <row r="20" spans="1:8" ht="13.8" x14ac:dyDescent="0.25">
      <c r="A20" s="338" t="s">
        <v>80</v>
      </c>
      <c r="B20" s="338"/>
      <c r="C20" s="338"/>
      <c r="D20" s="338"/>
    </row>
    <row r="21" spans="1:8" ht="30" customHeight="1" x14ac:dyDescent="0.25">
      <c r="A21" s="343" t="s">
        <v>76</v>
      </c>
      <c r="B21" s="343"/>
      <c r="C21" s="343"/>
      <c r="D21" s="343"/>
    </row>
    <row r="22" spans="1:8" ht="13.8" x14ac:dyDescent="0.25">
      <c r="A22" s="342" t="s">
        <v>26</v>
      </c>
      <c r="B22" s="342"/>
      <c r="C22" s="342"/>
      <c r="D22" s="342"/>
    </row>
    <row r="23" spans="1:8" ht="13.8" x14ac:dyDescent="0.25">
      <c r="A23" s="344" t="s">
        <v>66</v>
      </c>
      <c r="B23" s="344"/>
      <c r="C23" s="344"/>
      <c r="D23" s="344"/>
    </row>
    <row r="24" spans="1:8" ht="30" customHeight="1" x14ac:dyDescent="0.25">
      <c r="A24" s="343" t="s">
        <v>82</v>
      </c>
      <c r="B24" s="343"/>
      <c r="C24" s="343"/>
      <c r="D24" s="343"/>
    </row>
    <row r="25" spans="1:8" ht="13.8" x14ac:dyDescent="0.25">
      <c r="A25" s="342" t="s">
        <v>26</v>
      </c>
      <c r="B25" s="342"/>
      <c r="C25" s="342"/>
      <c r="D25" s="342"/>
    </row>
    <row r="26" spans="1:8" ht="13.8" x14ac:dyDescent="0.25">
      <c r="A26" s="344" t="s">
        <v>186</v>
      </c>
      <c r="B26" s="344"/>
      <c r="C26" s="344"/>
      <c r="D26" s="344"/>
    </row>
    <row r="27" spans="1:8" s="224" customFormat="1" ht="30" customHeight="1" x14ac:dyDescent="0.25">
      <c r="A27" s="343" t="s">
        <v>256</v>
      </c>
      <c r="B27" s="343"/>
      <c r="C27" s="343"/>
      <c r="D27" s="343"/>
      <c r="G27" s="223"/>
      <c r="H27" s="143"/>
    </row>
    <row r="28" spans="1:8" s="224" customFormat="1" ht="13.8" x14ac:dyDescent="0.25">
      <c r="A28" s="342" t="s">
        <v>26</v>
      </c>
      <c r="B28" s="342"/>
      <c r="C28" s="342"/>
      <c r="D28" s="342"/>
      <c r="G28" s="223"/>
      <c r="H28" s="143"/>
    </row>
  </sheetData>
  <mergeCells count="19">
    <mergeCell ref="A28:D28"/>
    <mergeCell ref="A22:D22"/>
    <mergeCell ref="A23:D23"/>
    <mergeCell ref="A24:D24"/>
    <mergeCell ref="A25:D25"/>
    <mergeCell ref="A26:D26"/>
    <mergeCell ref="A27:D27"/>
    <mergeCell ref="E5:H5"/>
    <mergeCell ref="A15:D15"/>
    <mergeCell ref="A21:D21"/>
    <mergeCell ref="C1:D1"/>
    <mergeCell ref="B2:D2"/>
    <mergeCell ref="A4:D4"/>
    <mergeCell ref="A5:D5"/>
    <mergeCell ref="A16:D16"/>
    <mergeCell ref="A17:D17"/>
    <mergeCell ref="A18:D18"/>
    <mergeCell ref="A19:D19"/>
    <mergeCell ref="A20:D20"/>
  </mergeCells>
  <pageMargins left="0.7" right="0.7" top="0.75" bottom="0.75" header="0.3" footer="0.3"/>
  <pageSetup paperSize="9" scale="78" orientation="portrait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04D9C8-F26E-4454-A63D-68E078DFC006}">
  <sheetPr codeName="Лист61">
    <tabColor rgb="FFFF99FF"/>
  </sheetPr>
  <dimension ref="A1:H30"/>
  <sheetViews>
    <sheetView view="pageBreakPreview" zoomScale="115" zoomScaleNormal="115" zoomScaleSheetLayoutView="115" workbookViewId="0">
      <selection activeCell="A19" sqref="A19:XFD19"/>
    </sheetView>
  </sheetViews>
  <sheetFormatPr defaultColWidth="9.109375" defaultRowHeight="15.6" x14ac:dyDescent="0.25"/>
  <cols>
    <col min="1" max="1" width="5.88671875" style="135" customWidth="1"/>
    <col min="2" max="2" width="55.44140625" style="136" customWidth="1"/>
    <col min="3" max="3" width="42.6640625" style="136" customWidth="1"/>
    <col min="4" max="4" width="9.33203125" style="128" customWidth="1"/>
    <col min="5" max="5" width="10.6640625" style="224" customWidth="1"/>
    <col min="6" max="6" width="5.33203125" style="224" customWidth="1"/>
    <col min="7" max="7" width="10.6640625" style="223" customWidth="1"/>
    <col min="8" max="8" width="10.6640625" style="143" customWidth="1"/>
    <col min="9" max="16384" width="9.109375" style="143"/>
  </cols>
  <sheetData>
    <row r="1" spans="1:8" ht="17.399999999999999" thickBot="1" x14ac:dyDescent="0.3">
      <c r="A1" s="126"/>
      <c r="B1" s="127"/>
      <c r="C1" s="339" t="s">
        <v>195</v>
      </c>
      <c r="D1" s="339"/>
      <c r="E1" s="225"/>
      <c r="F1" s="226">
        <v>78</v>
      </c>
      <c r="H1" s="223"/>
    </row>
    <row r="2" spans="1:8" x14ac:dyDescent="0.25">
      <c r="A2" s="129"/>
      <c r="B2" s="340" t="str">
        <f xml:space="preserve"> CONCATENATE("к АОСР ",A5)</f>
        <v>к АОСР № АИР-М-1.2-61.17-АР-78 от 08.06.2024</v>
      </c>
      <c r="C2" s="340"/>
      <c r="D2" s="340"/>
    </row>
    <row r="3" spans="1:8" ht="16.8" x14ac:dyDescent="0.3">
      <c r="A3" s="126"/>
      <c r="B3" s="126"/>
      <c r="C3" s="130"/>
      <c r="D3" s="130"/>
    </row>
    <row r="4" spans="1:8" ht="13.8" x14ac:dyDescent="0.25">
      <c r="A4" s="341" t="s">
        <v>179</v>
      </c>
      <c r="B4" s="341"/>
      <c r="C4" s="341"/>
      <c r="D4" s="341"/>
    </row>
    <row r="5" spans="1:8" ht="13.8" x14ac:dyDescent="0.25">
      <c r="A5" s="341" t="str">
        <f>CONCATENATE("№ ", INDEX(реестр!B:B, F1+8), " от ", TEXT(INDEX(реестр!C:C, F1+8), "ДД.ММ.ГГГГ"))</f>
        <v>№ АИР-М-1.2-61.17-АР-78 от 08.06.2024</v>
      </c>
      <c r="B5" s="341"/>
      <c r="C5" s="341"/>
      <c r="D5" s="341"/>
      <c r="E5" s="341"/>
      <c r="F5" s="341"/>
      <c r="G5" s="341"/>
      <c r="H5" s="341"/>
    </row>
    <row r="6" spans="1:8" s="142" customFormat="1" ht="16.8" x14ac:dyDescent="0.3">
      <c r="A6" s="131"/>
      <c r="B6" s="131"/>
      <c r="C6" s="131"/>
      <c r="D6" s="132"/>
      <c r="E6" s="224"/>
      <c r="F6" s="224"/>
      <c r="G6" s="234"/>
    </row>
    <row r="7" spans="1:8" s="142" customFormat="1" ht="27.6" x14ac:dyDescent="0.25">
      <c r="A7" s="133" t="s">
        <v>180</v>
      </c>
      <c r="B7" s="133" t="s">
        <v>181</v>
      </c>
      <c r="C7" s="133" t="s">
        <v>182</v>
      </c>
      <c r="D7" s="134" t="s">
        <v>183</v>
      </c>
      <c r="E7" s="224"/>
      <c r="F7" s="224"/>
      <c r="G7" s="234"/>
    </row>
    <row r="8" spans="1:8" s="142" customFormat="1" ht="27.6" x14ac:dyDescent="0.25">
      <c r="A8" s="137">
        <v>1</v>
      </c>
      <c r="B8" s="214" t="s">
        <v>536</v>
      </c>
      <c r="C8" s="214" t="s">
        <v>525</v>
      </c>
      <c r="D8" s="214">
        <v>2</v>
      </c>
      <c r="E8" s="224"/>
      <c r="F8" s="224"/>
      <c r="G8" s="234"/>
    </row>
    <row r="9" spans="1:8" s="142" customFormat="1" ht="27.6" x14ac:dyDescent="0.25">
      <c r="A9" s="137">
        <v>2</v>
      </c>
      <c r="B9" s="214" t="s">
        <v>526</v>
      </c>
      <c r="C9" s="214" t="s">
        <v>527</v>
      </c>
      <c r="D9" s="214">
        <v>1</v>
      </c>
      <c r="E9" s="224"/>
      <c r="F9" s="224"/>
      <c r="G9" s="234"/>
    </row>
    <row r="10" spans="1:8" s="142" customFormat="1" ht="27.6" x14ac:dyDescent="0.25">
      <c r="A10" s="137">
        <v>3</v>
      </c>
      <c r="B10" s="214" t="s">
        <v>526</v>
      </c>
      <c r="C10" s="214" t="s">
        <v>528</v>
      </c>
      <c r="D10" s="214">
        <v>1</v>
      </c>
      <c r="E10" s="224"/>
      <c r="F10" s="224"/>
      <c r="G10" s="234"/>
    </row>
    <row r="11" spans="1:8" s="142" customFormat="1" ht="27.6" x14ac:dyDescent="0.25">
      <c r="A11" s="137">
        <v>4</v>
      </c>
      <c r="B11" s="214" t="s">
        <v>537</v>
      </c>
      <c r="C11" s="214" t="s">
        <v>524</v>
      </c>
      <c r="D11" s="214">
        <v>1</v>
      </c>
      <c r="E11" s="224"/>
      <c r="F11" s="224"/>
      <c r="G11" s="234"/>
    </row>
    <row r="12" spans="1:8" s="142" customFormat="1" ht="27.6" x14ac:dyDescent="0.25">
      <c r="A12" s="137">
        <v>5</v>
      </c>
      <c r="B12" s="214" t="s">
        <v>529</v>
      </c>
      <c r="C12" s="214" t="s">
        <v>530</v>
      </c>
      <c r="D12" s="214">
        <v>1</v>
      </c>
      <c r="E12" s="224"/>
      <c r="F12" s="224"/>
      <c r="G12" s="234"/>
    </row>
    <row r="13" spans="1:8" s="142" customFormat="1" ht="27.6" x14ac:dyDescent="0.25">
      <c r="A13" s="137">
        <v>6</v>
      </c>
      <c r="B13" s="214" t="s">
        <v>538</v>
      </c>
      <c r="C13" s="214" t="s">
        <v>531</v>
      </c>
      <c r="D13" s="214">
        <v>1</v>
      </c>
      <c r="E13" s="224"/>
      <c r="F13" s="224"/>
      <c r="G13" s="234"/>
    </row>
    <row r="14" spans="1:8" s="142" customFormat="1" ht="27.6" x14ac:dyDescent="0.25">
      <c r="A14" s="137">
        <v>7</v>
      </c>
      <c r="B14" s="214" t="s">
        <v>532</v>
      </c>
      <c r="C14" s="214" t="s">
        <v>297</v>
      </c>
      <c r="D14" s="214">
        <v>1</v>
      </c>
      <c r="E14" s="224"/>
      <c r="F14" s="224"/>
      <c r="G14" s="234"/>
    </row>
    <row r="15" spans="1:8" s="142" customFormat="1" ht="27.6" x14ac:dyDescent="0.25">
      <c r="A15" s="137">
        <v>8</v>
      </c>
      <c r="B15" s="214" t="s">
        <v>533</v>
      </c>
      <c r="C15" s="214" t="s">
        <v>296</v>
      </c>
      <c r="D15" s="214">
        <v>2</v>
      </c>
      <c r="E15" s="224"/>
      <c r="F15" s="224"/>
      <c r="G15" s="234"/>
    </row>
    <row r="16" spans="1:8" s="142" customFormat="1" x14ac:dyDescent="0.25">
      <c r="A16" s="135"/>
      <c r="B16" s="136"/>
      <c r="C16" s="136"/>
      <c r="D16" s="128"/>
      <c r="E16" s="224"/>
      <c r="F16" s="224"/>
      <c r="G16" s="234"/>
    </row>
    <row r="17" spans="1:8" ht="13.8" x14ac:dyDescent="0.25">
      <c r="A17" s="338" t="s">
        <v>184</v>
      </c>
      <c r="B17" s="338"/>
      <c r="C17" s="338"/>
      <c r="D17" s="338"/>
    </row>
    <row r="18" spans="1:8" ht="13.8" x14ac:dyDescent="0.25">
      <c r="A18" s="338" t="s">
        <v>77</v>
      </c>
      <c r="B18" s="338"/>
      <c r="C18" s="338"/>
      <c r="D18" s="338"/>
    </row>
    <row r="19" spans="1:8" ht="30" customHeight="1" x14ac:dyDescent="0.25">
      <c r="A19" s="343" t="str">
        <f xml:space="preserve"> INDEX(реестр!N:N, F1+8)</f>
        <v>Серов А.В.</v>
      </c>
      <c r="B19" s="343"/>
      <c r="C19" s="343"/>
      <c r="D19" s="343"/>
      <c r="F19" s="223"/>
      <c r="G19" s="143"/>
    </row>
    <row r="20" spans="1:8" ht="13.8" x14ac:dyDescent="0.25">
      <c r="A20" s="342" t="s">
        <v>26</v>
      </c>
      <c r="B20" s="342"/>
      <c r="C20" s="342"/>
      <c r="D20" s="342"/>
    </row>
    <row r="21" spans="1:8" ht="13.8" x14ac:dyDescent="0.25">
      <c r="A21" s="338" t="s">
        <v>185</v>
      </c>
      <c r="B21" s="338"/>
      <c r="C21" s="338"/>
      <c r="D21" s="338"/>
    </row>
    <row r="22" spans="1:8" ht="13.8" x14ac:dyDescent="0.25">
      <c r="A22" s="338" t="s">
        <v>80</v>
      </c>
      <c r="B22" s="338"/>
      <c r="C22" s="338"/>
      <c r="D22" s="338"/>
    </row>
    <row r="23" spans="1:8" ht="30" customHeight="1" x14ac:dyDescent="0.25">
      <c r="A23" s="343" t="s">
        <v>76</v>
      </c>
      <c r="B23" s="343"/>
      <c r="C23" s="343"/>
      <c r="D23" s="343"/>
    </row>
    <row r="24" spans="1:8" ht="13.8" x14ac:dyDescent="0.25">
      <c r="A24" s="342" t="s">
        <v>26</v>
      </c>
      <c r="B24" s="342"/>
      <c r="C24" s="342"/>
      <c r="D24" s="342"/>
    </row>
    <row r="25" spans="1:8" ht="13.8" x14ac:dyDescent="0.25">
      <c r="A25" s="344" t="s">
        <v>66</v>
      </c>
      <c r="B25" s="344"/>
      <c r="C25" s="344"/>
      <c r="D25" s="344"/>
    </row>
    <row r="26" spans="1:8" ht="30" customHeight="1" x14ac:dyDescent="0.25">
      <c r="A26" s="343" t="s">
        <v>82</v>
      </c>
      <c r="B26" s="343"/>
      <c r="C26" s="343"/>
      <c r="D26" s="343"/>
    </row>
    <row r="27" spans="1:8" ht="13.8" x14ac:dyDescent="0.25">
      <c r="A27" s="342" t="s">
        <v>26</v>
      </c>
      <c r="B27" s="342"/>
      <c r="C27" s="342"/>
      <c r="D27" s="342"/>
    </row>
    <row r="28" spans="1:8" ht="13.8" x14ac:dyDescent="0.25">
      <c r="A28" s="344" t="s">
        <v>186</v>
      </c>
      <c r="B28" s="344"/>
      <c r="C28" s="344"/>
      <c r="D28" s="344"/>
    </row>
    <row r="29" spans="1:8" s="224" customFormat="1" ht="30" customHeight="1" x14ac:dyDescent="0.25">
      <c r="A29" s="343" t="s">
        <v>256</v>
      </c>
      <c r="B29" s="343"/>
      <c r="C29" s="343"/>
      <c r="D29" s="343"/>
      <c r="G29" s="223"/>
      <c r="H29" s="143"/>
    </row>
    <row r="30" spans="1:8" s="224" customFormat="1" ht="13.8" x14ac:dyDescent="0.25">
      <c r="A30" s="342" t="s">
        <v>26</v>
      </c>
      <c r="B30" s="342"/>
      <c r="C30" s="342"/>
      <c r="D30" s="342"/>
      <c r="G30" s="223"/>
      <c r="H30" s="143"/>
    </row>
  </sheetData>
  <mergeCells count="19">
    <mergeCell ref="A30:D30"/>
    <mergeCell ref="A24:D24"/>
    <mergeCell ref="A25:D25"/>
    <mergeCell ref="A26:D26"/>
    <mergeCell ref="A27:D27"/>
    <mergeCell ref="A28:D28"/>
    <mergeCell ref="A29:D29"/>
    <mergeCell ref="E5:H5"/>
    <mergeCell ref="A17:D17"/>
    <mergeCell ref="A23:D23"/>
    <mergeCell ref="C1:D1"/>
    <mergeCell ref="B2:D2"/>
    <mergeCell ref="A4:D4"/>
    <mergeCell ref="A5:D5"/>
    <mergeCell ref="A18:D18"/>
    <mergeCell ref="A19:D19"/>
    <mergeCell ref="A20:D20"/>
    <mergeCell ref="A21:D21"/>
    <mergeCell ref="A22:D22"/>
  </mergeCells>
  <pageMargins left="0.7" right="0.7" top="0.75" bottom="0.75" header="0.3" footer="0.3"/>
  <pageSetup paperSize="9" scale="78"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5C38A4-5FE9-498A-B62E-0802C8399A04}">
  <sheetPr codeName="Лист92">
    <tabColor theme="2" tint="-0.249977111117893"/>
  </sheetPr>
  <dimension ref="A1:I33"/>
  <sheetViews>
    <sheetView view="pageBreakPreview" zoomScale="91" zoomScaleNormal="115" zoomScaleSheetLayoutView="115" workbookViewId="0">
      <selection activeCell="F2" sqref="F2"/>
    </sheetView>
  </sheetViews>
  <sheetFormatPr defaultColWidth="9.109375" defaultRowHeight="15.6" x14ac:dyDescent="0.25"/>
  <cols>
    <col min="1" max="1" width="5.88671875" style="135" customWidth="1"/>
    <col min="2" max="2" width="55.44140625" style="136" customWidth="1"/>
    <col min="3" max="3" width="42.6640625" style="136" customWidth="1"/>
    <col min="4" max="4" width="9.33203125" style="128" customWidth="1"/>
    <col min="5" max="7" width="9.109375" style="143"/>
    <col min="8" max="8" width="63.44140625" style="143" customWidth="1"/>
    <col min="9" max="9" width="36.6640625" style="143" customWidth="1"/>
    <col min="10" max="16384" width="9.109375" style="143"/>
  </cols>
  <sheetData>
    <row r="1" spans="1:9" ht="17.399999999999999" thickBot="1" x14ac:dyDescent="0.3">
      <c r="A1" s="126"/>
      <c r="B1" s="127"/>
      <c r="C1" s="339" t="s">
        <v>195</v>
      </c>
      <c r="D1" s="339"/>
      <c r="E1" s="225"/>
      <c r="F1" s="226">
        <v>86</v>
      </c>
      <c r="G1" s="223"/>
      <c r="H1" s="223"/>
    </row>
    <row r="2" spans="1:9" x14ac:dyDescent="0.25">
      <c r="A2" s="129"/>
      <c r="B2" s="340" t="str">
        <f xml:space="preserve"> CONCATENATE("к АОСР ",A5)</f>
        <v>к АОСР № АИР-М-1.2-61.17-АР-86 от 08.09.2024</v>
      </c>
      <c r="C2" s="340"/>
      <c r="D2" s="340"/>
    </row>
    <row r="3" spans="1:9" ht="16.8" x14ac:dyDescent="0.3">
      <c r="A3" s="126"/>
      <c r="B3" s="126"/>
      <c r="C3" s="130"/>
      <c r="D3" s="130"/>
    </row>
    <row r="4" spans="1:9" ht="13.8" x14ac:dyDescent="0.25">
      <c r="A4" s="341" t="s">
        <v>179</v>
      </c>
      <c r="B4" s="341"/>
      <c r="C4" s="341"/>
      <c r="D4" s="341"/>
    </row>
    <row r="5" spans="1:9" ht="15" customHeight="1" x14ac:dyDescent="0.25">
      <c r="A5" s="341" t="str">
        <f>CONCATENATE("№ ", INDEX(реестр!B:B, F1+8), " от ", TEXT(INDEX(реестр!C:C, F1+8), "ДД.ММ.ГГГГ"))</f>
        <v>№ АИР-М-1.2-61.17-АР-86 от 08.09.2024</v>
      </c>
      <c r="B5" s="341"/>
      <c r="C5" s="341"/>
      <c r="D5" s="341"/>
      <c r="F5" s="341"/>
      <c r="G5" s="341"/>
      <c r="H5" s="341"/>
      <c r="I5" s="341"/>
    </row>
    <row r="6" spans="1:9" s="142" customFormat="1" ht="16.8" x14ac:dyDescent="0.3">
      <c r="A6" s="131"/>
      <c r="B6" s="131"/>
      <c r="C6" s="131"/>
      <c r="D6" s="132"/>
    </row>
    <row r="7" spans="1:9" s="142" customFormat="1" ht="27.6" x14ac:dyDescent="0.25">
      <c r="A7" s="133" t="s">
        <v>180</v>
      </c>
      <c r="B7" s="133" t="s">
        <v>181</v>
      </c>
      <c r="C7" s="133" t="s">
        <v>182</v>
      </c>
      <c r="D7" s="134" t="s">
        <v>183</v>
      </c>
    </row>
    <row r="8" spans="1:9" s="142" customFormat="1" ht="27.6" x14ac:dyDescent="0.25">
      <c r="A8" s="137">
        <v>1</v>
      </c>
      <c r="B8" s="214" t="s">
        <v>607</v>
      </c>
      <c r="C8" s="214" t="s">
        <v>606</v>
      </c>
      <c r="D8" s="214">
        <v>1</v>
      </c>
    </row>
    <row r="9" spans="1:9" s="142" customFormat="1" ht="27.6" x14ac:dyDescent="0.25">
      <c r="A9" s="137">
        <v>2</v>
      </c>
      <c r="B9" s="214" t="s">
        <v>609</v>
      </c>
      <c r="C9" s="214" t="s">
        <v>615</v>
      </c>
      <c r="D9" s="214">
        <v>4</v>
      </c>
    </row>
    <row r="10" spans="1:9" s="142" customFormat="1" ht="27.6" x14ac:dyDescent="0.25">
      <c r="A10" s="137">
        <v>3</v>
      </c>
      <c r="B10" s="214" t="s">
        <v>610</v>
      </c>
      <c r="C10" s="214" t="s">
        <v>608</v>
      </c>
      <c r="D10" s="214">
        <v>4</v>
      </c>
    </row>
    <row r="11" spans="1:9" s="142" customFormat="1" ht="27.6" x14ac:dyDescent="0.25">
      <c r="A11" s="137">
        <v>4</v>
      </c>
      <c r="B11" s="214" t="s">
        <v>612</v>
      </c>
      <c r="C11" s="214" t="s">
        <v>616</v>
      </c>
      <c r="D11" s="214">
        <v>1</v>
      </c>
    </row>
    <row r="12" spans="1:9" s="142" customFormat="1" ht="27.6" x14ac:dyDescent="0.25">
      <c r="A12" s="137">
        <v>5</v>
      </c>
      <c r="B12" s="214" t="s">
        <v>613</v>
      </c>
      <c r="C12" s="214" t="s">
        <v>617</v>
      </c>
      <c r="D12" s="214">
        <v>2</v>
      </c>
    </row>
    <row r="13" spans="1:9" s="142" customFormat="1" ht="27.6" x14ac:dyDescent="0.25">
      <c r="A13" s="137">
        <v>6</v>
      </c>
      <c r="B13" s="214" t="s">
        <v>614</v>
      </c>
      <c r="C13" s="214" t="s">
        <v>618</v>
      </c>
      <c r="D13" s="214">
        <v>3</v>
      </c>
    </row>
    <row r="14" spans="1:9" s="142" customFormat="1" ht="27.6" x14ac:dyDescent="0.25">
      <c r="A14" s="137">
        <v>7</v>
      </c>
      <c r="B14" s="214" t="s">
        <v>614</v>
      </c>
      <c r="C14" s="214" t="s">
        <v>611</v>
      </c>
      <c r="D14" s="214">
        <v>4</v>
      </c>
    </row>
    <row r="15" spans="1:9" s="142" customFormat="1" ht="41.4" x14ac:dyDescent="0.25">
      <c r="A15" s="137">
        <v>8</v>
      </c>
      <c r="B15" s="214" t="s">
        <v>622</v>
      </c>
      <c r="C15" s="214" t="s">
        <v>619</v>
      </c>
      <c r="D15" s="214">
        <v>1</v>
      </c>
    </row>
    <row r="16" spans="1:9" s="142" customFormat="1" ht="27.6" x14ac:dyDescent="0.25">
      <c r="A16" s="137">
        <v>9</v>
      </c>
      <c r="B16" s="214" t="s">
        <v>621</v>
      </c>
      <c r="C16" s="214" t="s">
        <v>620</v>
      </c>
      <c r="D16" s="214">
        <v>1</v>
      </c>
    </row>
    <row r="17" spans="1:4" s="142" customFormat="1" ht="13.8" x14ac:dyDescent="0.25">
      <c r="A17" s="137">
        <v>10</v>
      </c>
      <c r="B17" s="214" t="s">
        <v>625</v>
      </c>
      <c r="C17" s="214" t="s">
        <v>623</v>
      </c>
      <c r="D17" s="214">
        <v>1</v>
      </c>
    </row>
    <row r="18" spans="1:4" s="142" customFormat="1" ht="13.8" x14ac:dyDescent="0.25">
      <c r="A18" s="137">
        <v>11</v>
      </c>
      <c r="B18" s="214" t="s">
        <v>626</v>
      </c>
      <c r="C18" s="214" t="s">
        <v>624</v>
      </c>
      <c r="D18" s="214">
        <v>1</v>
      </c>
    </row>
    <row r="19" spans="1:4" s="142" customFormat="1" x14ac:dyDescent="0.25">
      <c r="A19" s="135"/>
      <c r="B19" s="136"/>
      <c r="C19" s="136"/>
      <c r="D19" s="128"/>
    </row>
    <row r="20" spans="1:4" ht="13.8" x14ac:dyDescent="0.25">
      <c r="A20" s="338" t="s">
        <v>184</v>
      </c>
      <c r="B20" s="338"/>
      <c r="C20" s="338"/>
      <c r="D20" s="338"/>
    </row>
    <row r="21" spans="1:4" ht="13.8" x14ac:dyDescent="0.25">
      <c r="A21" s="338" t="s">
        <v>77</v>
      </c>
      <c r="B21" s="338"/>
      <c r="C21" s="338"/>
      <c r="D21" s="338"/>
    </row>
    <row r="22" spans="1:4" ht="30" customHeight="1" x14ac:dyDescent="0.25">
      <c r="A22" s="343" t="str">
        <f xml:space="preserve"> INDEX(реестр!N:N, F1+8)</f>
        <v>Алгушаев Р.Р.</v>
      </c>
      <c r="B22" s="343"/>
      <c r="C22" s="343"/>
      <c r="D22" s="343"/>
    </row>
    <row r="23" spans="1:4" ht="13.8" x14ac:dyDescent="0.25">
      <c r="A23" s="342" t="s">
        <v>26</v>
      </c>
      <c r="B23" s="342"/>
      <c r="C23" s="342"/>
      <c r="D23" s="342"/>
    </row>
    <row r="24" spans="1:4" ht="13.8" x14ac:dyDescent="0.25">
      <c r="A24" s="338" t="s">
        <v>185</v>
      </c>
      <c r="B24" s="338"/>
      <c r="C24" s="338"/>
      <c r="D24" s="338"/>
    </row>
    <row r="25" spans="1:4" ht="13.8" x14ac:dyDescent="0.25">
      <c r="A25" s="338" t="s">
        <v>80</v>
      </c>
      <c r="B25" s="338"/>
      <c r="C25" s="338"/>
      <c r="D25" s="338"/>
    </row>
    <row r="26" spans="1:4" ht="30" customHeight="1" x14ac:dyDescent="0.25">
      <c r="A26" s="343" t="s">
        <v>76</v>
      </c>
      <c r="B26" s="343"/>
      <c r="C26" s="343"/>
      <c r="D26" s="343"/>
    </row>
    <row r="27" spans="1:4" ht="13.8" x14ac:dyDescent="0.25">
      <c r="A27" s="342" t="s">
        <v>26</v>
      </c>
      <c r="B27" s="342"/>
      <c r="C27" s="342"/>
      <c r="D27" s="342"/>
    </row>
    <row r="28" spans="1:4" ht="13.8" x14ac:dyDescent="0.25">
      <c r="A28" s="344" t="s">
        <v>66</v>
      </c>
      <c r="B28" s="344"/>
      <c r="C28" s="344"/>
      <c r="D28" s="344"/>
    </row>
    <row r="29" spans="1:4" ht="30" customHeight="1" x14ac:dyDescent="0.25">
      <c r="A29" s="343" t="s">
        <v>82</v>
      </c>
      <c r="B29" s="343"/>
      <c r="C29" s="343"/>
      <c r="D29" s="343"/>
    </row>
    <row r="30" spans="1:4" ht="13.8" x14ac:dyDescent="0.25">
      <c r="A30" s="342" t="s">
        <v>26</v>
      </c>
      <c r="B30" s="342"/>
      <c r="C30" s="342"/>
      <c r="D30" s="342"/>
    </row>
    <row r="31" spans="1:4" ht="13.8" x14ac:dyDescent="0.25">
      <c r="A31" s="344" t="s">
        <v>186</v>
      </c>
      <c r="B31" s="344"/>
      <c r="C31" s="344"/>
      <c r="D31" s="344"/>
    </row>
    <row r="32" spans="1:4" ht="30" customHeight="1" x14ac:dyDescent="0.25">
      <c r="A32" s="343" t="s">
        <v>256</v>
      </c>
      <c r="B32" s="343"/>
      <c r="C32" s="343"/>
      <c r="D32" s="343"/>
    </row>
    <row r="33" spans="1:4" ht="13.8" x14ac:dyDescent="0.25">
      <c r="A33" s="342" t="s">
        <v>26</v>
      </c>
      <c r="B33" s="342"/>
      <c r="C33" s="342"/>
      <c r="D33" s="342"/>
    </row>
  </sheetData>
  <mergeCells count="19">
    <mergeCell ref="A33:D33"/>
    <mergeCell ref="A27:D27"/>
    <mergeCell ref="A28:D28"/>
    <mergeCell ref="A29:D29"/>
    <mergeCell ref="A30:D30"/>
    <mergeCell ref="A31:D31"/>
    <mergeCell ref="A32:D32"/>
    <mergeCell ref="F5:I5"/>
    <mergeCell ref="A20:D20"/>
    <mergeCell ref="A26:D26"/>
    <mergeCell ref="C1:D1"/>
    <mergeCell ref="B2:D2"/>
    <mergeCell ref="A4:D4"/>
    <mergeCell ref="A5:D5"/>
    <mergeCell ref="A21:D21"/>
    <mergeCell ref="A22:D22"/>
    <mergeCell ref="A23:D23"/>
    <mergeCell ref="A24:D24"/>
    <mergeCell ref="A25:D25"/>
  </mergeCells>
  <phoneticPr fontId="12" type="noConversion"/>
  <pageMargins left="0.7" right="0.7" top="0.75" bottom="0.75" header="0.3" footer="0.3"/>
  <pageSetup paperSize="9" scale="78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38</vt:i4>
      </vt:variant>
      <vt:variant>
        <vt:lpstr>Именованные диапазоны</vt:lpstr>
      </vt:variant>
      <vt:variant>
        <vt:i4>38</vt:i4>
      </vt:variant>
    </vt:vector>
  </HeadingPairs>
  <TitlesOfParts>
    <vt:vector size="76" baseType="lpstr">
      <vt:lpstr>Акты до 1.09.23 НЕ ИСПОЛЬЗОВАТЬ</vt:lpstr>
      <vt:lpstr>Акты с 1.09.23</vt:lpstr>
      <vt:lpstr>реестр</vt:lpstr>
      <vt:lpstr>1</vt:lpstr>
      <vt:lpstr>7</vt:lpstr>
      <vt:lpstr>15</vt:lpstr>
      <vt:lpstr>16</vt:lpstr>
      <vt:lpstr>17</vt:lpstr>
      <vt:lpstr>18</vt:lpstr>
      <vt:lpstr>19</vt:lpstr>
      <vt:lpstr>20</vt:lpstr>
      <vt:lpstr>23</vt:lpstr>
      <vt:lpstr>24</vt:lpstr>
      <vt:lpstr>27</vt:lpstr>
      <vt:lpstr>28</vt:lpstr>
      <vt:lpstr>30</vt:lpstr>
      <vt:lpstr>33</vt:lpstr>
      <vt:lpstr>37</vt:lpstr>
      <vt:lpstr>38</vt:lpstr>
      <vt:lpstr>39</vt:lpstr>
      <vt:lpstr>43</vt:lpstr>
      <vt:lpstr>46</vt:lpstr>
      <vt:lpstr>48</vt:lpstr>
      <vt:lpstr>50</vt:lpstr>
      <vt:lpstr>53</vt:lpstr>
      <vt:lpstr>54</vt:lpstr>
      <vt:lpstr>56</vt:lpstr>
      <vt:lpstr>57</vt:lpstr>
      <vt:lpstr>58</vt:lpstr>
      <vt:lpstr>61</vt:lpstr>
      <vt:lpstr>62</vt:lpstr>
      <vt:lpstr>63</vt:lpstr>
      <vt:lpstr>68</vt:lpstr>
      <vt:lpstr>72</vt:lpstr>
      <vt:lpstr>74</vt:lpstr>
      <vt:lpstr>77</vt:lpstr>
      <vt:lpstr>78</vt:lpstr>
      <vt:lpstr>86</vt:lpstr>
      <vt:lpstr>'Акты до 1.09.23 НЕ ИСПОЛЬЗОВАТЬ'!Print_Area</vt:lpstr>
      <vt:lpstr>'1'!Область_печати</vt:lpstr>
      <vt:lpstr>'15'!Область_печати</vt:lpstr>
      <vt:lpstr>'16'!Область_печати</vt:lpstr>
      <vt:lpstr>'17'!Область_печати</vt:lpstr>
      <vt:lpstr>'18'!Область_печати</vt:lpstr>
      <vt:lpstr>'19'!Область_печати</vt:lpstr>
      <vt:lpstr>'20'!Область_печати</vt:lpstr>
      <vt:lpstr>'23'!Область_печати</vt:lpstr>
      <vt:lpstr>'24'!Область_печати</vt:lpstr>
      <vt:lpstr>'27'!Область_печати</vt:lpstr>
      <vt:lpstr>'28'!Область_печати</vt:lpstr>
      <vt:lpstr>'30'!Область_печати</vt:lpstr>
      <vt:lpstr>'33'!Область_печати</vt:lpstr>
      <vt:lpstr>'37'!Область_печати</vt:lpstr>
      <vt:lpstr>'38'!Область_печати</vt:lpstr>
      <vt:lpstr>'39'!Область_печати</vt:lpstr>
      <vt:lpstr>'43'!Область_печати</vt:lpstr>
      <vt:lpstr>'46'!Область_печати</vt:lpstr>
      <vt:lpstr>'48'!Область_печати</vt:lpstr>
      <vt:lpstr>'50'!Область_печати</vt:lpstr>
      <vt:lpstr>'53'!Область_печати</vt:lpstr>
      <vt:lpstr>'54'!Область_печати</vt:lpstr>
      <vt:lpstr>'56'!Область_печати</vt:lpstr>
      <vt:lpstr>'57'!Область_печати</vt:lpstr>
      <vt:lpstr>'58'!Область_печати</vt:lpstr>
      <vt:lpstr>'61'!Область_печати</vt:lpstr>
      <vt:lpstr>'62'!Область_печати</vt:lpstr>
      <vt:lpstr>'63'!Область_печати</vt:lpstr>
      <vt:lpstr>'68'!Область_печати</vt:lpstr>
      <vt:lpstr>'7'!Область_печати</vt:lpstr>
      <vt:lpstr>'72'!Область_печати</vt:lpstr>
      <vt:lpstr>'74'!Область_печати</vt:lpstr>
      <vt:lpstr>'77'!Область_печати</vt:lpstr>
      <vt:lpstr>'78'!Область_печати</vt:lpstr>
      <vt:lpstr>'86'!Область_печати</vt:lpstr>
      <vt:lpstr>'Акты до 1.09.23 НЕ ИСПОЛЬЗОВАТЬ'!Область_печати</vt:lpstr>
      <vt:lpstr>'Акты с 1.09.23'!Область_печати</vt:lpstr>
    </vt:vector>
  </TitlesOfParts>
  <Company>Intarsia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e.zaytseva</dc:creator>
  <cp:lastModifiedBy>User</cp:lastModifiedBy>
  <cp:lastPrinted>2025-11-11T07:22:36Z</cp:lastPrinted>
  <dcterms:created xsi:type="dcterms:W3CDTF">2011-06-27T12:15:39Z</dcterms:created>
  <dcterms:modified xsi:type="dcterms:W3CDTF">2025-11-11T14:25:59Z</dcterms:modified>
</cp:coreProperties>
</file>