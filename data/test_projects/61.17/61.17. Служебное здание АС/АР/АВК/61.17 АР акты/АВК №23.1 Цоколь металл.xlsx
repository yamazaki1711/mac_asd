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0"/>
  <workbookPr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цоколь\"/>
    </mc:Choice>
  </mc:AlternateContent>
  <xr:revisionPtr revIDLastSave="0" documentId="13_ncr:1_{3D60BBE3-03F5-4A56-9D6C-40DD71EB7A3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перекрытие'!$A$1:$BX$34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перекрытие'!$A$1:$BT$69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58" i="1" l="1"/>
  <c r="D38" i="1"/>
  <c r="D39" i="1"/>
  <c r="A49" i="1" l="1"/>
  <c r="M47" i="1" l="1"/>
  <c r="CC47" i="1" s="1"/>
  <c r="X67" i="1"/>
  <c r="X61" i="1"/>
  <c r="X48" i="1"/>
  <c r="W57" i="1"/>
  <c r="BH61" i="1"/>
  <c r="BH67" i="1" s="1"/>
  <c r="X64" i="1"/>
  <c r="CE57" i="1"/>
  <c r="BU53" i="1"/>
  <c r="BU52" i="1"/>
  <c r="BY51" i="1"/>
  <c r="CD48" i="1"/>
  <c r="CB44" i="1"/>
  <c r="BU43" i="1"/>
  <c r="BU42" i="1"/>
  <c r="BY41" i="1"/>
  <c r="BZ34" i="1"/>
  <c r="BU33" i="1"/>
  <c r="BU32" i="1"/>
  <c r="BX29" i="1"/>
  <c r="BW27" i="1"/>
  <c r="BV22" i="1"/>
  <c r="BU13" i="1"/>
  <c r="BH64" i="1" l="1"/>
</calcChain>
</file>

<file path=xl/sharedStrings.xml><?xml version="1.0" encoding="utf-8"?>
<sst xmlns="http://schemas.openxmlformats.org/spreadsheetml/2006/main" count="128" uniqueCount="117">
  <si>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</si>
  <si>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</si>
  <si>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</si>
  <si>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</si>
  <si>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</si>
  <si>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</si>
  <si>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</si>
  <si>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</si>
  <si>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</si>
  <si>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</si>
  <si>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</si>
  <si>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</si>
  <si>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</si>
  <si>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</si>
  <si>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</si>
  <si>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</si>
  <si>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</si>
  <si>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</si>
  <si>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</si>
  <si>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</si>
  <si>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</si>
  <si>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</si>
  <si>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</si>
  <si>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</si>
  <si>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</si>
  <si>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</si>
  <si>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</si>
  <si>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</si>
  <si>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</si>
  <si>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</si>
  <si>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</si>
  <si>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</si>
  <si>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</si>
  <si>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</si>
  <si>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</si>
  <si>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</si>
  <si>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</si>
  <si>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</si>
  <si>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</si>
  <si>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</si>
  <si>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</si>
  <si>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</si>
  <si>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</si>
  <si>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</si>
  <si>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</si>
  <si>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</si>
  <si>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</si>
  <si>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</si>
  <si>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</si>
  <si>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</si>
  <si>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</si>
  <si>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</si>
  <si>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</si>
  <si>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</si>
  <si>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</si>
  <si>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</si>
  <si>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</si>
  <si>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</si>
  <si>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</si>
  <si>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</si>
  <si>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</si>
  <si>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</si>
  <si>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</si>
  <si>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</si>
  <si>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</si>
  <si>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</si>
  <si>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</si>
  <si>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</si>
  <si>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</si>
  <si>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</si>
  <si>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</si>
  <si>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</si>
  <si>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</si>
  <si>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</si>
  <si>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</si>
  <si>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</si>
  <si>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</si>
  <si>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</si>
  <si>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</si>
  <si>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</si>
  <si>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</si>
  <si>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</si>
  <si>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</si>
  <si>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</si>
  <si>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</si>
  <si>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</si>
  <si>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</si>
  <si>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</si>
  <si>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</si>
  <si>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</si>
  <si>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</si>
  <si>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</si>
  <si>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</si>
  <si>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</si>
  <si>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</si>
  <si>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</si>
  <si>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</si>
  <si>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</si>
  <si>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</si>
  <si>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</si>
  <si>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</si>
  <si>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</si>
  <si>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</si>
  <si>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</si>
  <si>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</si>
  <si>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</si>
  <si>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</si>
  <si>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ПП2020РД-1.2-61.17-АР, изм.3, л.22</t>
  </si>
  <si>
    <t>АИР 1.2-61.17-АР/23.1</t>
  </si>
  <si>
    <t>Кронштейн КР2-70-200 - 344 шт;</t>
  </si>
  <si>
    <t xml:space="preserve">Кронштейн КР2-70-200; </t>
  </si>
  <si>
    <t>Профиль ГП-60-40-1,2-3000.</t>
  </si>
  <si>
    <t xml:space="preserve">паспорт качества № 2748 от 14.11.2023, паспорт качества </t>
  </si>
  <si>
    <t>Профиль ГП-60-40-1,2-3000 - 53,32 м.п.</t>
  </si>
  <si>
    <t xml:space="preserve">                                                      (номер проекта, чертежа, дата)</t>
  </si>
  <si>
    <t>№ 3526 от 09.10.2023, сертификат соответствия №РОСС.RU.04CCH0.05596 с 16.10.2023 г. по 15.10.2026 г.</t>
  </si>
  <si>
    <t>ТУ 5284-001-01242774-2015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</si>
</sst>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3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9" fillId="2" borderId="0" xfId="1" applyFont="1" applyFill="1" applyAlignment="1">
      <alignment horizontal="left"/>
    </xf>
    <xf numFmtId="0" fontId="2" fillId="0" borderId="0" xfId="1" applyFont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7" fillId="5" borderId="3" xfId="1" applyNumberFormat="1" applyFont="1" applyFill="1" applyBorder="1" applyAlignment="1">
      <alignment horizontal="left" wrapText="1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14" fontId="7" fillId="3" borderId="1" xfId="1" applyNumberFormat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wrapText="1"/>
    </xf>
    <xf numFmtId="0" fontId="11" fillId="4" borderId="1" xfId="1" applyFont="1" applyFill="1" applyBorder="1"/>
    <xf numFmtId="0" fontId="13" fillId="2" borderId="0" xfId="1" applyFont="1" applyFill="1" applyAlignment="1">
      <alignment horizontal="center" vertical="top"/>
    </xf>
    <xf numFmtId="0" fontId="13" fillId="2" borderId="2" xfId="1" applyFont="1" applyFill="1" applyBorder="1" applyAlignment="1">
      <alignment horizontal="center" vertical="top"/>
    </xf>
    <xf numFmtId="0" fontId="1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2" fillId="2" borderId="2" xfId="1" applyFont="1" applyFill="1" applyBorder="1" applyAlignment="1">
      <alignment horizontal="center" vertical="top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14" fontId="7" fillId="4" borderId="1" xfId="1" applyNumberFormat="1" applyFont="1" applyFill="1" applyBorder="1" applyAlignment="1">
      <alignment horizontal="center"/>
    </xf>
    <xf numFmtId="14" fontId="7" fillId="4" borderId="3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left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center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14" fontId="11" fillId="4" borderId="1" xfId="1" applyNumberFormat="1" applyFont="1" applyFill="1" applyBorder="1" applyAlignment="1">
      <alignment horizontal="left" wrapText="1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11" fillId="3" borderId="1" xfId="1" applyNumberFormat="1" applyFont="1" applyFill="1" applyBorder="1" applyAlignment="1">
      <alignment horizontal="left" vertical="top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0" fontId="11" fillId="0" borderId="1" xfId="1" applyFont="1" applyFill="1" applyBorder="1" applyAlignment="1">
      <alignment horizontal="left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25</xdr:row>
      <xdr:rowOff>114300</xdr:rowOff>
    </xdr:from>
    <xdr:to>
      <xdr:col>85</xdr:col>
      <xdr:colOff>114300</xdr:colOff>
      <xdr:row>27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30</xdr:row>
      <xdr:rowOff>114300</xdr:rowOff>
    </xdr:from>
    <xdr:to>
      <xdr:col>85</xdr:col>
      <xdr:colOff>123825</xdr:colOff>
      <xdr:row>34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39</xdr:row>
      <xdr:rowOff>171450</xdr:rowOff>
    </xdr:from>
    <xdr:to>
      <xdr:col>85</xdr:col>
      <xdr:colOff>123825</xdr:colOff>
      <xdr:row>44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12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20</xdr:row>
      <xdr:rowOff>152400</xdr:rowOff>
    </xdr:from>
    <xdr:to>
      <xdr:col>85</xdr:col>
      <xdr:colOff>114300</xdr:colOff>
      <xdr:row>22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56</xdr:row>
      <xdr:rowOff>323850</xdr:rowOff>
    </xdr:from>
    <xdr:to>
      <xdr:col>85</xdr:col>
      <xdr:colOff>104775</xdr:colOff>
      <xdr:row>58</xdr:row>
      <xdr:rowOff>0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16</xdr:row>
      <xdr:rowOff>133350</xdr:rowOff>
    </xdr:from>
    <xdr:to>
      <xdr:col>86</xdr:col>
      <xdr:colOff>23285</xdr:colOff>
      <xdr:row>18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19</xdr:row>
      <xdr:rowOff>137583</xdr:rowOff>
    </xdr:from>
    <xdr:to>
      <xdr:col>85</xdr:col>
      <xdr:colOff>143934</xdr:colOff>
      <xdr:row>19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14</xdr:row>
      <xdr:rowOff>105834</xdr:rowOff>
    </xdr:from>
    <xdr:to>
      <xdr:col>85</xdr:col>
      <xdr:colOff>175685</xdr:colOff>
      <xdr:row>16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</sheetPr>
  <dimension ref="A1:WYW244"/>
  <sheetViews>
    <sheetView tabSelected="1" view="pageBreakPreview" zoomScale="88" zoomScaleNormal="100" zoomScaleSheetLayoutView="100" workbookViewId="0">
      <selection activeCell="N59" sqref="N59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0.77734375" style="3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54" t="s">
        <v>4</v>
      </c>
      <c r="B3" s="54"/>
      <c r="C3" s="54"/>
      <c r="D3" s="54"/>
      <c r="E3" s="54"/>
      <c r="F3" s="69" t="s">
        <v>5</v>
      </c>
      <c r="G3" s="69"/>
      <c r="H3" s="69"/>
      <c r="I3" s="70" t="s">
        <v>6</v>
      </c>
      <c r="J3" s="70"/>
      <c r="K3" s="70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54"/>
      <c r="B6" s="54"/>
      <c r="C6" s="54"/>
      <c r="D6" s="54"/>
      <c r="E6" s="54"/>
      <c r="F6" s="69"/>
      <c r="G6" s="69"/>
      <c r="H6" s="69"/>
      <c r="I6" s="70"/>
      <c r="J6" s="70"/>
      <c r="K6" s="70"/>
      <c r="AE6" s="3"/>
      <c r="AF6" s="3"/>
      <c r="AG6" s="3"/>
      <c r="AH6" s="3"/>
      <c r="AI6" s="3"/>
      <c r="AJ6" s="72" t="s">
        <v>84</v>
      </c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CM6" s="6"/>
      <c r="CN6" s="6"/>
      <c r="CO6" s="6"/>
      <c r="CP6" s="6"/>
      <c r="CQ6" s="6"/>
      <c r="CR6" s="6"/>
    </row>
    <row r="7" spans="1:96" x14ac:dyDescent="0.25">
      <c r="G7" s="73"/>
      <c r="H7" s="73"/>
      <c r="I7" s="70"/>
      <c r="J7" s="70"/>
      <c r="K7" s="70"/>
      <c r="L7" s="70"/>
      <c r="M7" s="70"/>
      <c r="N7" s="70"/>
      <c r="O7" s="70"/>
      <c r="AD7" s="3"/>
      <c r="AE7" s="3"/>
      <c r="AF7" s="3"/>
      <c r="AG7" s="3"/>
      <c r="AH7" s="3"/>
      <c r="AI7" s="3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4" t="s">
        <v>108</v>
      </c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BT9" s="1"/>
    </row>
    <row r="10" spans="1:96" ht="15" customHeight="1" x14ac:dyDescent="0.25">
      <c r="A10" s="71" t="s">
        <v>50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</row>
    <row r="11" spans="1:96" ht="15" customHeight="1" x14ac:dyDescent="0.25">
      <c r="A11" s="56" t="s">
        <v>110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</row>
    <row r="12" spans="1:96" ht="15" customHeight="1" x14ac:dyDescent="0.25">
      <c r="A12" s="57" t="s">
        <v>111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</row>
    <row r="13" spans="1:96" x14ac:dyDescent="0.25">
      <c r="A13" s="65" t="s">
        <v>51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3" t="str">
        <f>A13</f>
        <v>на соответствие техдокументации</v>
      </c>
    </row>
    <row r="14" spans="1:96" x14ac:dyDescent="0.25">
      <c r="AA14" s="8" t="s">
        <v>9</v>
      </c>
      <c r="AE14" s="68">
        <v>45259</v>
      </c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9"/>
      <c r="AV14" s="9"/>
      <c r="AW14" s="9"/>
      <c r="AX14" s="9"/>
      <c r="AY14" s="9"/>
    </row>
    <row r="15" spans="1:96" x14ac:dyDescent="0.25">
      <c r="A15" s="1" t="s">
        <v>10</v>
      </c>
      <c r="AE15" s="1" t="s">
        <v>11</v>
      </c>
    </row>
    <row r="16" spans="1:96" x14ac:dyDescent="0.25">
      <c r="A16" s="1" t="s">
        <v>12</v>
      </c>
      <c r="T16" s="64" t="s">
        <v>91</v>
      </c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10"/>
      <c r="BH16" s="10"/>
      <c r="BI16" s="10"/>
      <c r="BJ16" s="66" t="s">
        <v>90</v>
      </c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CJ16" s="1" t="s">
        <v>99</v>
      </c>
    </row>
    <row r="17" spans="1:102" ht="15" customHeight="1" x14ac:dyDescent="0.25">
      <c r="T17" s="48" t="s">
        <v>13</v>
      </c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22"/>
      <c r="BL17" s="22"/>
      <c r="BM17" s="22"/>
      <c r="BN17" s="22"/>
      <c r="BO17" s="22"/>
      <c r="BP17" s="22"/>
      <c r="BQ17" s="22"/>
      <c r="BR17" s="22"/>
      <c r="BS17" s="22"/>
      <c r="BT17" s="22"/>
    </row>
    <row r="18" spans="1:102" x14ac:dyDescent="0.25">
      <c r="A18" s="1" t="s">
        <v>14</v>
      </c>
      <c r="T18" s="64" t="s">
        <v>104</v>
      </c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6" t="s">
        <v>105</v>
      </c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CG18" s="13"/>
      <c r="CJ18" s="1" t="s">
        <v>98</v>
      </c>
    </row>
    <row r="19" spans="1:102" x14ac:dyDescent="0.25">
      <c r="T19" s="48" t="s">
        <v>13</v>
      </c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23"/>
      <c r="BL19" s="23"/>
      <c r="BM19" s="23"/>
      <c r="BN19" s="23"/>
      <c r="BO19" s="23"/>
      <c r="BP19" s="23"/>
      <c r="BQ19" s="23"/>
      <c r="BR19" s="23"/>
      <c r="BS19" s="23"/>
      <c r="BT19" s="23"/>
    </row>
    <row r="20" spans="1:102" ht="41.25" customHeight="1" x14ac:dyDescent="0.25">
      <c r="A20" s="1" t="s">
        <v>15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7" t="s">
        <v>100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6" t="s">
        <v>101</v>
      </c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CI20" s="1" t="s">
        <v>102</v>
      </c>
    </row>
    <row r="21" spans="1:102" x14ac:dyDescent="0.25">
      <c r="J21" s="7"/>
      <c r="K21" s="7"/>
      <c r="L21" s="7"/>
      <c r="M21" s="7"/>
      <c r="N21" s="7"/>
      <c r="O21" s="7"/>
      <c r="P21" s="7"/>
      <c r="Q21" s="7"/>
      <c r="R21" s="7"/>
      <c r="S21" s="7"/>
      <c r="T21" s="48" t="s">
        <v>13</v>
      </c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 spans="1:102" ht="15" customHeight="1" x14ac:dyDescent="0.25">
      <c r="A22" s="1" t="s">
        <v>16</v>
      </c>
      <c r="N22" s="24"/>
      <c r="O22" s="51" t="s">
        <v>106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1" t="s">
        <v>17</v>
      </c>
      <c r="BR22" s="8"/>
      <c r="BS22" s="8"/>
      <c r="BT22" s="8"/>
      <c r="BV22" s="3">
        <f>AD22</f>
        <v>0</v>
      </c>
      <c r="CI22" s="87" t="s">
        <v>95</v>
      </c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</row>
    <row r="23" spans="1:102" x14ac:dyDescent="0.25">
      <c r="E23" s="75" t="s">
        <v>54</v>
      </c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</row>
    <row r="24" spans="1:102" x14ac:dyDescent="0.25">
      <c r="D24" s="41" t="s">
        <v>109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</row>
    <row r="25" spans="1:102" x14ac:dyDescent="0.25">
      <c r="D25" s="41" t="s">
        <v>113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</row>
    <row r="26" spans="1:102" s="2" customFormat="1" ht="12" customHeight="1" x14ac:dyDescent="0.25">
      <c r="A26" s="84" t="s">
        <v>55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</row>
    <row r="27" spans="1:102" ht="13.8" x14ac:dyDescent="0.3">
      <c r="A27" s="7" t="s">
        <v>18</v>
      </c>
      <c r="R27" s="19"/>
      <c r="S27" s="85" t="s">
        <v>107</v>
      </c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W27" s="3" t="str">
        <f>S27</f>
        <v>ПП2020РД-1.2-61.17-АР, изм.3, л.22</v>
      </c>
      <c r="CI27" s="87" t="s">
        <v>92</v>
      </c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</row>
    <row r="28" spans="1:102" s="2" customFormat="1" ht="15" customHeight="1" x14ac:dyDescent="0.25">
      <c r="P28" s="49" t="s">
        <v>114</v>
      </c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2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87"/>
      <c r="CV28" s="87"/>
      <c r="CW28" s="87"/>
      <c r="CX28" s="87"/>
    </row>
    <row r="29" spans="1:102" x14ac:dyDescent="0.25">
      <c r="A29" s="7" t="s">
        <v>19</v>
      </c>
      <c r="R29" s="86" t="s">
        <v>62</v>
      </c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X29" s="3" t="str">
        <f>R29</f>
        <v>Этап I.II. Служебное здание АС</v>
      </c>
    </row>
    <row r="30" spans="1:102" ht="12.75" customHeight="1" x14ac:dyDescent="0.25">
      <c r="A30" s="47" t="s">
        <v>20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</row>
    <row r="31" spans="1:102" ht="12.75" customHeight="1" x14ac:dyDescent="0.25">
      <c r="D31" s="1" t="s">
        <v>21</v>
      </c>
      <c r="AF31" s="2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CI31" s="1" t="s">
        <v>96</v>
      </c>
    </row>
    <row r="32" spans="1:102" s="2" customFormat="1" hidden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11">
        <f>A32</f>
        <v>0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</row>
    <row r="33" spans="1:103" s="2" customFormat="1" hidden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11">
        <f>A33</f>
        <v>0</v>
      </c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2"/>
    </row>
    <row r="34" spans="1:103" ht="12.75" customHeight="1" x14ac:dyDescent="0.3">
      <c r="A34" s="1" t="s">
        <v>22</v>
      </c>
      <c r="AH34" s="81" t="s">
        <v>112</v>
      </c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31"/>
      <c r="BV34" s="31"/>
      <c r="BZ34" s="3" t="str">
        <f>AH34</f>
        <v xml:space="preserve">паспорт качества № 2748 от 14.11.2023, паспорт качества </v>
      </c>
      <c r="CI34" s="87" t="s">
        <v>93</v>
      </c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</row>
    <row r="35" spans="1:103" ht="13.8" x14ac:dyDescent="0.3">
      <c r="A35" s="46" t="s">
        <v>115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</row>
    <row r="36" spans="1:103" ht="15" customHeight="1" x14ac:dyDescent="0.25">
      <c r="A36" s="48" t="s">
        <v>23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</row>
    <row r="37" spans="1:103" ht="12.75" customHeight="1" x14ac:dyDescent="0.25">
      <c r="A37" s="82" t="s">
        <v>78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</row>
    <row r="38" spans="1:103" s="2" customFormat="1" x14ac:dyDescent="0.25">
      <c r="A38" s="80" t="s">
        <v>79</v>
      </c>
      <c r="B38" s="80"/>
      <c r="C38" s="80"/>
      <c r="D38" s="44" t="str">
        <f>D24</f>
        <v>Кронштейн КР2-70-200 - 344 шт;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</row>
    <row r="39" spans="1:103" s="2" customFormat="1" x14ac:dyDescent="0.25">
      <c r="A39" s="38"/>
      <c r="B39" s="38"/>
      <c r="C39" s="38"/>
      <c r="D39" s="44" t="str">
        <f>D25</f>
        <v>Профиль ГП-60-40-1,2-3000 - 53,32 м.п.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</row>
    <row r="40" spans="1:103" ht="17.25" customHeight="1" x14ac:dyDescent="0.25">
      <c r="D40" s="13"/>
      <c r="E40" s="13"/>
      <c r="F40" s="13"/>
      <c r="G40" s="13"/>
      <c r="H40" s="13"/>
      <c r="I40" s="77" t="s">
        <v>24</v>
      </c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</row>
    <row r="41" spans="1:103" s="2" customFormat="1" ht="13.2" hidden="1" customHeight="1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11"/>
      <c r="BV41" s="11"/>
      <c r="BW41" s="11"/>
      <c r="BX41" s="11"/>
      <c r="BY41" s="11">
        <f>A41</f>
        <v>0</v>
      </c>
      <c r="BZ41" s="11"/>
      <c r="CA41" s="11"/>
      <c r="CB41" s="11"/>
      <c r="CC41" s="11"/>
      <c r="CD41" s="11"/>
      <c r="CE41" s="11"/>
      <c r="CF41" s="11"/>
      <c r="CG41" s="12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</row>
    <row r="42" spans="1:103" s="2" customFormat="1" ht="13.2" hidden="1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</row>
    <row r="43" spans="1:103" s="2" customFormat="1" ht="13.2" hidden="1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</row>
    <row r="44" spans="1:103" x14ac:dyDescent="0.25">
      <c r="A44" s="1" t="s">
        <v>25</v>
      </c>
      <c r="X44" s="14"/>
      <c r="Y44" s="78" t="s">
        <v>49</v>
      </c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CB44" s="3" t="str">
        <f>Y44</f>
        <v>-</v>
      </c>
      <c r="CI44" s="87" t="s">
        <v>94</v>
      </c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</row>
    <row r="45" spans="1:10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5"/>
      <c r="Y45" s="47" t="s">
        <v>26</v>
      </c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</row>
    <row r="46" spans="1:103" ht="15" customHeight="1" x14ac:dyDescent="0.3">
      <c r="A46" s="1" t="s">
        <v>27</v>
      </c>
      <c r="AF46" s="76" t="s">
        <v>28</v>
      </c>
      <c r="AG46" s="76"/>
      <c r="AH46" s="76"/>
      <c r="AI46" s="76"/>
      <c r="AJ46" s="76"/>
      <c r="AK46" s="76"/>
      <c r="AL46" s="76"/>
      <c r="AM46" s="76"/>
      <c r="AN46" s="76"/>
      <c r="AO46" s="76"/>
      <c r="AQ46" s="1" t="s">
        <v>29</v>
      </c>
      <c r="AV46" s="90" t="s">
        <v>30</v>
      </c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</row>
    <row r="47" spans="1:103" ht="13.8" x14ac:dyDescent="0.25">
      <c r="A47" s="7" t="s">
        <v>31</v>
      </c>
      <c r="M47" s="91" t="str">
        <f>S27</f>
        <v>ПП2020РД-1.2-61.17-АР, изм.3, л.22</v>
      </c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CC47" s="3" t="str">
        <f>M47</f>
        <v>ПП2020РД-1.2-61.17-АР, изм.3, л.22</v>
      </c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</row>
    <row r="48" spans="1:103" ht="13.5" customHeight="1" x14ac:dyDescent="0.25">
      <c r="D48" s="7" t="s">
        <v>32</v>
      </c>
      <c r="W48" s="32"/>
      <c r="X48" s="89" t="str">
        <f>AH34</f>
        <v xml:space="preserve">паспорт качества № 2748 от 14.11.2023, паспорт качества </v>
      </c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CD48" s="3">
        <f>W48</f>
        <v>0</v>
      </c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</row>
    <row r="49" spans="1:16221" ht="13.8" customHeight="1" x14ac:dyDescent="0.3">
      <c r="A49" s="45" t="str">
        <f>A35</f>
        <v>№ 3526 от 09.10.2023, сертификат соответствия №РОСС.RU.04CCH0.05596 с 16.10.2023 г. по 15.10.2026 г.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</row>
    <row r="50" spans="1:16221" ht="10.199999999999999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49" t="s">
        <v>33</v>
      </c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</row>
    <row r="51" spans="1:16221" s="2" customFormat="1" ht="12.75" hidden="1" customHeight="1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11"/>
      <c r="BV51" s="11"/>
      <c r="BW51" s="11"/>
      <c r="BX51" s="11"/>
      <c r="BY51" s="11">
        <f>A51</f>
        <v>0</v>
      </c>
      <c r="BZ51" s="11"/>
      <c r="CA51" s="11"/>
      <c r="CB51" s="11"/>
      <c r="CC51" s="11"/>
      <c r="CD51" s="11"/>
      <c r="CE51" s="11"/>
      <c r="CF51" s="11"/>
      <c r="CG51" s="12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</row>
    <row r="52" spans="1:16221" s="2" customFormat="1" ht="12.75" hidden="1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11">
        <f>A52</f>
        <v>0</v>
      </c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</row>
    <row r="53" spans="1:16221" s="2" customFormat="1" ht="13.2" hidden="1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11">
        <f>A53</f>
        <v>0</v>
      </c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</row>
    <row r="54" spans="1:16221" s="4" customFormat="1" x14ac:dyDescent="0.25">
      <c r="A54" s="1" t="s">
        <v>34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11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H54" s="1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</row>
    <row r="55" spans="1:16221" s="4" customFormat="1" ht="15" customHeight="1" x14ac:dyDescent="0.3">
      <c r="B55" s="1"/>
      <c r="C55" s="1"/>
      <c r="D55" s="1" t="s">
        <v>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3"/>
      <c r="X55" s="33"/>
      <c r="Y55" s="33"/>
      <c r="Z55" s="33"/>
      <c r="AA55" s="59" t="s">
        <v>36</v>
      </c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H55" s="1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63" t="s">
        <v>37</v>
      </c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13.8" x14ac:dyDescent="0.25">
      <c r="A57" s="7" t="s">
        <v>38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/>
      <c r="V57" s="20"/>
      <c r="W57" s="60" t="str">
        <f>S27</f>
        <v>ПП2020РД-1.2-61.17-АР, изм.3, л.22</v>
      </c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>
        <f>V57</f>
        <v>0</v>
      </c>
      <c r="CF57" s="3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3.2" customHeight="1" x14ac:dyDescent="0.3">
      <c r="A58" s="1" t="s">
        <v>39</v>
      </c>
      <c r="B58" s="1"/>
      <c r="C58" s="1"/>
      <c r="D58" s="1"/>
      <c r="E58" s="1"/>
      <c r="F58" s="1"/>
      <c r="G58" s="1"/>
      <c r="H58" s="1"/>
      <c r="I58" s="1"/>
      <c r="J58" s="1"/>
      <c r="K58" s="1"/>
      <c r="M58" s="34"/>
      <c r="N58" s="92" t="s">
        <v>116</v>
      </c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 t="str">
        <f>N58</f>
        <v>ТУ 5284-001-01242774-2015</v>
      </c>
      <c r="CH58" s="1"/>
      <c r="CI58" s="87" t="s">
        <v>97</v>
      </c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22.8" customHeight="1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6.5" customHeight="1" x14ac:dyDescent="0.25">
      <c r="A60" s="1" t="s">
        <v>40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x14ac:dyDescent="0.25">
      <c r="A61" s="1" t="s">
        <v>12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39" t="str">
        <f>BJ16</f>
        <v>Кострова Н.Л.</v>
      </c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1"/>
      <c r="AP61" s="1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1"/>
      <c r="BG61" s="1"/>
      <c r="BH61" s="42">
        <f>AE14</f>
        <v>45259</v>
      </c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3" t="s">
        <v>80</v>
      </c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1"/>
      <c r="AP62" s="1"/>
      <c r="AQ62" s="53" t="s">
        <v>41</v>
      </c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1"/>
      <c r="BG62" s="1"/>
      <c r="BH62" s="58" t="s">
        <v>42</v>
      </c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17"/>
      <c r="BU62" s="17"/>
      <c r="BV62" s="17"/>
      <c r="BW62" s="17"/>
      <c r="BX62" s="17"/>
      <c r="BY62" s="3"/>
      <c r="BZ62" s="3"/>
      <c r="CA62" s="3"/>
      <c r="CB62" s="3"/>
      <c r="CC62" s="3"/>
      <c r="CD62" s="3"/>
      <c r="CE62" s="3"/>
      <c r="CF62" s="3"/>
      <c r="CH62" s="1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 t="s">
        <v>43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 t="s">
        <v>44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39" t="str">
        <f>BJ18</f>
        <v>Халыгов Э. А.</v>
      </c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1"/>
      <c r="AP64" s="1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1"/>
      <c r="BG64" s="1"/>
      <c r="BH64" s="42">
        <f>BH61</f>
        <v>45259</v>
      </c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3" t="s">
        <v>80</v>
      </c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1"/>
      <c r="AP65" s="1"/>
      <c r="AQ65" s="53" t="s">
        <v>41</v>
      </c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1"/>
      <c r="BG65" s="1"/>
      <c r="BH65" s="58" t="s">
        <v>42</v>
      </c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40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45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1" t="str">
        <f>BJ20</f>
        <v>Тюкин Е.В.</v>
      </c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1"/>
      <c r="AP67" s="1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1"/>
      <c r="BG67" s="1"/>
      <c r="BH67" s="42">
        <f>BH61</f>
        <v>45259</v>
      </c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27.6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3" t="s">
        <v>80</v>
      </c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1"/>
      <c r="AP68" s="1"/>
      <c r="AQ68" s="53" t="s">
        <v>41</v>
      </c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1"/>
      <c r="BG68" s="1"/>
      <c r="BH68" s="53" t="s">
        <v>42</v>
      </c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ht="18" customHeight="1" x14ac:dyDescent="0.25">
      <c r="A69" s="52" t="s">
        <v>103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</row>
    <row r="70" spans="1:16221" ht="12.75" customHeight="1" x14ac:dyDescent="0.25">
      <c r="AL70" s="8"/>
      <c r="AM70" s="8"/>
      <c r="AN70" s="8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H70" s="55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</row>
    <row r="71" spans="1:1622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</row>
    <row r="72" spans="1:1622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6" spans="1:1622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162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16221" x14ac:dyDescent="0.25"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244" spans="7:16" ht="409.6" x14ac:dyDescent="0.25">
      <c r="G244" s="1" t="s">
        <v>46</v>
      </c>
      <c r="N244" s="18" t="s">
        <v>47</v>
      </c>
      <c r="P244" s="1" t="s">
        <v>48</v>
      </c>
    </row>
  </sheetData>
  <dataConsolidate/>
  <mergeCells count="90">
    <mergeCell ref="A33:BT33"/>
    <mergeCell ref="X48:BT48"/>
    <mergeCell ref="AV46:CE46"/>
    <mergeCell ref="M47:BT47"/>
    <mergeCell ref="CI22:CW26"/>
    <mergeCell ref="CI58:CW62"/>
    <mergeCell ref="CI44:CW47"/>
    <mergeCell ref="CI27:CX28"/>
    <mergeCell ref="CI48:CY55"/>
    <mergeCell ref="CI34:CY42"/>
    <mergeCell ref="E23:BT23"/>
    <mergeCell ref="T19:BJ19"/>
    <mergeCell ref="T21:BJ21"/>
    <mergeCell ref="AF46:AO46"/>
    <mergeCell ref="Y45:BT45"/>
    <mergeCell ref="I40:BT40"/>
    <mergeCell ref="A41:BT41"/>
    <mergeCell ref="A42:BT42"/>
    <mergeCell ref="A43:BT43"/>
    <mergeCell ref="Y44:BT44"/>
    <mergeCell ref="A38:C38"/>
    <mergeCell ref="AH34:BT34"/>
    <mergeCell ref="A37:BT37"/>
    <mergeCell ref="A26:BT26"/>
    <mergeCell ref="S27:BT27"/>
    <mergeCell ref="R29:BT29"/>
    <mergeCell ref="A3:E3"/>
    <mergeCell ref="F3:H3"/>
    <mergeCell ref="I3:K3"/>
    <mergeCell ref="A10:BT10"/>
    <mergeCell ref="AJ6:BT7"/>
    <mergeCell ref="A6:E6"/>
    <mergeCell ref="F6:H6"/>
    <mergeCell ref="I6:K6"/>
    <mergeCell ref="G7:H7"/>
    <mergeCell ref="I7:O7"/>
    <mergeCell ref="AE9:AT9"/>
    <mergeCell ref="T18:BI18"/>
    <mergeCell ref="O22:BP22"/>
    <mergeCell ref="T17:BJ17"/>
    <mergeCell ref="A13:BT13"/>
    <mergeCell ref="BJ18:BT18"/>
    <mergeCell ref="T20:BI20"/>
    <mergeCell ref="BJ20:BT20"/>
    <mergeCell ref="AE14:AT14"/>
    <mergeCell ref="T16:BF16"/>
    <mergeCell ref="BJ16:BT16"/>
    <mergeCell ref="A11:BT11"/>
    <mergeCell ref="A12:BT12"/>
    <mergeCell ref="BH61:BS61"/>
    <mergeCell ref="X65:AN65"/>
    <mergeCell ref="AQ65:BE65"/>
    <mergeCell ref="BH65:BS65"/>
    <mergeCell ref="AA55:BT55"/>
    <mergeCell ref="V50:BT50"/>
    <mergeCell ref="W57:BT57"/>
    <mergeCell ref="A51:BT51"/>
    <mergeCell ref="A52:BT52"/>
    <mergeCell ref="A53:BT53"/>
    <mergeCell ref="J56:BT56"/>
    <mergeCell ref="X62:AN62"/>
    <mergeCell ref="AQ62:BE62"/>
    <mergeCell ref="BH62:BS62"/>
    <mergeCell ref="AQ71:BE71"/>
    <mergeCell ref="BH71:BS71"/>
    <mergeCell ref="X67:AN67"/>
    <mergeCell ref="AQ67:BE67"/>
    <mergeCell ref="BH67:BS67"/>
    <mergeCell ref="A69:AK69"/>
    <mergeCell ref="X68:AN68"/>
    <mergeCell ref="AQ68:BE68"/>
    <mergeCell ref="BH68:BS68"/>
    <mergeCell ref="AQ70:BE70"/>
    <mergeCell ref="BH70:BS70"/>
    <mergeCell ref="X61:AN61"/>
    <mergeCell ref="AQ61:BE61"/>
    <mergeCell ref="X64:AN64"/>
    <mergeCell ref="D24:BT24"/>
    <mergeCell ref="D25:BT25"/>
    <mergeCell ref="AQ64:BE64"/>
    <mergeCell ref="BH64:BS64"/>
    <mergeCell ref="N58:BT58"/>
    <mergeCell ref="D38:BT38"/>
    <mergeCell ref="D39:BT39"/>
    <mergeCell ref="A49:BT49"/>
    <mergeCell ref="A35:BT35"/>
    <mergeCell ref="A30:BT30"/>
    <mergeCell ref="A36:BT36"/>
    <mergeCell ref="P28:BT28"/>
    <mergeCell ref="A32:BT32"/>
  </mergeCells>
  <dataValidations count="10">
    <dataValidation type="list" allowBlank="1" showInputMessage="1" showErrorMessage="1" sqref="T16:BF16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20:BT20" xr:uid="{00000000-0002-0000-0100-000001000000}">
      <formula1>"Андреев А.А.,Тюкин Е.В."</formula1>
    </dataValidation>
    <dataValidation type="list" allowBlank="1" showInputMessage="1" showErrorMessage="1" sqref="T20:BI20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6:BT16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2" xr:uid="{00000000-0002-0000-0100-000006000000}">
      <formula1>"выборочный,сплошной"</formula1>
    </dataValidation>
    <dataValidation type="list" errorStyle="information" allowBlank="1" showInputMessage="1" sqref="O22:BP22" xr:uid="{00000000-0002-0000-0100-000007000000}">
      <formula1>"выборочный,сплошной"</formula1>
    </dataValidation>
    <dataValidation type="list" allowBlank="1" showInputMessage="1" showErrorMessage="1" sqref="T18:BI18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8:BT18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1" manualBreakCount="1">
    <brk id="69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R29:BT29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S27:BT27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2025-05-23T14:55:54Z</cp:lastPrinted>
  <dcterms:created xsi:type="dcterms:W3CDTF">2023-09-19T09:44:50Z</dcterms:created>
  <dcterms:modified xsi:type="dcterms:W3CDTF">2025-05-23T15:24:02Z</dcterms:modified>
</cp:coreProperties>
</file>