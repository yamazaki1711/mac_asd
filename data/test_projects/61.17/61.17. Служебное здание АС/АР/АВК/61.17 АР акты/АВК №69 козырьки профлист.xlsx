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0"/>
  <workbookPr/>
  <mc:AlternateContent xmlns:mc="http://schemas.openxmlformats.org/markup-compatibility/2006">
    <mc:Choice Requires="x15">
      <x15ac:absPath xmlns:x15ac="http://schemas.microsoft.com/office/spreadsheetml/2010/11/ac" url="C:\Users\ACER\Desktop\Новая папка\АР\61.17\козырьки\"/>
    </mc:Choice>
  </mc:AlternateContent>
  <xr:revisionPtr revIDLastSave="0" documentId="13_ncr:1_{44B069F5-DA2D-4D73-8C00-280B5C0FD78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перекрытие'!$A$1:$CC$70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  <c r="M46" i="1" l="1"/>
  <c r="CC46" i="1" s="1"/>
  <c r="D38" i="1"/>
  <c r="X68" i="1"/>
  <c r="X62" i="1"/>
  <c r="A50" i="1"/>
  <c r="A49" i="1"/>
  <c r="X47" i="1"/>
  <c r="W58" i="1"/>
  <c r="BH62" i="1"/>
  <c r="BH68" i="1" s="1"/>
  <c r="X65" i="1"/>
  <c r="CF59" i="1"/>
  <c r="CE58" i="1"/>
  <c r="BU54" i="1"/>
  <c r="BU53" i="1"/>
  <c r="BY52" i="1"/>
  <c r="CD47" i="1"/>
  <c r="CB43" i="1"/>
  <c r="BU42" i="1"/>
  <c r="BU41" i="1"/>
  <c r="BY40" i="1"/>
  <c r="BZ32" i="1"/>
  <c r="BU31" i="1"/>
  <c r="BU30" i="1"/>
  <c r="BX27" i="1"/>
  <c r="BW25" i="1"/>
  <c r="BV21" i="1"/>
  <c r="BU12" i="1"/>
  <c r="BU11" i="1"/>
  <c r="BH65" i="1" l="1"/>
</calcChain>
</file>

<file path=xl/sharedStrings.xml><?xml version="1.0" encoding="utf-8"?>
<sst xmlns="http://schemas.openxmlformats.org/spreadsheetml/2006/main" count="127" uniqueCount="116">
  <si>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</si>
  <si>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</si>
  <si>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</si>
  <si>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</si>
  <si>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</si>
  <si>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</si>
  <si>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</si>
  <si>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</si>
  <si>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</si>
  <si>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</si>
  <si>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</si>
  <si>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</si>
  <si>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</si>
  <si>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</si>
  <si>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</si>
  <si>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</si>
  <si>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</si>
  <si>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</si>
  <si>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</si>
  <si>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</si>
  <si>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</si>
  <si>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</si>
  <si>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</si>
  <si>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</si>
  <si>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</si>
  <si>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</si>
  <si>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</si>
  <si>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</si>
  <si>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</si>
  <si>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</si>
  <si>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</si>
  <si>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</si>
  <si>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</si>
  <si>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</si>
  <si>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</si>
  <si>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</si>
  <si>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</si>
  <si>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</si>
  <si>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</si>
  <si>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</si>
  <si>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</si>
  <si>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</si>
  <si>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</si>
  <si>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</si>
  <si>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</si>
  <si>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</si>
  <si>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</si>
  <si>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</si>
  <si>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</si>
  <si>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</si>
  <si>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</si>
  <si>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</si>
  <si>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</si>
  <si>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</si>
  <si>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</si>
  <si>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</si>
  <si>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</si>
  <si>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</si>
  <si>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</si>
  <si>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</si>
  <si>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</si>
  <si>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</si>
  <si>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</si>
  <si>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</si>
  <si>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</si>
  <si>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</si>
  <si>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</si>
  <si>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</si>
  <si>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</si>
  <si>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</si>
  <si>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</si>
  <si>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</si>
  <si>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</si>
  <si>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</si>
  <si>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</si>
  <si>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</si>
  <si>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</si>
  <si>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</si>
  <si>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</si>
  <si>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</si>
  <si>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</si>
  <si>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</si>
  <si>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</si>
  <si>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</si>
  <si>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</si>
  <si>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</si>
  <si>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</si>
  <si>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</si>
  <si>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</si>
  <si>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</si>
  <si>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</si>
  <si>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</si>
  <si>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</si>
  <si>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</si>
  <si>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</si>
  <si>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</si>
  <si>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</si>
  <si>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</si>
  <si>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</si>
  <si>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</si>
  <si>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</si>
  <si>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</si>
  <si>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</si>
  <si>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</si>
  <si>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</si>
  <si>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</si>
  <si>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</si>
  <si>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</si>
  <si>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</si>
  <si>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Профлист НС35-1000-0,7 RAL 7074 L=1200мм</t>
  </si>
  <si>
    <t>ПП2020РД-1.2-61.17-АР, изм.3, л.14.1</t>
  </si>
  <si>
    <t>Профилированный лист НС35-1000-0,7 (Zn) RAL 7074- 15 лист (18 м.п.)</t>
  </si>
  <si>
    <t>АИР 1.2-61.17-АР/220</t>
  </si>
  <si>
    <t>Паспорт качества б/н от 13.10.2023 г., сертификат</t>
  </si>
  <si>
    <t>соответствия № РОСС RU.32001.04ИБФ1.ОСП17.08262 с 01.04.2021 г. по 31.03.2024 г.</t>
  </si>
  <si>
    <t>ТУ 24.33.1-01-13823803-2021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</si>
</sst>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13" fillId="2" borderId="2" xfId="1" applyFont="1" applyFill="1" applyBorder="1" applyAlignment="1">
      <alignment horizontal="center" vertical="top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left" vertical="top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top"/>
    </xf>
    <xf numFmtId="0" fontId="9" fillId="3" borderId="0" xfId="1" applyFont="1" applyFill="1" applyAlignment="1">
      <alignment horizontal="center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3" borderId="1" xfId="1" applyFont="1" applyFill="1" applyBorder="1" applyAlignment="1">
      <alignment horizontal="center"/>
    </xf>
    <xf numFmtId="14" fontId="7" fillId="5" borderId="1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13" fillId="2" borderId="0" xfId="1" applyFont="1" applyFill="1" applyAlignment="1">
      <alignment horizontal="center" vertical="center"/>
    </xf>
    <xf numFmtId="0" fontId="11" fillId="4" borderId="1" xfId="1" applyFont="1" applyFill="1" applyBorder="1" applyAlignment="1">
      <alignment horizontal="left" wrapText="1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top"/>
    </xf>
    <xf numFmtId="0" fontId="9" fillId="3" borderId="0" xfId="1" applyFont="1" applyFill="1" applyAlignment="1">
      <alignment horizontal="left" vertical="top" wrapText="1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3" borderId="1" xfId="1" applyFont="1" applyFill="1" applyBorder="1" applyAlignment="1">
      <alignment horizontal="left"/>
    </xf>
    <xf numFmtId="14" fontId="9" fillId="3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vertical="top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14" fontId="2" fillId="2" borderId="0" xfId="1" applyNumberFormat="1" applyFont="1" applyFill="1" applyAlignment="1">
      <alignment horizontal="center"/>
    </xf>
    <xf numFmtId="0" fontId="10" fillId="2" borderId="2" xfId="1" applyFont="1" applyFill="1" applyBorder="1" applyAlignment="1">
      <alignment horizontal="center" vertical="top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38</xdr:row>
      <xdr:rowOff>171450</xdr:rowOff>
    </xdr:from>
    <xdr:to>
      <xdr:col>85</xdr:col>
      <xdr:colOff>123825</xdr:colOff>
      <xdr:row>43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57</xdr:row>
      <xdr:rowOff>323850</xdr:rowOff>
    </xdr:from>
    <xdr:to>
      <xdr:col>85</xdr:col>
      <xdr:colOff>104775</xdr:colOff>
      <xdr:row>59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5"/>
  <sheetViews>
    <sheetView tabSelected="1" view="pageBreakPreview" zoomScale="87" zoomScaleNormal="100" zoomScaleSheetLayoutView="115" workbookViewId="0">
      <selection activeCell="N60" sqref="N60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64" t="s">
        <v>4</v>
      </c>
      <c r="B3" s="64"/>
      <c r="C3" s="64"/>
      <c r="D3" s="64"/>
      <c r="E3" s="64"/>
      <c r="F3" s="65" t="s">
        <v>5</v>
      </c>
      <c r="G3" s="65"/>
      <c r="H3" s="65"/>
      <c r="I3" s="66" t="s">
        <v>6</v>
      </c>
      <c r="J3" s="66"/>
      <c r="K3" s="66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64"/>
      <c r="B6" s="64"/>
      <c r="C6" s="64"/>
      <c r="D6" s="64"/>
      <c r="E6" s="64"/>
      <c r="F6" s="65"/>
      <c r="G6" s="65"/>
      <c r="H6" s="65"/>
      <c r="I6" s="66"/>
      <c r="J6" s="66"/>
      <c r="K6" s="66"/>
      <c r="AE6" s="3"/>
      <c r="AF6" s="3"/>
      <c r="AG6" s="3"/>
      <c r="AH6" s="3"/>
      <c r="AI6" s="3"/>
      <c r="AJ6" s="69" t="s">
        <v>85</v>
      </c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CM6" s="6"/>
      <c r="CN6" s="6"/>
      <c r="CO6" s="6"/>
      <c r="CP6" s="6"/>
      <c r="CQ6" s="6"/>
      <c r="CR6" s="6"/>
    </row>
    <row r="7" spans="1:96" x14ac:dyDescent="0.25">
      <c r="G7" s="70"/>
      <c r="H7" s="70"/>
      <c r="I7" s="66"/>
      <c r="J7" s="66"/>
      <c r="K7" s="66"/>
      <c r="L7" s="66"/>
      <c r="M7" s="66"/>
      <c r="N7" s="66"/>
      <c r="O7" s="66"/>
      <c r="AD7" s="3"/>
      <c r="AE7" s="3"/>
      <c r="AF7" s="3"/>
      <c r="AG7" s="3"/>
      <c r="AH7" s="3"/>
      <c r="AI7" s="3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1" t="s">
        <v>112</v>
      </c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BT9" s="1"/>
    </row>
    <row r="10" spans="1:96" ht="15" customHeight="1" x14ac:dyDescent="0.25">
      <c r="A10" s="67" t="s">
        <v>51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</row>
    <row r="11" spans="1:96" ht="13.2" customHeight="1" x14ac:dyDescent="0.25">
      <c r="A11" s="68" t="s">
        <v>109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3" t="str">
        <f>A11</f>
        <v>Профлист НС35-1000-0,7 RAL 7074 L=1200мм</v>
      </c>
      <c r="CI11" s="1" t="s">
        <v>99</v>
      </c>
    </row>
    <row r="12" spans="1:96" x14ac:dyDescent="0.25">
      <c r="A12" s="41" t="s">
        <v>52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44">
        <v>45274</v>
      </c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45" t="s">
        <v>92</v>
      </c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10"/>
      <c r="BH15" s="10"/>
      <c r="BI15" s="10"/>
      <c r="BJ15" s="42" t="s">
        <v>91</v>
      </c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CJ15" s="1" t="s">
        <v>101</v>
      </c>
    </row>
    <row r="16" spans="1:96" ht="15" customHeight="1" x14ac:dyDescent="0.25">
      <c r="T16" s="40" t="s">
        <v>13</v>
      </c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45" t="s">
        <v>106</v>
      </c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2" t="s">
        <v>107</v>
      </c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CG17" s="13"/>
      <c r="CJ17" s="1" t="s">
        <v>100</v>
      </c>
    </row>
    <row r="18" spans="1:103" x14ac:dyDescent="0.25">
      <c r="T18" s="40" t="s">
        <v>13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43" t="s">
        <v>102</v>
      </c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2" t="s">
        <v>103</v>
      </c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40" t="s">
        <v>13</v>
      </c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72" t="s">
        <v>108</v>
      </c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1" t="s">
        <v>17</v>
      </c>
      <c r="BR21" s="8"/>
      <c r="BS21" s="8"/>
      <c r="BT21" s="8"/>
      <c r="BV21" s="3">
        <f>AD21</f>
        <v>0</v>
      </c>
      <c r="CI21" s="62" t="s">
        <v>96</v>
      </c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</row>
    <row r="22" spans="1:103" x14ac:dyDescent="0.25">
      <c r="E22" s="77" t="s">
        <v>55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</row>
    <row r="23" spans="1:103" s="2" customFormat="1" ht="13.2" customHeight="1" x14ac:dyDescent="0.25">
      <c r="B23" s="33"/>
      <c r="C23" s="33"/>
      <c r="D23" s="73" t="s">
        <v>111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</row>
    <row r="24" spans="1:103" s="2" customFormat="1" ht="12" customHeight="1" x14ac:dyDescent="0.25">
      <c r="A24" s="75" t="s">
        <v>56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</row>
    <row r="25" spans="1:103" ht="13.8" x14ac:dyDescent="0.3">
      <c r="A25" s="7" t="s">
        <v>18</v>
      </c>
      <c r="R25" s="20"/>
      <c r="S25" s="76" t="s">
        <v>110</v>
      </c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W25" s="3" t="str">
        <f>S25</f>
        <v>ПП2020РД-1.2-61.17-АР, изм.3, л.14.1</v>
      </c>
      <c r="CI25" s="62" t="s">
        <v>93</v>
      </c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</row>
    <row r="26" spans="1:103" s="2" customFormat="1" ht="15" customHeight="1" x14ac:dyDescent="0.25">
      <c r="P26" s="46" t="s">
        <v>19</v>
      </c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</row>
    <row r="27" spans="1:103" x14ac:dyDescent="0.25">
      <c r="A27" s="7" t="s">
        <v>20</v>
      </c>
      <c r="R27" s="56" t="s">
        <v>63</v>
      </c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X27" s="3" t="str">
        <f>R27</f>
        <v>Этап I.II. Служебное здание АС</v>
      </c>
    </row>
    <row r="28" spans="1:103" ht="12.75" customHeight="1" x14ac:dyDescent="0.25">
      <c r="A28" s="58" t="s">
        <v>21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</row>
    <row r="29" spans="1:103" ht="12.75" customHeight="1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97</v>
      </c>
    </row>
    <row r="30" spans="1:103" s="2" customFormat="1" hidden="1" x14ac:dyDescent="0.2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74" t="s">
        <v>113</v>
      </c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34"/>
      <c r="BV32" s="34"/>
      <c r="BZ32" s="3" t="str">
        <f>AH32</f>
        <v>Паспорт качества б/н от 13.10.2023 г., сертификат</v>
      </c>
      <c r="CI32" s="62" t="s">
        <v>94</v>
      </c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</row>
    <row r="33" spans="1:103" ht="13.8" x14ac:dyDescent="0.3">
      <c r="A33" s="57" t="s">
        <v>114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</row>
    <row r="34" spans="1:103" ht="12.75" hidden="1" customHeight="1" x14ac:dyDescent="0.3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</row>
    <row r="35" spans="1:103" ht="12.75" hidden="1" customHeight="1" x14ac:dyDescent="0.2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</row>
    <row r="36" spans="1:103" ht="15" customHeight="1" x14ac:dyDescent="0.25">
      <c r="A36" s="40" t="s">
        <v>24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</row>
    <row r="37" spans="1:103" ht="12.75" customHeight="1" x14ac:dyDescent="0.25">
      <c r="A37" s="60" t="s">
        <v>79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</row>
    <row r="38" spans="1:103" s="2" customFormat="1" x14ac:dyDescent="0.25">
      <c r="A38" s="25" t="s">
        <v>80</v>
      </c>
      <c r="B38" s="32"/>
      <c r="C38" s="32"/>
      <c r="D38" s="55" t="str">
        <f>D23</f>
        <v>Профилированный лист НС35-1000-0,7 (Zn) RAL 7074- 15 лист (18 м.п.)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</row>
    <row r="39" spans="1:103" ht="17.25" customHeight="1" x14ac:dyDescent="0.25">
      <c r="D39" s="13"/>
      <c r="E39" s="13"/>
      <c r="F39" s="13"/>
      <c r="G39" s="13"/>
      <c r="H39" s="13"/>
      <c r="I39" s="50" t="s">
        <v>25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</row>
    <row r="40" spans="1:103" s="2" customFormat="1" hidden="1" x14ac:dyDescent="0.2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11"/>
      <c r="BV40" s="11"/>
      <c r="BW40" s="11"/>
      <c r="BX40" s="11"/>
      <c r="BY40" s="11">
        <f>A40</f>
        <v>0</v>
      </c>
      <c r="BZ40" s="11"/>
      <c r="CA40" s="11"/>
      <c r="CB40" s="11"/>
      <c r="CC40" s="11"/>
      <c r="CD40" s="11"/>
      <c r="CE40" s="11"/>
      <c r="CF40" s="11"/>
      <c r="CG40" s="1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</row>
    <row r="41" spans="1:103" s="2" customFormat="1" hidden="1" x14ac:dyDescent="0.2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11">
        <f>A41</f>
        <v>0</v>
      </c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</row>
    <row r="42" spans="1:103" s="2" customFormat="1" hidden="1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11">
        <f>A42</f>
        <v>0</v>
      </c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</row>
    <row r="43" spans="1:103" x14ac:dyDescent="0.25">
      <c r="A43" s="1" t="s">
        <v>26</v>
      </c>
      <c r="X43" s="14"/>
      <c r="Y43" s="53" t="s">
        <v>50</v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CB43" s="3" t="str">
        <f>Y43</f>
        <v>-</v>
      </c>
      <c r="CI43" s="62" t="s">
        <v>95</v>
      </c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</row>
    <row r="44" spans="1:103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5"/>
      <c r="Y44" s="58" t="s">
        <v>27</v>
      </c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</row>
    <row r="45" spans="1:103" ht="15" customHeight="1" x14ac:dyDescent="0.3">
      <c r="A45" s="1" t="s">
        <v>28</v>
      </c>
      <c r="AF45" s="59" t="s">
        <v>29</v>
      </c>
      <c r="AG45" s="59"/>
      <c r="AH45" s="59"/>
      <c r="AI45" s="59"/>
      <c r="AJ45" s="59"/>
      <c r="AK45" s="59"/>
      <c r="AL45" s="59"/>
      <c r="AM45" s="59"/>
      <c r="AN45" s="59"/>
      <c r="AO45" s="59"/>
      <c r="AQ45" s="1" t="s">
        <v>30</v>
      </c>
      <c r="AV45" s="49" t="s">
        <v>31</v>
      </c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</row>
    <row r="46" spans="1:103" ht="13.8" x14ac:dyDescent="0.25">
      <c r="A46" s="7" t="s">
        <v>32</v>
      </c>
      <c r="M46" s="83" t="str">
        <f>S25</f>
        <v>ПП2020РД-1.2-61.17-АР, изм.3, л.14.1</v>
      </c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CC46" s="3" t="str">
        <f>M46</f>
        <v>ПП2020РД-1.2-61.17-АР, изм.3, л.14.1</v>
      </c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</row>
    <row r="47" spans="1:103" ht="13.5" customHeight="1" x14ac:dyDescent="0.25">
      <c r="D47" s="7" t="s">
        <v>33</v>
      </c>
      <c r="W47" s="35"/>
      <c r="X47" s="89" t="str">
        <f>AH32</f>
        <v>Паспорт качества б/н от 13.10.2023 г., сертификат</v>
      </c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CD47" s="3">
        <f>W47</f>
        <v>0</v>
      </c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</row>
    <row r="48" spans="1:103" ht="13.8" x14ac:dyDescent="0.3">
      <c r="A48" s="86" t="str">
        <f>A33</f>
        <v>соответствия № РОСС RU.32001.04ИБФ1.ОСП17.08262 с 01.04.2021 г. по 31.03.2024 г.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</row>
    <row r="49" spans="1:16221" ht="13.5" hidden="1" customHeight="1" x14ac:dyDescent="0.3">
      <c r="A49" s="88">
        <f>A34</f>
        <v>0</v>
      </c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</row>
    <row r="50" spans="1:16221" ht="13.5" hidden="1" customHeight="1" x14ac:dyDescent="0.3">
      <c r="A50" s="88">
        <f>A35</f>
        <v>0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</row>
    <row r="51" spans="1:16221" ht="13.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46" t="s">
        <v>34</v>
      </c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</row>
    <row r="52" spans="1:16221" s="2" customFormat="1" ht="12.75" hidden="1" customHeight="1" x14ac:dyDescent="0.2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11"/>
      <c r="BV52" s="11"/>
      <c r="BW52" s="11"/>
      <c r="BX52" s="11"/>
      <c r="BY52" s="11">
        <f>A52</f>
        <v>0</v>
      </c>
      <c r="BZ52" s="11"/>
      <c r="CA52" s="11"/>
      <c r="CB52" s="11"/>
      <c r="CC52" s="11"/>
      <c r="CD52" s="11"/>
      <c r="CE52" s="11"/>
      <c r="CF52" s="11"/>
      <c r="CG52" s="1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</row>
    <row r="53" spans="1:16221" s="2" customFormat="1" ht="12.75" hidden="1" customHeight="1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11">
        <f>A53</f>
        <v>0</v>
      </c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</row>
    <row r="54" spans="1:16221" s="2" customFormat="1" ht="12.75" hidden="1" customHeight="1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11">
        <f>A54</f>
        <v>0</v>
      </c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</row>
    <row r="55" spans="1:16221" s="4" customFormat="1" x14ac:dyDescent="0.25">
      <c r="A55" s="1" t="s">
        <v>35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11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H55" s="1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</row>
    <row r="56" spans="1:16221" s="4" customFormat="1" ht="15" customHeight="1" x14ac:dyDescent="0.3">
      <c r="B56" s="1"/>
      <c r="C56" s="1"/>
      <c r="D56" s="1" t="s">
        <v>36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36"/>
      <c r="X56" s="36"/>
      <c r="Y56" s="36"/>
      <c r="Z56" s="36"/>
      <c r="AA56" s="87" t="s">
        <v>37</v>
      </c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H56" s="1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</row>
    <row r="57" spans="1:16221" s="4" customFormat="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85" t="s">
        <v>38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</row>
    <row r="58" spans="1:16221" s="4" customFormat="1" ht="13.8" x14ac:dyDescent="0.25">
      <c r="A58" s="7" t="s">
        <v>39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"/>
      <c r="V58" s="21"/>
      <c r="W58" s="84" t="str">
        <f>S25</f>
        <v>ПП2020РД-1.2-61.17-АР, изм.3, л.14.1</v>
      </c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>
        <f>V58</f>
        <v>0</v>
      </c>
      <c r="CF58" s="3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</row>
    <row r="59" spans="1:16221" s="4" customFormat="1" ht="12.75" customHeight="1" x14ac:dyDescent="0.3">
      <c r="A59" s="1" t="s">
        <v>40</v>
      </c>
      <c r="B59" s="1"/>
      <c r="C59" s="1"/>
      <c r="D59" s="1"/>
      <c r="E59" s="1"/>
      <c r="F59" s="1"/>
      <c r="G59" s="1"/>
      <c r="H59" s="1"/>
      <c r="I59" s="1"/>
      <c r="J59" s="1"/>
      <c r="K59" s="1"/>
      <c r="M59" s="37"/>
      <c r="N59" s="78" t="s">
        <v>115</v>
      </c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 t="str">
        <f>N59</f>
        <v>ТУ 24.33.1-01-13823803-2021</v>
      </c>
      <c r="CH59" s="1"/>
      <c r="CI59" s="62" t="s">
        <v>98</v>
      </c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0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6.5" customHeight="1" x14ac:dyDescent="0.25">
      <c r="A61" s="1" t="s">
        <v>41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x14ac:dyDescent="0.25">
      <c r="A62" s="1" t="s">
        <v>12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79" t="str">
        <f>BJ15</f>
        <v>Кострова Н.Л.</v>
      </c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1"/>
      <c r="AP62" s="1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1"/>
      <c r="BG62" s="1"/>
      <c r="BH62" s="81">
        <f>AE13</f>
        <v>45274</v>
      </c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82" t="s">
        <v>81</v>
      </c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1"/>
      <c r="AP63" s="1"/>
      <c r="AQ63" s="82" t="s">
        <v>42</v>
      </c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1"/>
      <c r="BG63" s="1"/>
      <c r="BH63" s="94" t="s">
        <v>43</v>
      </c>
      <c r="BI63" s="94"/>
      <c r="BJ63" s="94"/>
      <c r="BK63" s="94"/>
      <c r="BL63" s="94"/>
      <c r="BM63" s="94"/>
      <c r="BN63" s="94"/>
      <c r="BO63" s="94"/>
      <c r="BP63" s="94"/>
      <c r="BQ63" s="94"/>
      <c r="BR63" s="94"/>
      <c r="BS63" s="94"/>
      <c r="BT63" s="18"/>
      <c r="BU63" s="18"/>
      <c r="BV63" s="18"/>
      <c r="BW63" s="18"/>
      <c r="BX63" s="18"/>
      <c r="BY63" s="3"/>
      <c r="BZ63" s="3"/>
      <c r="CA63" s="3"/>
      <c r="CB63" s="3"/>
      <c r="CC63" s="3"/>
      <c r="CD63" s="3"/>
      <c r="CE63" s="3"/>
      <c r="CF63" s="3"/>
      <c r="CH63" s="1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x14ac:dyDescent="0.25">
      <c r="A64" s="1" t="s">
        <v>44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x14ac:dyDescent="0.25">
      <c r="A65" s="1" t="s">
        <v>45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79" t="str">
        <f>BJ17</f>
        <v>Халыгов Э. А.</v>
      </c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1"/>
      <c r="AP65" s="1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1"/>
      <c r="BG65" s="1"/>
      <c r="BH65" s="81">
        <f>BH62</f>
        <v>45274</v>
      </c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82" t="s">
        <v>81</v>
      </c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1"/>
      <c r="AP66" s="1"/>
      <c r="AQ66" s="82" t="s">
        <v>42</v>
      </c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1"/>
      <c r="BG66" s="1"/>
      <c r="BH66" s="94" t="s">
        <v>43</v>
      </c>
      <c r="BI66" s="94"/>
      <c r="BJ66" s="94"/>
      <c r="BK66" s="94"/>
      <c r="BL66" s="94"/>
      <c r="BM66" s="94"/>
      <c r="BN66" s="94"/>
      <c r="BO66" s="94"/>
      <c r="BP66" s="94"/>
      <c r="BQ66" s="94"/>
      <c r="BR66" s="94"/>
      <c r="BS66" s="94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 t="s">
        <v>41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46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72" t="str">
        <f>BJ19</f>
        <v>Тюкин Е.В.</v>
      </c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1"/>
      <c r="AP68" s="1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1"/>
      <c r="BG68" s="1"/>
      <c r="BH68" s="81">
        <f>BH62</f>
        <v>45274</v>
      </c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ht="22.2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82" t="s">
        <v>81</v>
      </c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1"/>
      <c r="AP69" s="1"/>
      <c r="AQ69" s="82" t="s">
        <v>42</v>
      </c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1"/>
      <c r="BG69" s="1"/>
      <c r="BH69" s="82" t="s">
        <v>43</v>
      </c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ht="16.2" customHeight="1" x14ac:dyDescent="0.25">
      <c r="A70" s="92" t="s">
        <v>105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</row>
    <row r="71" spans="1:16221" ht="57.6" customHeight="1" x14ac:dyDescent="0.25">
      <c r="AL71" s="8"/>
      <c r="AM71" s="8"/>
      <c r="AN71" s="8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H71" s="93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</row>
    <row r="72" spans="1:16221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</row>
    <row r="73" spans="1:16221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</row>
    <row r="77" spans="1:1622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1622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16221" x14ac:dyDescent="0.25"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162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245" spans="7:16" ht="409.6" x14ac:dyDescent="0.25">
      <c r="G245" s="1" t="s">
        <v>47</v>
      </c>
      <c r="N245" s="19" t="s">
        <v>48</v>
      </c>
      <c r="P245" s="1" t="s">
        <v>49</v>
      </c>
    </row>
  </sheetData>
  <dataConsolidate/>
  <mergeCells count="90">
    <mergeCell ref="X66:AN66"/>
    <mergeCell ref="AQ66:BE66"/>
    <mergeCell ref="AQ63:BE63"/>
    <mergeCell ref="BH63:BS63"/>
    <mergeCell ref="X65:AN65"/>
    <mergeCell ref="AQ65:BE65"/>
    <mergeCell ref="BH65:BS65"/>
    <mergeCell ref="BH66:BS66"/>
    <mergeCell ref="AQ72:BE72"/>
    <mergeCell ref="BH72:BS72"/>
    <mergeCell ref="X68:AN68"/>
    <mergeCell ref="AQ68:BE68"/>
    <mergeCell ref="BH68:BS68"/>
    <mergeCell ref="A70:AK70"/>
    <mergeCell ref="X69:AN69"/>
    <mergeCell ref="AQ69:BE69"/>
    <mergeCell ref="BH69:BS69"/>
    <mergeCell ref="AQ71:BE71"/>
    <mergeCell ref="BH71:BS71"/>
    <mergeCell ref="X63:AN63"/>
    <mergeCell ref="M46:BT46"/>
    <mergeCell ref="V51:BT51"/>
    <mergeCell ref="W58:BT58"/>
    <mergeCell ref="A52:BT52"/>
    <mergeCell ref="A53:BT53"/>
    <mergeCell ref="A54:BT54"/>
    <mergeCell ref="J57:BT57"/>
    <mergeCell ref="A48:BT48"/>
    <mergeCell ref="AA56:BT56"/>
    <mergeCell ref="A49:BT49"/>
    <mergeCell ref="X47:BT47"/>
    <mergeCell ref="A50:BT50"/>
    <mergeCell ref="T20:BJ20"/>
    <mergeCell ref="N59:BT59"/>
    <mergeCell ref="X62:AN62"/>
    <mergeCell ref="AQ62:BE62"/>
    <mergeCell ref="BH62:BS62"/>
    <mergeCell ref="O21:BP21"/>
    <mergeCell ref="A30:BT30"/>
    <mergeCell ref="A31:BT31"/>
    <mergeCell ref="A34:BT34"/>
    <mergeCell ref="D23:BT23"/>
    <mergeCell ref="AH32:BT32"/>
    <mergeCell ref="A24:BT24"/>
    <mergeCell ref="S25:BT25"/>
    <mergeCell ref="E22:BT22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CI21:CW24"/>
    <mergeCell ref="CI59:CW63"/>
    <mergeCell ref="CI43:CW46"/>
    <mergeCell ref="CI25:CX26"/>
    <mergeCell ref="CI47:CY56"/>
    <mergeCell ref="CI32:CY41"/>
    <mergeCell ref="A36:BT36"/>
    <mergeCell ref="P26:BT26"/>
    <mergeCell ref="A35:BT35"/>
    <mergeCell ref="AV45:CE45"/>
    <mergeCell ref="I39:BT39"/>
    <mergeCell ref="A40:BT40"/>
    <mergeCell ref="A41:BT41"/>
    <mergeCell ref="A42:BT42"/>
    <mergeCell ref="Y43:BT43"/>
    <mergeCell ref="D38:BT38"/>
    <mergeCell ref="R27:BT27"/>
    <mergeCell ref="A33:BT33"/>
    <mergeCell ref="A28:BT28"/>
    <mergeCell ref="AF45:AO45"/>
    <mergeCell ref="Y44:BT44"/>
    <mergeCell ref="A37:BT37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T18:BJ18"/>
    <mergeCell ref="T17:BI17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2025-05-23T15:13:21Z</cp:lastPrinted>
  <dcterms:created xsi:type="dcterms:W3CDTF">2023-09-19T09:44:50Z</dcterms:created>
  <dcterms:modified xsi:type="dcterms:W3CDTF">2025-05-23T15:15:00Z</dcterms:modified>
</cp:coreProperties>
</file>