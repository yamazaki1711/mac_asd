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ulga\Desktop\61.6 документы\Двери 61.17\"/>
    </mc:Choice>
  </mc:AlternateContent>
  <bookViews>
    <workbookView xWindow="0" yWindow="480" windowWidth="28800" windowHeight="17520" tabRatio="747" activeTab="1"/>
  </bookViews>
  <sheets>
    <sheet name="подписанты" sheetId="8" r:id="rId1"/>
    <sheet name="№15.1 козырек" sheetId="22" r:id="rId2"/>
    <sheet name="Лист общих данных" sheetId="2" state="hidden" r:id="rId3"/>
  </sheets>
  <definedNames>
    <definedName name="_xlnm.Print_Area" localSheetId="1">'№15.1 козырек'!$A$1:$BT$66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3" i="22" l="1"/>
  <c r="BW15" i="22" l="1"/>
  <c r="X60" i="22"/>
  <c r="X57" i="22"/>
  <c r="BH54" i="22"/>
  <c r="BH60" i="22" s="1"/>
  <c r="X54" i="22"/>
  <c r="Y49" i="22"/>
  <c r="Q42" i="22"/>
  <c r="D37" i="22"/>
  <c r="S21" i="22"/>
  <c r="S19" i="22"/>
  <c r="S17" i="22"/>
  <c r="BH57" i="22" l="1"/>
</calcChain>
</file>

<file path=xl/sharedStrings.xml><?xml version="1.0" encoding="utf-8"?>
<sst xmlns="http://schemas.openxmlformats.org/spreadsheetml/2006/main" count="142" uniqueCount="119">
  <si>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</si>
  <si>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</si>
  <si>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</si>
  <si>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</si>
  <si>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</si>
  <si>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</si>
  <si>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</si>
  <si>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</si>
  <si>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</si>
  <si>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</si>
  <si>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</si>
  <si>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</si>
  <si>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</si>
  <si>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</si>
  <si>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</si>
  <si>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</si>
  <si>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</si>
  <si>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</si>
  <si>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</si>
  <si>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</si>
  <si>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</si>
  <si>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</si>
  <si>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</si>
  <si>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</si>
  <si>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</si>
  <si>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</si>
  <si>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</si>
  <si>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</si>
  <si>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</si>
  <si>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</si>
  <si>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</si>
  <si>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</si>
  <si>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</si>
  <si>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</si>
  <si>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</si>
  <si>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</si>
  <si>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</si>
  <si>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</si>
  <si>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</si>
  <si>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</si>
  <si>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</si>
  <si>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</si>
  <si>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</si>
  <si>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</si>
  <si>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</si>
  <si>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</si>
  <si>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</si>
  <si>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</si>
  <si>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</si>
  <si>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</si>
  <si>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</si>
  <si>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</si>
  <si>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</si>
  <si>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</si>
  <si>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</si>
  <si>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</si>
  <si>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</si>
  <si>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</si>
  <si>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</si>
  <si>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</si>
  <si>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</si>
  <si>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</si>
  <si>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</si>
  <si>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</si>
  <si>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</si>
  <si>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</si>
  <si>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</si>
  <si>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</si>
  <si>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</si>
  <si>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</si>
  <si>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</si>
  <si>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</si>
  <si>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</si>
  <si>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</si>
  <si>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</si>
  <si>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</si>
  <si>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</si>
  <si>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</si>
  <si>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</si>
  <si>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</si>
  <si>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</si>
  <si>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</si>
  <si>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</si>
  <si>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</si>
  <si>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</si>
  <si>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</si>
  <si>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</si>
  <si>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</si>
  <si>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</si>
  <si>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</si>
  <si>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</si>
  <si>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</si>
  <si>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</si>
  <si>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</si>
  <si>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</si>
  <si>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</si>
  <si>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</si>
  <si>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Объемы материала не указываются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</si>
  <si>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</si>
  <si>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</si>
  <si>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</si>
  <si>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</si>
  <si>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</si>
  <si>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</si>
  <si>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</si>
  <si>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</si>
  <si>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</si>
  <si>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</si>
  <si>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</si>
  <si>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</si>
  <si>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</si>
  <si>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-</t>
  </si>
  <si>
    <t>ВК произведен 
в соответствия 
с требованиями НТД</t>
  </si>
  <si>
    <t>выборочный</t>
  </si>
  <si>
    <t xml:space="preserve">ТУ25.12.10-003-04400363-2020, сертификат соответствия пожарной бежапостности № ЕАЭС RU C RU.ПБ58.В.01196/21 от 31.03.2021г. </t>
  </si>
  <si>
    <t xml:space="preserve">Дверь противопожарная Е60 стальная однополая, глухая, тип ДПС-1-60 с доводчиком, фиксатором и ограничителем 980х2050 - 11 шт. Дверь противопожарная Е60 стальная однополая, глухая, тип ДПС-1-60 с доводчиком, фиксатором и ограничителем 1060х2050 - 1 шт. Дверь противопожарная Е60 стальная однополая, глухая, тип ДПС-1-60 с доводчиком, фиксатором и ограничителем 2260-2050 - 1 шт. </t>
  </si>
  <si>
    <t>ПП2020РД-1.2-61.17-АР, изм.3, л. 11.</t>
  </si>
  <si>
    <t>АИР 1.2-61.17-АР/402ДП</t>
  </si>
  <si>
    <t>Дверь металлическая усилинная 3-го класса взломостойкости, однополая, правого исполнения, открывание наружу, покрытие порошковое RAL 9003 двухсторонненего исполнения: открывание внутрь с замком Apecs Premiere T-57/S8 с защитным антикорозийным покрытием, открывание наружу - сплошная дверь с замком Скат 002-15М покрытие порошковое RAL9003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</si>
</sst>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\-0;;@"/>
    <numFmt numFmtId="165" formatCode="dddd"/>
  </numFmts>
  <fonts count="19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b/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02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0" fontId="11" fillId="2" borderId="0" xfId="1" applyFont="1" applyFill="1" applyAlignment="1">
      <alignment vertical="top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wrapText="1"/>
    </xf>
    <xf numFmtId="0" fontId="13" fillId="2" borderId="0" xfId="1" applyFont="1" applyFill="1"/>
    <xf numFmtId="0" fontId="13" fillId="2" borderId="0" xfId="1" applyFont="1" applyFill="1" applyAlignment="1">
      <alignment horizontal="center"/>
    </xf>
    <xf numFmtId="14" fontId="13" fillId="2" borderId="0" xfId="1" applyNumberFormat="1" applyFont="1" applyFill="1" applyAlignment="1">
      <alignment horizontal="center" vertical="center" wrapText="1"/>
    </xf>
    <xf numFmtId="0" fontId="11" fillId="2" borderId="0" xfId="1" applyFont="1" applyFill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0" borderId="0" xfId="1" applyFont="1"/>
    <xf numFmtId="0" fontId="14" fillId="2" borderId="0" xfId="1" applyFont="1" applyFill="1" applyAlignment="1">
      <alignment wrapText="1"/>
    </xf>
    <xf numFmtId="14" fontId="13" fillId="0" borderId="0" xfId="1" applyNumberFormat="1" applyFont="1" applyAlignment="1">
      <alignment vertical="center" wrapText="1"/>
    </xf>
    <xf numFmtId="0" fontId="13" fillId="2" borderId="0" xfId="1" applyFont="1" applyFill="1" applyAlignment="1">
      <alignment horizontal="center" vertical="top"/>
    </xf>
    <xf numFmtId="0" fontId="10" fillId="2" borderId="0" xfId="1" applyFont="1" applyFill="1" applyAlignment="1">
      <alignment vertical="top" wrapText="1"/>
    </xf>
    <xf numFmtId="0" fontId="13" fillId="2" borderId="0" xfId="1" applyFont="1" applyFill="1" applyAlignment="1">
      <alignment vertical="top"/>
    </xf>
    <xf numFmtId="0" fontId="12" fillId="2" borderId="0" xfId="1" applyFont="1" applyFill="1" applyAlignment="1">
      <alignment wrapText="1"/>
    </xf>
    <xf numFmtId="0" fontId="13" fillId="2" borderId="0" xfId="1" applyFont="1" applyFill="1" applyAlignment="1">
      <alignment wrapText="1"/>
    </xf>
    <xf numFmtId="0" fontId="11" fillId="2" borderId="0" xfId="1" applyFont="1" applyFill="1" applyAlignment="1">
      <alignment horizontal="center" wrapText="1"/>
    </xf>
    <xf numFmtId="0" fontId="11" fillId="2" borderId="0" xfId="1" applyFont="1" applyFill="1" applyAlignment="1">
      <alignment horizontal="center" vertical="top" wrapText="1"/>
    </xf>
    <xf numFmtId="0" fontId="15" fillId="2" borderId="2" xfId="1" applyFont="1" applyFill="1" applyBorder="1" applyAlignment="1">
      <alignment vertical="top"/>
    </xf>
    <xf numFmtId="164" fontId="10" fillId="2" borderId="0" xfId="1" applyNumberFormat="1" applyFont="1" applyFill="1" applyAlignment="1">
      <alignment vertical="center" wrapText="1"/>
    </xf>
    <xf numFmtId="164" fontId="10" fillId="2" borderId="0" xfId="1" applyNumberFormat="1" applyFont="1" applyFill="1" applyAlignment="1">
      <alignment vertical="top" wrapText="1"/>
    </xf>
    <xf numFmtId="0" fontId="15" fillId="2" borderId="0" xfId="1" applyFont="1" applyFill="1"/>
    <xf numFmtId="14" fontId="13" fillId="2" borderId="0" xfId="1" applyNumberFormat="1" applyFont="1" applyFill="1" applyAlignment="1">
      <alignment vertical="top" wrapText="1"/>
    </xf>
    <xf numFmtId="14" fontId="10" fillId="2" borderId="0" xfId="1" applyNumberFormat="1" applyFont="1" applyFill="1" applyAlignment="1">
      <alignment vertical="top" wrapText="1"/>
    </xf>
    <xf numFmtId="0" fontId="6" fillId="2" borderId="0" xfId="1" applyFont="1" applyFill="1" applyAlignment="1">
      <alignment horizontal="left" wrapText="1"/>
    </xf>
    <xf numFmtId="0" fontId="4" fillId="0" borderId="0" xfId="0" applyFont="1"/>
    <xf numFmtId="0" fontId="17" fillId="0" borderId="0" xfId="1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/>
    <xf numFmtId="0" fontId="17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" fillId="2" borderId="0" xfId="1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wrapText="1"/>
    </xf>
    <xf numFmtId="165" fontId="0" fillId="0" borderId="0" xfId="0" applyNumberFormat="1" applyAlignment="1">
      <alignment horizontal="left"/>
    </xf>
    <xf numFmtId="14" fontId="18" fillId="4" borderId="1" xfId="1" applyNumberFormat="1" applyFont="1" applyFill="1" applyBorder="1" applyAlignment="1">
      <alignment horizontal="left" vertical="center" wrapText="1"/>
    </xf>
    <xf numFmtId="0" fontId="11" fillId="2" borderId="0" xfId="1" applyFont="1" applyFill="1" applyAlignment="1">
      <alignment horizontal="center"/>
    </xf>
    <xf numFmtId="49" fontId="12" fillId="2" borderId="0" xfId="1" applyNumberFormat="1" applyFont="1" applyFill="1" applyAlignment="1">
      <alignment horizontal="center" vertical="center"/>
    </xf>
    <xf numFmtId="0" fontId="12" fillId="2" borderId="0" xfId="1" applyFont="1" applyFill="1" applyAlignment="1">
      <alignment horizontal="left"/>
    </xf>
    <xf numFmtId="0" fontId="11" fillId="2" borderId="0" xfId="1" applyFont="1" applyFill="1" applyAlignment="1">
      <alignment horizontal="left" wrapText="1"/>
    </xf>
    <xf numFmtId="49" fontId="11" fillId="2" borderId="0" xfId="1" applyNumberFormat="1" applyFont="1" applyFill="1" applyAlignment="1">
      <alignment horizontal="center"/>
    </xf>
    <xf numFmtId="0" fontId="13" fillId="4" borderId="0" xfId="1" applyFont="1" applyFill="1" applyAlignment="1">
      <alignment horizontal="left"/>
    </xf>
    <xf numFmtId="0" fontId="13" fillId="0" borderId="0" xfId="1" applyFont="1" applyAlignment="1">
      <alignment horizontal="center"/>
    </xf>
    <xf numFmtId="0" fontId="0" fillId="0" borderId="0" xfId="0" applyAlignment="1">
      <alignment horizontal="left" vertical="top" wrapText="1"/>
    </xf>
    <xf numFmtId="0" fontId="15" fillId="2" borderId="0" xfId="1" applyFont="1" applyFill="1" applyAlignment="1">
      <alignment horizontal="center" vertical="center"/>
    </xf>
    <xf numFmtId="14" fontId="13" fillId="4" borderId="1" xfId="1" applyNumberFormat="1" applyFont="1" applyFill="1" applyBorder="1" applyAlignment="1">
      <alignment horizontal="left" vertical="center" wrapText="1"/>
    </xf>
    <xf numFmtId="14" fontId="13" fillId="2" borderId="0" xfId="1" applyNumberFormat="1" applyFont="1" applyFill="1" applyAlignment="1">
      <alignment horizontal="center" wrapText="1"/>
    </xf>
    <xf numFmtId="14" fontId="13" fillId="4" borderId="1" xfId="1" applyNumberFormat="1" applyFont="1" applyFill="1" applyBorder="1" applyAlignment="1">
      <alignment horizontal="center"/>
    </xf>
    <xf numFmtId="0" fontId="11" fillId="3" borderId="0" xfId="1" applyFont="1" applyFill="1" applyAlignment="1">
      <alignment horizontal="left" wrapText="1"/>
    </xf>
    <xf numFmtId="0" fontId="11" fillId="3" borderId="1" xfId="1" applyFont="1" applyFill="1" applyBorder="1" applyAlignment="1">
      <alignment horizontal="right"/>
    </xf>
    <xf numFmtId="0" fontId="15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 wrapText="1"/>
    </xf>
    <xf numFmtId="0" fontId="15" fillId="2" borderId="0" xfId="1" applyFont="1" applyFill="1" applyAlignment="1">
      <alignment horizontal="center" vertical="top"/>
    </xf>
    <xf numFmtId="0" fontId="11" fillId="3" borderId="1" xfId="1" applyFont="1" applyFill="1" applyBorder="1" applyAlignment="1">
      <alignment horizontal="right" vertical="center"/>
    </xf>
    <xf numFmtId="0" fontId="11" fillId="3" borderId="1" xfId="1" applyFont="1" applyFill="1" applyBorder="1" applyAlignment="1">
      <alignment horizontal="center"/>
    </xf>
    <xf numFmtId="14" fontId="15" fillId="2" borderId="0" xfId="1" applyNumberFormat="1" applyFont="1" applyFill="1" applyAlignment="1">
      <alignment horizontal="center" vertical="top" wrapText="1"/>
    </xf>
    <xf numFmtId="0" fontId="10" fillId="4" borderId="0" xfId="1" applyFont="1" applyFill="1" applyAlignment="1">
      <alignment horizontal="left" vertical="top" wrapText="1"/>
    </xf>
    <xf numFmtId="0" fontId="10" fillId="4" borderId="0" xfId="1" applyFont="1" applyFill="1" applyAlignment="1">
      <alignment horizontal="left" vertical="top"/>
    </xf>
    <xf numFmtId="0" fontId="15" fillId="2" borderId="0" xfId="1" applyFont="1" applyFill="1" applyAlignment="1">
      <alignment horizontal="left" vertical="top"/>
    </xf>
    <xf numFmtId="14" fontId="13" fillId="4" borderId="1" xfId="1" applyNumberFormat="1" applyFont="1" applyFill="1" applyBorder="1" applyAlignment="1">
      <alignment horizontal="left" vertical="top" wrapText="1"/>
    </xf>
    <xf numFmtId="0" fontId="13" fillId="4" borderId="1" xfId="1" applyFont="1" applyFill="1" applyBorder="1" applyAlignment="1">
      <alignment horizontal="left"/>
    </xf>
    <xf numFmtId="0" fontId="11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14" fontId="13" fillId="3" borderId="1" xfId="1" applyNumberFormat="1" applyFont="1" applyFill="1" applyBorder="1" applyAlignment="1">
      <alignment horizontal="left" vertical="center" wrapText="1"/>
    </xf>
    <xf numFmtId="0" fontId="16" fillId="0" borderId="2" xfId="1" applyFont="1" applyBorder="1" applyAlignment="1">
      <alignment horizontal="center" vertical="top"/>
    </xf>
    <xf numFmtId="0" fontId="13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left" wrapText="1"/>
    </xf>
    <xf numFmtId="0" fontId="10" fillId="3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0" fillId="3" borderId="0" xfId="1" applyFont="1" applyFill="1" applyAlignment="1">
      <alignment horizontal="left" vertical="top" wrapText="1"/>
    </xf>
    <xf numFmtId="14" fontId="13" fillId="3" borderId="1" xfId="1" applyNumberFormat="1" applyFont="1" applyFill="1" applyBorder="1" applyAlignment="1">
      <alignment horizontal="left" vertical="top" wrapText="1"/>
    </xf>
    <xf numFmtId="0" fontId="13" fillId="3" borderId="1" xfId="1" applyFont="1" applyFill="1" applyBorder="1" applyAlignment="1">
      <alignment horizontal="left"/>
    </xf>
    <xf numFmtId="0" fontId="10" fillId="3" borderId="0" xfId="1" applyFont="1" applyFill="1" applyAlignment="1">
      <alignment horizontal="left"/>
    </xf>
    <xf numFmtId="0" fontId="15" fillId="2" borderId="0" xfId="1" applyFont="1" applyFill="1" applyAlignment="1">
      <alignment horizontal="right" vertical="top" wrapText="1"/>
    </xf>
    <xf numFmtId="164" fontId="10" fillId="3" borderId="0" xfId="1" applyNumberFormat="1" applyFont="1" applyFill="1" applyAlignment="1">
      <alignment horizontal="left" vertical="top" wrapText="1"/>
    </xf>
    <xf numFmtId="0" fontId="10" fillId="5" borderId="0" xfId="1" applyFont="1" applyFill="1" applyAlignment="1">
      <alignment horizontal="left" vertical="top"/>
    </xf>
    <xf numFmtId="164" fontId="11" fillId="3" borderId="1" xfId="1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14" fontId="11" fillId="3" borderId="1" xfId="1" applyNumberFormat="1" applyFont="1" applyFill="1" applyBorder="1" applyAlignment="1">
      <alignment horizontal="center"/>
    </xf>
    <xf numFmtId="0" fontId="13" fillId="2" borderId="0" xfId="1" applyFont="1" applyFill="1" applyAlignment="1">
      <alignment horizontal="left" vertical="top" wrapText="1"/>
    </xf>
    <xf numFmtId="14" fontId="11" fillId="2" borderId="0" xfId="1" applyNumberFormat="1" applyFont="1" applyFill="1" applyAlignment="1">
      <alignment horizontal="center"/>
    </xf>
    <xf numFmtId="0" fontId="11" fillId="2" borderId="0" xfId="1" applyFont="1" applyFill="1" applyAlignment="1">
      <alignment horizontal="center" vertical="top"/>
    </xf>
  </cellXfs>
  <cellStyles count="2"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289560</xdr:colOff>
      <xdr:row>10</xdr:row>
      <xdr:rowOff>30480</xdr:rowOff>
    </xdr:from>
    <xdr:to>
      <xdr:col>75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955280" y="1783080"/>
          <a:ext cx="113157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22</xdr:row>
      <xdr:rowOff>0</xdr:rowOff>
    </xdr:from>
    <xdr:to>
      <xdr:col>74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65720" y="418338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26</xdr:row>
      <xdr:rowOff>0</xdr:rowOff>
    </xdr:from>
    <xdr:to>
      <xdr:col>74</xdr:col>
      <xdr:colOff>521970</xdr:colOff>
      <xdr:row>29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665720" y="5059680"/>
          <a:ext cx="1131570" cy="5638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32</xdr:row>
      <xdr:rowOff>0</xdr:rowOff>
    </xdr:from>
    <xdr:to>
      <xdr:col>74</xdr:col>
      <xdr:colOff>521970</xdr:colOff>
      <xdr:row>34</xdr:row>
      <xdr:rowOff>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665720" y="6111240"/>
          <a:ext cx="1131570" cy="3505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40</xdr:row>
      <xdr:rowOff>0</xdr:rowOff>
    </xdr:from>
    <xdr:to>
      <xdr:col>74</xdr:col>
      <xdr:colOff>521970</xdr:colOff>
      <xdr:row>41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665720" y="768858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48</xdr:row>
      <xdr:rowOff>0</xdr:rowOff>
    </xdr:from>
    <xdr:to>
      <xdr:col>74</xdr:col>
      <xdr:colOff>521970</xdr:colOff>
      <xdr:row>50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665720" y="9090660"/>
          <a:ext cx="113157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workbookViewId="0">
      <selection activeCell="B7" sqref="B7"/>
    </sheetView>
  </sheetViews>
  <sheetFormatPr defaultColWidth="8.77734375" defaultRowHeight="13.8" x14ac:dyDescent="0.25"/>
  <cols>
    <col min="1" max="1" width="27.109375" style="35" customWidth="1"/>
    <col min="2" max="2" width="21.6640625" style="35" customWidth="1"/>
    <col min="3" max="3" width="67.44140625" style="35" customWidth="1"/>
    <col min="4" max="5" width="10.109375" style="35" customWidth="1"/>
    <col min="6" max="6" width="44.77734375" style="35" customWidth="1"/>
    <col min="7" max="16384" width="8.77734375" style="35"/>
  </cols>
  <sheetData>
    <row r="2" spans="1:6" ht="29.55" customHeight="1" x14ac:dyDescent="0.25">
      <c r="A2" s="43" t="s">
        <v>10</v>
      </c>
      <c r="B2" s="44" t="s">
        <v>92</v>
      </c>
      <c r="C2" s="44" t="s">
        <v>91</v>
      </c>
      <c r="D2" s="42" t="s">
        <v>89</v>
      </c>
      <c r="E2" s="42" t="s">
        <v>90</v>
      </c>
    </row>
    <row r="3" spans="1:6" x14ac:dyDescent="0.25">
      <c r="A3" s="36" t="s">
        <v>12</v>
      </c>
      <c r="B3" s="35" t="s">
        <v>79</v>
      </c>
      <c r="C3" s="46" t="s">
        <v>80</v>
      </c>
      <c r="D3" s="38">
        <v>44927</v>
      </c>
      <c r="E3" s="38">
        <v>45306</v>
      </c>
    </row>
    <row r="4" spans="1:6" x14ac:dyDescent="0.25">
      <c r="A4" s="36" t="s">
        <v>12</v>
      </c>
      <c r="B4" s="35" t="s">
        <v>93</v>
      </c>
      <c r="C4" s="46" t="s">
        <v>94</v>
      </c>
      <c r="D4" s="38">
        <v>45306</v>
      </c>
      <c r="E4" s="38">
        <v>45657</v>
      </c>
    </row>
    <row r="5" spans="1:6" x14ac:dyDescent="0.25">
      <c r="A5" s="36" t="s">
        <v>14</v>
      </c>
      <c r="B5" s="35" t="s">
        <v>84</v>
      </c>
      <c r="C5" s="37" t="s">
        <v>83</v>
      </c>
      <c r="D5" s="38">
        <v>45166</v>
      </c>
      <c r="E5" s="38">
        <v>45657</v>
      </c>
    </row>
    <row r="6" spans="1:6" x14ac:dyDescent="0.25">
      <c r="A6" s="36" t="s">
        <v>14</v>
      </c>
      <c r="B6" s="35" t="s">
        <v>96</v>
      </c>
      <c r="C6" s="37" t="s">
        <v>95</v>
      </c>
      <c r="D6" s="38">
        <v>44927</v>
      </c>
      <c r="E6" s="38">
        <v>45166</v>
      </c>
    </row>
    <row r="7" spans="1:6" ht="27.6" x14ac:dyDescent="0.25">
      <c r="A7" s="36" t="s">
        <v>14</v>
      </c>
      <c r="B7" s="50" t="s">
        <v>109</v>
      </c>
      <c r="C7" s="37" t="s">
        <v>83</v>
      </c>
      <c r="D7" s="38">
        <v>45278</v>
      </c>
      <c r="E7" s="38">
        <v>45342</v>
      </c>
      <c r="F7" s="49" t="s">
        <v>110</v>
      </c>
    </row>
    <row r="8" spans="1:6" ht="41.4" x14ac:dyDescent="0.25">
      <c r="A8" s="39" t="s">
        <v>15</v>
      </c>
      <c r="B8" s="40" t="s">
        <v>82</v>
      </c>
      <c r="C8" s="47" t="s">
        <v>81</v>
      </c>
      <c r="D8" s="41">
        <v>44927</v>
      </c>
      <c r="E8" s="41">
        <v>45657</v>
      </c>
    </row>
    <row r="9" spans="1:6" ht="41.4" x14ac:dyDescent="0.25">
      <c r="A9" s="39" t="s">
        <v>15</v>
      </c>
      <c r="B9" s="35" t="s">
        <v>108</v>
      </c>
      <c r="C9" s="48" t="s">
        <v>107</v>
      </c>
    </row>
    <row r="11" spans="1:6" x14ac:dyDescent="0.25">
      <c r="A11" s="36"/>
    </row>
    <row r="12" spans="1:6" x14ac:dyDescent="0.25">
      <c r="A12" s="36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D65"/>
  <sheetViews>
    <sheetView tabSelected="1" view="pageBreakPreview" topLeftCell="A6" zoomScale="125" zoomScaleNormal="100" zoomScaleSheetLayoutView="100" workbookViewId="0">
      <selection activeCell="AA43" sqref="AA43:BT43"/>
    </sheetView>
  </sheetViews>
  <sheetFormatPr defaultColWidth="8.77734375" defaultRowHeight="13.8" x14ac:dyDescent="0.25"/>
  <cols>
    <col min="1" max="24" width="1.44140625" customWidth="1"/>
    <col min="25" max="25" width="0.77734375" customWidth="1"/>
    <col min="26" max="27" width="1.44140625" customWidth="1"/>
    <col min="28" max="28" width="0.77734375" customWidth="1"/>
    <col min="29" max="45" width="1.44140625" customWidth="1"/>
    <col min="46" max="46" width="2.6640625" customWidth="1"/>
    <col min="47" max="65" width="1.44140625" customWidth="1"/>
    <col min="66" max="66" width="1.109375" customWidth="1"/>
    <col min="67" max="67" width="0.44140625" hidden="1" customWidth="1"/>
    <col min="68" max="68" width="1.44140625" hidden="1" customWidth="1"/>
    <col min="69" max="69" width="0.44140625" customWidth="1"/>
    <col min="70" max="70" width="0.109375" hidden="1" customWidth="1"/>
    <col min="71" max="71" width="3.77734375" hidden="1" customWidth="1"/>
    <col min="72" max="72" width="7.77734375" customWidth="1"/>
    <col min="73" max="73" width="1.44140625" customWidth="1"/>
    <col min="75" max="75" width="16" bestFit="1" customWidth="1"/>
  </cols>
  <sheetData>
    <row r="1" spans="1:77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76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7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85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7" x14ac:dyDescent="0.25">
      <c r="A3" s="55" t="s">
        <v>4</v>
      </c>
      <c r="B3" s="55"/>
      <c r="C3" s="55"/>
      <c r="D3" s="55"/>
      <c r="E3" s="55"/>
      <c r="F3" s="56" t="s">
        <v>5</v>
      </c>
      <c r="G3" s="56"/>
      <c r="H3" s="56"/>
      <c r="I3" s="57" t="s">
        <v>6</v>
      </c>
      <c r="J3" s="57"/>
      <c r="K3" s="5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78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86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7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87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7" x14ac:dyDescent="0.25">
      <c r="A6" s="55"/>
      <c r="B6" s="55"/>
      <c r="C6" s="55"/>
      <c r="D6" s="55"/>
      <c r="E6" s="55"/>
      <c r="F6" s="56"/>
      <c r="G6" s="56"/>
      <c r="H6" s="56"/>
      <c r="I6" s="57"/>
      <c r="J6" s="57"/>
      <c r="K6" s="5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58" t="s">
        <v>77</v>
      </c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</row>
    <row r="7" spans="1:77" x14ac:dyDescent="0.25">
      <c r="A7" s="8"/>
      <c r="B7" s="8"/>
      <c r="C7" s="8"/>
      <c r="D7" s="8"/>
      <c r="E7" s="8"/>
      <c r="F7" s="8"/>
      <c r="G7" s="59"/>
      <c r="H7" s="59"/>
      <c r="I7" s="57"/>
      <c r="J7" s="57"/>
      <c r="K7" s="57"/>
      <c r="L7" s="57"/>
      <c r="M7" s="57"/>
      <c r="N7" s="57"/>
      <c r="O7" s="5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</row>
    <row r="8" spans="1:77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60" t="s">
        <v>117</v>
      </c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7" x14ac:dyDescent="0.25">
      <c r="A10" s="61" t="s">
        <v>45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</row>
    <row r="11" spans="1:77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7" ht="55.8" customHeight="1" x14ac:dyDescent="0.25">
      <c r="A12" s="54" t="s">
        <v>118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Y12" t="s">
        <v>97</v>
      </c>
    </row>
    <row r="13" spans="1:7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7" x14ac:dyDescent="0.25">
      <c r="A14" s="65" t="s">
        <v>46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</row>
    <row r="15" spans="1:77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66">
        <v>45334</v>
      </c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3">
        <f>AE15</f>
        <v>45334</v>
      </c>
    </row>
    <row r="16" spans="1:77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2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67" t="str">
        <f>VLOOKUP(BJ17,подписанты!$B$3:$C$11,2,FALSE)</f>
        <v>Руководитель группы МТО АО «Газстройпроект»</v>
      </c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8" t="s">
        <v>79</v>
      </c>
      <c r="BK17" s="68"/>
      <c r="BL17" s="68"/>
      <c r="BM17" s="68"/>
      <c r="BN17" s="68"/>
      <c r="BO17" s="68"/>
      <c r="BP17" s="68"/>
      <c r="BQ17" s="68"/>
      <c r="BR17" s="68"/>
      <c r="BS17" s="68"/>
      <c r="BT17" s="68"/>
    </row>
    <row r="18" spans="1:8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9" t="s">
        <v>13</v>
      </c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28"/>
      <c r="BL18" s="28"/>
      <c r="BM18" s="28"/>
      <c r="BN18" s="28"/>
      <c r="BO18" s="28"/>
      <c r="BP18" s="17"/>
      <c r="BQ18" s="17"/>
      <c r="BR18" s="17"/>
      <c r="BS18" s="17"/>
      <c r="BT18" s="17"/>
    </row>
    <row r="19" spans="1:82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70" t="str">
        <f>VLOOKUP(BJ19,подписанты!$B$3:$C$11,2,FALSE)</f>
        <v>Инженер отдела технического надзора АО «Газстройпроект»</v>
      </c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68" t="s">
        <v>84</v>
      </c>
      <c r="BK19" s="68"/>
      <c r="BL19" s="68"/>
      <c r="BM19" s="68"/>
      <c r="BN19" s="68"/>
      <c r="BO19" s="68"/>
      <c r="BP19" s="68"/>
      <c r="BQ19" s="68"/>
      <c r="BR19" s="68"/>
      <c r="BS19" s="68"/>
      <c r="BT19" s="68"/>
    </row>
    <row r="20" spans="1:8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71" t="s">
        <v>13</v>
      </c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69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2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67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72" t="s">
        <v>108</v>
      </c>
      <c r="BK21" s="72"/>
      <c r="BL21" s="72"/>
      <c r="BM21" s="72"/>
      <c r="BN21" s="72"/>
      <c r="BO21" s="72"/>
      <c r="BP21" s="72"/>
      <c r="BQ21" s="72"/>
      <c r="BR21" s="72"/>
      <c r="BS21" s="72"/>
      <c r="BT21" s="72"/>
    </row>
    <row r="22" spans="1:82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9" t="s">
        <v>13</v>
      </c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2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73" t="s">
        <v>113</v>
      </c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8" t="s">
        <v>17</v>
      </c>
      <c r="BR23" s="13"/>
      <c r="BS23" s="13"/>
      <c r="BT23" s="13"/>
      <c r="BX23" s="62" t="s">
        <v>98</v>
      </c>
      <c r="BY23" s="62"/>
      <c r="BZ23" s="62"/>
      <c r="CA23" s="62"/>
      <c r="CB23" s="62"/>
      <c r="CC23" s="62"/>
      <c r="CD23" s="62"/>
    </row>
    <row r="24" spans="1:82" x14ac:dyDescent="0.25">
      <c r="A24" s="8"/>
      <c r="B24" s="8"/>
      <c r="C24" s="8"/>
      <c r="D24" s="8"/>
      <c r="E24" s="63" t="s">
        <v>49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X24" s="62"/>
      <c r="BY24" s="62"/>
      <c r="BZ24" s="62"/>
      <c r="CA24" s="62"/>
      <c r="CB24" s="62"/>
      <c r="CC24" s="62"/>
      <c r="CD24" s="62"/>
    </row>
    <row r="25" spans="1:82" ht="65.400000000000006" customHeight="1" x14ac:dyDescent="0.25">
      <c r="A25" s="18"/>
      <c r="B25" s="20"/>
      <c r="C25" s="20"/>
      <c r="D25" s="64" t="s">
        <v>115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X25" s="62"/>
      <c r="BY25" s="62"/>
      <c r="BZ25" s="62"/>
      <c r="CA25" s="62"/>
      <c r="CB25" s="62"/>
      <c r="CC25" s="62"/>
      <c r="CD25" s="62"/>
    </row>
    <row r="26" spans="1:82" x14ac:dyDescent="0.25">
      <c r="A26" s="74" t="s">
        <v>50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</row>
    <row r="27" spans="1:82" x14ac:dyDescent="0.25">
      <c r="A27" s="10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9"/>
      <c r="S27" s="8"/>
      <c r="T27" s="22"/>
      <c r="U27" s="75" t="s">
        <v>116</v>
      </c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X27" s="62" t="s">
        <v>99</v>
      </c>
      <c r="BY27" s="62"/>
      <c r="BZ27" s="62"/>
      <c r="CA27" s="62"/>
      <c r="CB27" s="62"/>
      <c r="CC27" s="62"/>
    </row>
    <row r="28" spans="1:82" x14ac:dyDescent="0.25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X28" s="62"/>
      <c r="BY28" s="62"/>
      <c r="BZ28" s="62"/>
      <c r="CA28" s="62"/>
      <c r="CB28" s="62"/>
      <c r="CC28" s="62"/>
    </row>
    <row r="29" spans="1:8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7" t="s">
        <v>19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X29" s="62"/>
      <c r="BY29" s="62"/>
      <c r="BZ29" s="62"/>
      <c r="CA29" s="62"/>
      <c r="CB29" s="62"/>
      <c r="CC29" s="62"/>
    </row>
    <row r="30" spans="1:82" x14ac:dyDescent="0.25">
      <c r="A30" s="10" t="s">
        <v>20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2"/>
      <c r="T30" s="22"/>
      <c r="U30" s="75" t="s">
        <v>57</v>
      </c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X30" s="62"/>
      <c r="BY30" s="62"/>
      <c r="BZ30" s="62"/>
      <c r="CA30" s="62"/>
      <c r="CB30" s="62"/>
      <c r="CC30" s="62"/>
    </row>
    <row r="31" spans="1:82" x14ac:dyDescent="0.25">
      <c r="A31" s="71" t="s">
        <v>21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</row>
    <row r="32" spans="1:82" x14ac:dyDescent="0.25">
      <c r="A32" s="8"/>
      <c r="B32" s="8"/>
      <c r="C32" s="8"/>
      <c r="D32" s="8" t="s">
        <v>22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</row>
    <row r="33" spans="1:82" ht="19.8" customHeight="1" x14ac:dyDescent="0.25">
      <c r="A33" s="8" t="s">
        <v>23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2"/>
      <c r="AJ33" s="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X33" s="45" t="s">
        <v>100</v>
      </c>
    </row>
    <row r="34" spans="1:82" ht="0.6" hidden="1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X34" s="62" t="s">
        <v>101</v>
      </c>
      <c r="BY34" s="62"/>
      <c r="BZ34" s="62"/>
      <c r="CA34" s="62"/>
      <c r="CB34" s="62"/>
      <c r="CC34" s="62"/>
      <c r="CD34" s="62"/>
    </row>
    <row r="35" spans="1:82" x14ac:dyDescent="0.25">
      <c r="A35" s="69" t="s">
        <v>24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X35" s="62"/>
      <c r="BY35" s="62"/>
      <c r="BZ35" s="62"/>
      <c r="CA35" s="62"/>
      <c r="CB35" s="62"/>
      <c r="CC35" s="62"/>
      <c r="CD35" s="62"/>
    </row>
    <row r="36" spans="1:82" x14ac:dyDescent="0.25">
      <c r="A36" s="80" t="s">
        <v>73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X36" s="62"/>
      <c r="BY36" s="62"/>
      <c r="BZ36" s="62"/>
      <c r="CA36" s="62"/>
      <c r="CB36" s="62"/>
      <c r="CC36" s="62"/>
      <c r="CD36" s="62"/>
    </row>
    <row r="37" spans="1:82" ht="70.8" customHeight="1" x14ac:dyDescent="0.25">
      <c r="A37" s="18" t="s">
        <v>74</v>
      </c>
      <c r="B37" s="20"/>
      <c r="C37" s="20"/>
      <c r="D37" s="82" t="str">
        <f>D25</f>
        <v xml:space="preserve">Дверь противопожарная Е60 стальная однополая, глухая, тип ДПС-1-60 с доводчиком, фиксатором и ограничителем 980х2050 - 11 шт. Дверь противопожарная Е60 стальная однополая, глухая, тип ДПС-1-60 с доводчиком, фиксатором и ограничителем 1060х2050 - 1 шт. Дверь противопожарная Е60 стальная однополая, глухая, тип ДПС-1-60 с доводчиком, фиксатором и ограничителем 2260-2050 - 1 шт. </v>
      </c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X37" s="62"/>
      <c r="BY37" s="62"/>
      <c r="BZ37" s="62"/>
      <c r="CA37" s="62"/>
      <c r="CB37" s="62"/>
      <c r="CC37" s="62"/>
      <c r="CD37" s="62"/>
    </row>
    <row r="38" spans="1:82" x14ac:dyDescent="0.25">
      <c r="A38" s="8"/>
      <c r="B38" s="8"/>
      <c r="C38" s="8"/>
      <c r="D38" s="83" t="s">
        <v>25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X38" s="62"/>
      <c r="BY38" s="62"/>
      <c r="BZ38" s="62"/>
      <c r="CA38" s="62"/>
      <c r="CB38" s="62"/>
      <c r="CC38" s="62"/>
      <c r="CD38" s="62"/>
    </row>
    <row r="39" spans="1:82" x14ac:dyDescent="0.25">
      <c r="A39" s="8" t="s">
        <v>26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51"/>
      <c r="Y39" s="84" t="s">
        <v>111</v>
      </c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X39" s="62"/>
      <c r="BY39" s="62"/>
      <c r="BZ39" s="62"/>
      <c r="CA39" s="62"/>
      <c r="CB39" s="62"/>
      <c r="CC39" s="62"/>
      <c r="CD39" s="62"/>
    </row>
    <row r="40" spans="1:8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21"/>
      <c r="Y40" s="71" t="s">
        <v>27</v>
      </c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</row>
    <row r="41" spans="1:82" x14ac:dyDescent="0.25">
      <c r="A41" s="8" t="s">
        <v>28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7"/>
      <c r="AG41" s="7"/>
      <c r="AH41" s="7"/>
      <c r="AI41" s="7"/>
      <c r="AJ41" s="87" t="s">
        <v>29</v>
      </c>
      <c r="AK41" s="87"/>
      <c r="AL41" s="87"/>
      <c r="AM41" s="87"/>
      <c r="AN41" s="87"/>
      <c r="AO41" s="87"/>
      <c r="AP41" s="87"/>
      <c r="AQ41" s="87"/>
      <c r="AR41" s="87"/>
      <c r="AS41" s="87"/>
      <c r="AT41" s="88" t="s">
        <v>88</v>
      </c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X41" t="s">
        <v>102</v>
      </c>
    </row>
    <row r="42" spans="1:82" x14ac:dyDescent="0.25">
      <c r="A42" s="10" t="s">
        <v>30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22"/>
      <c r="O42" s="22"/>
      <c r="P42" s="22"/>
      <c r="Q42" s="89" t="str">
        <f>U27</f>
        <v>ПП2020РД-1.2-61.17-АР, изм.3, л. 11.</v>
      </c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X42" t="s">
        <v>103</v>
      </c>
    </row>
    <row r="43" spans="1:82" ht="36" customHeight="1" x14ac:dyDescent="0.25">
      <c r="A43" s="8"/>
      <c r="B43" s="8"/>
      <c r="C43" s="8"/>
      <c r="D43" s="10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2"/>
      <c r="X43" s="8"/>
      <c r="Y43" s="33"/>
      <c r="Z43" s="33"/>
      <c r="AA43" s="90">
        <f>AK33</f>
        <v>0</v>
      </c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</row>
    <row r="44" spans="1:82" ht="5.4" hidden="1" customHeight="1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</row>
    <row r="45" spans="1:82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77" t="s">
        <v>32</v>
      </c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</row>
    <row r="46" spans="1:82" x14ac:dyDescent="0.25">
      <c r="A46" s="8" t="s">
        <v>33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24"/>
    </row>
    <row r="47" spans="1:82" x14ac:dyDescent="0.25">
      <c r="A47" s="52"/>
      <c r="B47" s="8"/>
      <c r="C47" s="8"/>
      <c r="D47" s="8" t="s">
        <v>34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7"/>
      <c r="X47" s="7"/>
      <c r="Y47" s="7"/>
      <c r="Z47" s="7"/>
      <c r="AA47" s="52"/>
      <c r="AB47" s="7"/>
      <c r="AC47" s="52"/>
      <c r="AD47" s="92" t="s">
        <v>35</v>
      </c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</row>
    <row r="48" spans="1:82" x14ac:dyDescent="0.25">
      <c r="A48" s="8"/>
      <c r="B48" s="8"/>
      <c r="C48" s="8"/>
      <c r="D48" s="8"/>
      <c r="E48" s="8"/>
      <c r="F48" s="8"/>
      <c r="G48" s="8"/>
      <c r="H48" s="8"/>
      <c r="I48" s="8"/>
      <c r="J48" s="93" t="s">
        <v>36</v>
      </c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</row>
    <row r="49" spans="1:76" ht="12.6" customHeight="1" x14ac:dyDescent="0.25">
      <c r="A49" s="10" t="s">
        <v>37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29"/>
      <c r="W49" s="34"/>
      <c r="X49" s="30"/>
      <c r="Y49" s="94" t="str">
        <f>U27</f>
        <v>ПП2020РД-1.2-61.17-АР, изм.3, л. 11.</v>
      </c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X49" t="s">
        <v>104</v>
      </c>
    </row>
    <row r="50" spans="1:76" ht="0.6" hidden="1" customHeight="1" x14ac:dyDescent="0.2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</row>
    <row r="51" spans="1:76" ht="30" customHeight="1" x14ac:dyDescent="0.25">
      <c r="A51" s="8" t="s">
        <v>38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52"/>
      <c r="M51" s="25"/>
      <c r="N51" s="86" t="s">
        <v>114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X51" t="s">
        <v>105</v>
      </c>
    </row>
    <row r="52" spans="1:7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X52" t="s">
        <v>106</v>
      </c>
    </row>
    <row r="53" spans="1:76" x14ac:dyDescent="0.25">
      <c r="A53" s="8" t="s">
        <v>39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12"/>
    </row>
    <row r="54" spans="1:76" x14ac:dyDescent="0.25">
      <c r="A54" s="8" t="s">
        <v>12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96" t="str">
        <f>BJ17</f>
        <v>Кострова Н.Л.</v>
      </c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8"/>
      <c r="AP54" s="8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8"/>
      <c r="BG54" s="8"/>
      <c r="BH54" s="98">
        <f>AE15</f>
        <v>45334</v>
      </c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12"/>
    </row>
    <row r="55" spans="1:7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69" t="s">
        <v>75</v>
      </c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31"/>
      <c r="AP55" s="31"/>
      <c r="AQ55" s="69" t="s">
        <v>40</v>
      </c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31"/>
      <c r="BG55" s="31"/>
      <c r="BH55" s="69" t="s">
        <v>41</v>
      </c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27"/>
    </row>
    <row r="56" spans="1:76" x14ac:dyDescent="0.25">
      <c r="A56" s="8" t="s">
        <v>42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12"/>
    </row>
    <row r="57" spans="1:76" x14ac:dyDescent="0.25">
      <c r="A57" s="8" t="s">
        <v>43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6" t="str">
        <f>BJ19</f>
        <v>Халыгов Э. А.</v>
      </c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8"/>
      <c r="AP57" s="8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8"/>
      <c r="BG57" s="8"/>
      <c r="BH57" s="98">
        <f>BH54</f>
        <v>45334</v>
      </c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12"/>
    </row>
    <row r="58" spans="1:7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69" t="s">
        <v>75</v>
      </c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31"/>
      <c r="AP58" s="31"/>
      <c r="AQ58" s="69" t="s">
        <v>40</v>
      </c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31"/>
      <c r="BG58" s="31"/>
      <c r="BH58" s="69" t="s">
        <v>41</v>
      </c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12"/>
    </row>
    <row r="59" spans="1:76" x14ac:dyDescent="0.25">
      <c r="A59" s="8" t="s">
        <v>39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12"/>
    </row>
    <row r="60" spans="1:76" x14ac:dyDescent="0.25">
      <c r="A60" s="8" t="s">
        <v>44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3" t="str">
        <f>BJ21</f>
        <v>Тюкин Е.В.</v>
      </c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8"/>
      <c r="AP60" s="8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8"/>
      <c r="BG60" s="8"/>
      <c r="BH60" s="98">
        <f>BH54</f>
        <v>45334</v>
      </c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12"/>
    </row>
    <row r="61" spans="1:7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69" t="s">
        <v>75</v>
      </c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31"/>
      <c r="AP61" s="31"/>
      <c r="AQ61" s="69" t="s">
        <v>40</v>
      </c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31"/>
      <c r="BG61" s="31"/>
      <c r="BH61" s="69" t="s">
        <v>41</v>
      </c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12"/>
    </row>
    <row r="62" spans="1:76" x14ac:dyDescent="0.25">
      <c r="A62" s="13"/>
      <c r="B62" s="13"/>
      <c r="C62" s="13"/>
      <c r="D62" s="7"/>
      <c r="E62" s="7"/>
      <c r="F62" s="7"/>
      <c r="G62" s="7"/>
      <c r="H62" s="7"/>
      <c r="I62" s="7"/>
      <c r="J62" s="7"/>
      <c r="K62" s="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76" x14ac:dyDescent="0.25">
      <c r="A63" s="99" t="s">
        <v>112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8"/>
      <c r="AP63" s="8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8"/>
      <c r="BG63" s="8"/>
      <c r="BH63" s="100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12"/>
    </row>
    <row r="64" spans="1:76" x14ac:dyDescent="0.25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8"/>
      <c r="W64" s="8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8"/>
      <c r="AP64" s="8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8"/>
      <c r="BG64" s="8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2"/>
    </row>
    <row r="65" spans="1:72" x14ac:dyDescent="0.2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</sheetData>
  <mergeCells count="77">
    <mergeCell ref="A63:U65"/>
    <mergeCell ref="AQ63:BE63"/>
    <mergeCell ref="BH63:BS63"/>
    <mergeCell ref="AQ64:BE64"/>
    <mergeCell ref="BH64:BS64"/>
    <mergeCell ref="X60:AN60"/>
    <mergeCell ref="AQ60:BE60"/>
    <mergeCell ref="BH60:BS60"/>
    <mergeCell ref="X61:AN61"/>
    <mergeCell ref="AQ61:BE61"/>
    <mergeCell ref="BH61:BS61"/>
    <mergeCell ref="X57:AN57"/>
    <mergeCell ref="AQ57:BE57"/>
    <mergeCell ref="BH57:BS57"/>
    <mergeCell ref="X58:AN58"/>
    <mergeCell ref="AQ58:BE58"/>
    <mergeCell ref="BH58:BS58"/>
    <mergeCell ref="X54:AN54"/>
    <mergeCell ref="AQ54:BE54"/>
    <mergeCell ref="BH54:BS54"/>
    <mergeCell ref="X55:AN55"/>
    <mergeCell ref="AQ55:BE55"/>
    <mergeCell ref="BH55:BS55"/>
    <mergeCell ref="N51:BT51"/>
    <mergeCell ref="Y40:BT40"/>
    <mergeCell ref="AJ41:AS41"/>
    <mergeCell ref="AT41:BT41"/>
    <mergeCell ref="Q42:BT42"/>
    <mergeCell ref="AA43:BT43"/>
    <mergeCell ref="A44:BT44"/>
    <mergeCell ref="V45:BT45"/>
    <mergeCell ref="AD47:BT47"/>
    <mergeCell ref="J48:BT48"/>
    <mergeCell ref="Y49:BT49"/>
    <mergeCell ref="A50:BT50"/>
    <mergeCell ref="A31:BT31"/>
    <mergeCell ref="AK33:BT33"/>
    <mergeCell ref="A34:BT34"/>
    <mergeCell ref="BX34:CD39"/>
    <mergeCell ref="A35:BT35"/>
    <mergeCell ref="A36:BT36"/>
    <mergeCell ref="D37:BT37"/>
    <mergeCell ref="D38:BT38"/>
    <mergeCell ref="Y39:BT39"/>
    <mergeCell ref="A26:BT26"/>
    <mergeCell ref="U27:BT27"/>
    <mergeCell ref="BX27:CC30"/>
    <mergeCell ref="A28:BT28"/>
    <mergeCell ref="P29:BT29"/>
    <mergeCell ref="U30:BT30"/>
    <mergeCell ref="BX23:CD25"/>
    <mergeCell ref="E24:BT24"/>
    <mergeCell ref="D25:BT25"/>
    <mergeCell ref="A14:BT14"/>
    <mergeCell ref="AE15:AT15"/>
    <mergeCell ref="S17:BI17"/>
    <mergeCell ref="BJ17:BT17"/>
    <mergeCell ref="T18:BJ18"/>
    <mergeCell ref="S19:BI19"/>
    <mergeCell ref="BJ19:BT19"/>
    <mergeCell ref="T20:BJ20"/>
    <mergeCell ref="S21:BI21"/>
    <mergeCell ref="BJ21:BT21"/>
    <mergeCell ref="T22:BJ22"/>
    <mergeCell ref="O23:BP23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</mergeCells>
  <dataValidations count="4">
    <dataValidation type="list" errorStyle="information" allowBlank="1" showInputMessage="1" sqref="O23:BP23">
      <formula1>"выборочный,сплошной"</formula1>
    </dataValidation>
    <dataValidation type="list" allowBlank="1" showInputMessage="1" showErrorMessage="1" sqref="N23">
      <formula1>"выборочный,сплошной"</formula1>
    </dataValidation>
    <dataValidation type="list" allowBlank="1" showInputMessage="1" showErrorMessage="1" sqref="F6:H6 F3:H3">
      <formula1>"I.I,I.II,II,III,IV,V,V.I,V.II"</formula1>
    </dataValidation>
    <dataValidation type="list" showInputMessage="1" showErrorMessage="1" sqref="G7:H7">
      <formula1>"1,2"</formula1>
    </dataValidation>
  </dataValidations>
  <pageMargins left="0.59055118110236227" right="0.19685039370078741" top="0.39370078740157483" bottom="0.39370078740157483" header="0.19685039370078741" footer="0.19685039370078741"/>
  <pageSetup paperSize="9" scale="80" orientation="portrait" blackAndWhite="1" copies="4" r:id="rId1"/>
  <headerFooter>
    <oddFooter>&amp;R&amp;"Times New Roman,обычный"стр. &amp;P из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подписанты!$B$8:$B$9</xm:f>
          </x14:formula1>
          <xm:sqref>BJ21:BT21</xm:sqref>
        </x14:dataValidation>
        <x14:dataValidation type="list" allowBlank="1" showInputMessage="1" showErrorMessage="1">
          <x14:formula1>
            <xm:f>подписанты!$B$5:$B$7</xm:f>
          </x14:formula1>
          <xm:sqref>BJ19:BT19</xm:sqref>
        </x14:dataValidation>
        <x14:dataValidation type="list" allowBlank="1" showInputMessage="1" showErrorMessage="1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>
          <x14:formula1>
            <xm:f>'Лист общих данных'!$B$6:$B$15</xm:f>
          </x14:formula1>
          <xm:sqref>T27:U27</xm:sqref>
        </x14:dataValidation>
        <x14:dataValidation type="list" errorStyle="warning" allowBlank="1" showInputMessage="1" showErrorMessage="1">
          <x14:formula1>
            <xm:f>'Лист общих данных'!$A$6:$A$15</xm:f>
          </x14:formula1>
          <xm:sqref>S30:U30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1" customWidth="1"/>
    <col min="2" max="2" width="48.109375" style="1" customWidth="1"/>
    <col min="3" max="16384" width="9.109375" style="1"/>
  </cols>
  <sheetData>
    <row r="2" spans="1:2" x14ac:dyDescent="0.25">
      <c r="A2" s="1" t="s">
        <v>47</v>
      </c>
    </row>
    <row r="3" spans="1:2" x14ac:dyDescent="0.25">
      <c r="A3" s="1" t="s">
        <v>48</v>
      </c>
    </row>
    <row r="5" spans="1:2" x14ac:dyDescent="0.25">
      <c r="A5" s="2" t="s">
        <v>51</v>
      </c>
      <c r="B5" s="2" t="s">
        <v>52</v>
      </c>
    </row>
    <row r="6" spans="1:2" x14ac:dyDescent="0.25">
      <c r="A6" s="3" t="s">
        <v>53</v>
      </c>
      <c r="B6" s="1" t="s">
        <v>63</v>
      </c>
    </row>
    <row r="7" spans="1:2" ht="27.6" x14ac:dyDescent="0.25">
      <c r="A7" s="3" t="s">
        <v>54</v>
      </c>
      <c r="B7" s="1" t="s">
        <v>64</v>
      </c>
    </row>
    <row r="8" spans="1:2" x14ac:dyDescent="0.25">
      <c r="A8" s="3" t="s">
        <v>55</v>
      </c>
      <c r="B8" s="1" t="s">
        <v>65</v>
      </c>
    </row>
    <row r="9" spans="1:2" ht="27.6" x14ac:dyDescent="0.25">
      <c r="A9" s="3" t="s">
        <v>56</v>
      </c>
      <c r="B9" s="5" t="s">
        <v>66</v>
      </c>
    </row>
    <row r="10" spans="1:2" x14ac:dyDescent="0.25">
      <c r="A10" s="3" t="s">
        <v>57</v>
      </c>
      <c r="B10" s="1" t="s">
        <v>67</v>
      </c>
    </row>
    <row r="11" spans="1:2" x14ac:dyDescent="0.25">
      <c r="A11" s="3" t="s">
        <v>58</v>
      </c>
      <c r="B11" s="1" t="s">
        <v>68</v>
      </c>
    </row>
    <row r="12" spans="1:2" x14ac:dyDescent="0.25">
      <c r="A12" s="3" t="s">
        <v>59</v>
      </c>
      <c r="B12" s="1" t="s">
        <v>69</v>
      </c>
    </row>
    <row r="13" spans="1:2" ht="27.6" x14ac:dyDescent="0.25">
      <c r="A13" s="3" t="s">
        <v>60</v>
      </c>
      <c r="B13" s="4" t="s">
        <v>70</v>
      </c>
    </row>
    <row r="14" spans="1:2" ht="27.6" x14ac:dyDescent="0.25">
      <c r="A14" s="3" t="s">
        <v>61</v>
      </c>
      <c r="B14" s="6" t="s">
        <v>71</v>
      </c>
    </row>
    <row r="15" spans="1:2" ht="27.6" x14ac:dyDescent="0.25">
      <c r="A15" s="3" t="s">
        <v>62</v>
      </c>
      <c r="B15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подписанты</vt:lpstr>
      <vt:lpstr>№15.1 козырек</vt:lpstr>
      <vt:lpstr>Лист общих данных</vt:lpstr>
      <vt:lpstr>'№15.1 козырек'!Область_печати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Шульга Александр Сергеевич</cp:lastModifiedBy>
  <cp:lastPrinted>2024-10-06T13:19:25Z</cp:lastPrinted>
  <dcterms:created xsi:type="dcterms:W3CDTF">2023-09-19T09:44:50Z</dcterms:created>
  <dcterms:modified xsi:type="dcterms:W3CDTF">2024-10-22T09:54:31Z</dcterms:modified>
</cp:coreProperties>
</file>