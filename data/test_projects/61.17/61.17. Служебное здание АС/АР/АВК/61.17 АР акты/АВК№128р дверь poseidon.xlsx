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E9B3CB70-EB5F-401B-98BF-F62A9041F76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18" l="1"/>
  <c r="D36" i="18"/>
  <c r="AA42" i="18"/>
  <c r="Q41" i="18" l="1"/>
  <c r="BW15" i="18" l="1"/>
  <c r="S21" i="18" l="1"/>
  <c r="S19" i="18"/>
  <c r="S17" i="18"/>
  <c r="X58" i="18" l="1"/>
  <c r="X55" i="18"/>
  <c r="BH52" i="18"/>
  <c r="BH58" i="18" s="1"/>
  <c r="X52" i="18"/>
  <c r="Y48" i="18"/>
  <c r="BH55" i="18" l="1"/>
</calcChain>
</file>

<file path=xl/sharedStrings.xml><?xml version="1.0" encoding="utf-8"?>
<sst xmlns="http://schemas.openxmlformats.org/spreadsheetml/2006/main" count="140" uniqueCount="117">
  <si>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</si>
  <si>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</si>
  <si>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</si>
  <si>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</si>
  <si>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</si>
  <si>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</si>
  <si>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</si>
  <si>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</si>
  <si>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</si>
  <si>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</si>
  <si>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</si>
  <si>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</si>
  <si>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</si>
  <si>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</si>
  <si>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</si>
  <si>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</si>
  <si>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</si>
  <si>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</si>
  <si>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</si>
  <si>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</si>
  <si>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</si>
  <si>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</si>
  <si>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</si>
  <si>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</si>
  <si>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</si>
  <si>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</si>
  <si>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</si>
  <si>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</si>
  <si>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</si>
  <si>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</si>
  <si>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</si>
  <si>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</si>
  <si>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</si>
  <si>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</si>
  <si>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</si>
  <si>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</si>
  <si>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</si>
  <si>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</si>
  <si>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</si>
  <si>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</si>
  <si>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</si>
  <si>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</si>
  <si>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</si>
  <si>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</si>
  <si>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</si>
  <si>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</si>
  <si>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</si>
  <si>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</si>
  <si>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</si>
  <si>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</si>
  <si>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</si>
  <si>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</si>
  <si>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</si>
  <si>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</si>
  <si>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</si>
  <si>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</si>
  <si>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</si>
  <si>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</si>
  <si>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</si>
  <si>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</si>
  <si>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</si>
  <si>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</si>
  <si>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</si>
  <si>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</si>
  <si>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</si>
  <si>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</si>
  <si>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</si>
  <si>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</si>
  <si>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</si>
  <si>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</si>
  <si>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</si>
  <si>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</si>
  <si>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</si>
  <si>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</si>
  <si>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</si>
  <si>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</si>
  <si>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</si>
  <si>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</si>
  <si>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</si>
  <si>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</si>
  <si>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</si>
  <si>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</si>
  <si>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</si>
  <si>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</si>
  <si>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</si>
  <si>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</si>
  <si>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</si>
  <si>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</si>
  <si>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</si>
  <si>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</si>
  <si>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</si>
  <si>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</si>
  <si>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</si>
  <si>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</si>
  <si>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</si>
  <si>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</si>
  <si>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</si>
  <si>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</si>
  <si>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</si>
  <si>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</si>
  <si>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</si>
  <si>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</si>
  <si>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</si>
  <si>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</si>
  <si>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</si>
  <si>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</si>
  <si>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</si>
  <si>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</si>
  <si>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</si>
  <si>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Дверной блок влагостойкий POSEIDON с доводчиком, фиксатором, ограничителем, однопольный, цвет: Дуб Сонома</t>
  </si>
  <si>
    <t>АИР 1.2-61.17-АР/128р</t>
  </si>
  <si>
    <t>Дверной блок влагостойкий POSEIDON 700 x 2000: правая - 1 шт., левая - 1 шт.</t>
  </si>
  <si>
    <t>ПП2020РД-1.2-61.17-АР изм. 3 лист 11</t>
  </si>
  <si>
    <t>Ведущий инженер отдела технического надзора АО «Газстройпроект»</t>
  </si>
  <si>
    <t>ГОСТ 30970-2014, ГОСТ 475-2016, ТУ 22.33.14-001-06838218-2022</t>
  </si>
  <si>
    <t xml:space="preserve">паспорт б/н от 02.10.2023, сертификат соответствия </t>
  </si>
  <si>
    <t>№РОСС.RU.04ССН0.01057 с 29.04.2022 по 28.04.2025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</si>
</sst>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11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4" fillId="2" borderId="0" xfId="1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4" fillId="3" borderId="1" xfId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0" fontId="16" fillId="2" borderId="0" xfId="1" applyFont="1" applyFill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center" vertical="top"/>
    </xf>
    <xf numFmtId="0" fontId="12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14" fontId="14" fillId="2" borderId="0" xfId="1" applyNumberFormat="1" applyFont="1" applyFill="1" applyAlignment="1">
      <alignment horizontal="center" vertical="top" wrapText="1"/>
    </xf>
    <xf numFmtId="14" fontId="16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165" fontId="14" fillId="3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2" fillId="3" borderId="1" xfId="1" applyFont="1" applyFill="1" applyBorder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center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wrapText="1"/>
    </xf>
    <xf numFmtId="0" fontId="11" fillId="2" borderId="0" xfId="1" applyFont="1" applyFill="1" applyAlignment="1">
      <alignment horizontal="center"/>
    </xf>
    <xf numFmtId="0" fontId="16" fillId="2" borderId="0" xfId="1" applyFont="1" applyFill="1" applyAlignment="1">
      <alignment horizontal="center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28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43</xdr:row>
      <xdr:rowOff>0</xdr:rowOff>
    </xdr:from>
    <xdr:to>
      <xdr:col>75</xdr:col>
      <xdr:colOff>521970</xdr:colOff>
      <xdr:row>44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54</xdr:row>
      <xdr:rowOff>0</xdr:rowOff>
    </xdr:from>
    <xdr:to>
      <xdr:col>75</xdr:col>
      <xdr:colOff>521970</xdr:colOff>
      <xdr:row>56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63"/>
  <sheetViews>
    <sheetView tabSelected="1" view="pageBreakPreview" zoomScaleNormal="100" zoomScaleSheetLayoutView="100" workbookViewId="0">
      <selection activeCell="AE16" sqref="AE16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0" t="s">
        <v>4</v>
      </c>
      <c r="B3" s="60"/>
      <c r="C3" s="60"/>
      <c r="D3" s="60"/>
      <c r="E3" s="60"/>
      <c r="F3" s="95" t="s">
        <v>5</v>
      </c>
      <c r="G3" s="95"/>
      <c r="H3" s="95"/>
      <c r="I3" s="96" t="s">
        <v>6</v>
      </c>
      <c r="J3" s="96"/>
      <c r="K3" s="9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60"/>
      <c r="B6" s="60"/>
      <c r="C6" s="60"/>
      <c r="D6" s="60"/>
      <c r="E6" s="60"/>
      <c r="F6" s="95"/>
      <c r="G6" s="95"/>
      <c r="H6" s="95"/>
      <c r="I6" s="96"/>
      <c r="J6" s="96"/>
      <c r="K6" s="9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7" t="s">
        <v>61</v>
      </c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</row>
    <row r="7" spans="1:75" x14ac:dyDescent="0.25">
      <c r="A7" s="8"/>
      <c r="B7" s="8"/>
      <c r="C7" s="8"/>
      <c r="D7" s="8"/>
      <c r="E7" s="8"/>
      <c r="F7" s="8"/>
      <c r="G7" s="98"/>
      <c r="H7" s="98"/>
      <c r="I7" s="96"/>
      <c r="J7" s="96"/>
      <c r="K7" s="96"/>
      <c r="L7" s="96"/>
      <c r="M7" s="96"/>
      <c r="N7" s="96"/>
      <c r="O7" s="96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99" t="s">
        <v>110</v>
      </c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100" t="s">
        <v>45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101" t="s">
        <v>109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</row>
    <row r="13" spans="1:75" ht="9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5" ht="12" customHeight="1" x14ac:dyDescent="0.25">
      <c r="A14" s="105" t="s">
        <v>46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102">
        <v>45245</v>
      </c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45245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03" t="str">
        <f>VLOOKUP(BJ17,подписанты!$B$3:$C$11,2,FALSE)</f>
        <v>Руководитель группы МТО АО «Газстройпроект»</v>
      </c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 t="s">
        <v>63</v>
      </c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71" t="s">
        <v>13</v>
      </c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27"/>
      <c r="BL18" s="27"/>
      <c r="BM18" s="27"/>
      <c r="BN18" s="27"/>
      <c r="BO18" s="27"/>
      <c r="BP18" s="17"/>
      <c r="BQ18" s="17"/>
      <c r="BR18" s="17"/>
      <c r="BS18" s="17"/>
      <c r="BT18" s="17"/>
    </row>
    <row r="19" spans="1:83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09" t="str">
        <f>VLOOKUP(BJ19,подписанты!$B$3:$C$11,2,FALSE)</f>
        <v>Инженер отдела технического надзора АО «Газстройпроект»</v>
      </c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4" t="s">
        <v>68</v>
      </c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8" t="s">
        <v>13</v>
      </c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71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03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10" t="s">
        <v>91</v>
      </c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71" t="s">
        <v>13</v>
      </c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94" t="s">
        <v>89</v>
      </c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8" t="s">
        <v>17</v>
      </c>
      <c r="BR23" s="13"/>
      <c r="BS23" s="13"/>
      <c r="BT23" s="13"/>
      <c r="BY23" s="64" t="s">
        <v>80</v>
      </c>
      <c r="BZ23" s="64"/>
      <c r="CA23" s="64"/>
      <c r="CB23" s="64"/>
      <c r="CC23" s="64"/>
      <c r="CD23" s="64"/>
      <c r="CE23" s="64"/>
    </row>
    <row r="24" spans="1:83" ht="13.8" customHeight="1" x14ac:dyDescent="0.25">
      <c r="A24" s="8"/>
      <c r="B24" s="8"/>
      <c r="C24" s="8"/>
      <c r="D24" s="8"/>
      <c r="E24" s="107" t="s">
        <v>47</v>
      </c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Y24" s="64"/>
      <c r="BZ24" s="64"/>
      <c r="CA24" s="64"/>
      <c r="CB24" s="64"/>
      <c r="CC24" s="64"/>
      <c r="CD24" s="64"/>
      <c r="CE24" s="64"/>
    </row>
    <row r="25" spans="1:83" ht="16.2" customHeight="1" x14ac:dyDescent="0.25">
      <c r="A25" s="108" t="s">
        <v>111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Y25" s="58"/>
      <c r="BZ25" s="58"/>
      <c r="CA25" s="58"/>
      <c r="CB25" s="58"/>
      <c r="CC25" s="58"/>
      <c r="CD25" s="58"/>
      <c r="CE25" s="58"/>
    </row>
    <row r="26" spans="1:83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</row>
    <row r="27" spans="1:83" ht="13.8" customHeight="1" x14ac:dyDescent="0.25">
      <c r="A27" s="10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6"/>
      <c r="S27" s="8"/>
      <c r="T27" s="55"/>
      <c r="U27" s="76" t="s">
        <v>112</v>
      </c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Y27" s="64" t="s">
        <v>81</v>
      </c>
      <c r="BZ27" s="64"/>
      <c r="CA27" s="64"/>
      <c r="CB27" s="64"/>
      <c r="CC27" s="64"/>
      <c r="CD27" s="64"/>
    </row>
    <row r="28" spans="1:8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7" t="s">
        <v>19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Y28" s="64"/>
      <c r="BZ28" s="64"/>
      <c r="CA28" s="64"/>
      <c r="CB28" s="64"/>
      <c r="CC28" s="64"/>
      <c r="CD28" s="64"/>
    </row>
    <row r="29" spans="1:83" x14ac:dyDescent="0.25">
      <c r="A29" s="10" t="s">
        <v>20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1"/>
      <c r="T29" s="21"/>
      <c r="U29" s="78" t="s">
        <v>51</v>
      </c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Y29" s="64"/>
      <c r="BZ29" s="64"/>
      <c r="CA29" s="64"/>
      <c r="CB29" s="64"/>
      <c r="CC29" s="64"/>
      <c r="CD29" s="64"/>
    </row>
    <row r="30" spans="1:83" x14ac:dyDescent="0.25">
      <c r="A30" s="68" t="s">
        <v>21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</row>
    <row r="31" spans="1:83" x14ac:dyDescent="0.25">
      <c r="A31" s="8"/>
      <c r="B31" s="8"/>
      <c r="C31" s="8"/>
      <c r="D31" s="8" t="s">
        <v>22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7"/>
      <c r="AH31" s="7"/>
      <c r="AI31" s="7"/>
      <c r="AJ31" s="7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</row>
    <row r="32" spans="1:83" x14ac:dyDescent="0.25">
      <c r="A32" s="8" t="s">
        <v>23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1"/>
      <c r="AJ32" s="8"/>
      <c r="AK32" s="69" t="s">
        <v>115</v>
      </c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Y32" s="44" t="s">
        <v>82</v>
      </c>
    </row>
    <row r="33" spans="1:83" x14ac:dyDescent="0.25">
      <c r="A33" s="70" t="s">
        <v>116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Y33" s="64" t="s">
        <v>83</v>
      </c>
      <c r="BZ33" s="64"/>
      <c r="CA33" s="64"/>
      <c r="CB33" s="64"/>
      <c r="CC33" s="64"/>
      <c r="CD33" s="64"/>
      <c r="CE33" s="64"/>
    </row>
    <row r="34" spans="1:83" x14ac:dyDescent="0.25">
      <c r="A34" s="71" t="s">
        <v>24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Y34" s="64"/>
      <c r="BZ34" s="64"/>
      <c r="CA34" s="64"/>
      <c r="CB34" s="64"/>
      <c r="CC34" s="64"/>
      <c r="CD34" s="64"/>
      <c r="CE34" s="64"/>
    </row>
    <row r="35" spans="1:83" x14ac:dyDescent="0.25">
      <c r="A35" s="72" t="s">
        <v>57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Y35" s="64"/>
      <c r="BZ35" s="64"/>
      <c r="CA35" s="64"/>
      <c r="CB35" s="64"/>
      <c r="CC35" s="64"/>
      <c r="CD35" s="64"/>
      <c r="CE35" s="64"/>
    </row>
    <row r="36" spans="1:83" ht="16.8" customHeight="1" x14ac:dyDescent="0.25">
      <c r="A36" s="18" t="s">
        <v>58</v>
      </c>
      <c r="B36" s="19"/>
      <c r="C36" s="19"/>
      <c r="D36" s="65" t="str">
        <f>A25</f>
        <v>Дверной блок влагостойкий POSEIDON 700 x 2000: правая - 1 шт., левая - 1 шт.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Y36" s="64"/>
      <c r="BZ36" s="64"/>
      <c r="CA36" s="64"/>
      <c r="CB36" s="64"/>
      <c r="CC36" s="64"/>
      <c r="CD36" s="64"/>
      <c r="CE36" s="64"/>
    </row>
    <row r="37" spans="1:83" x14ac:dyDescent="0.25">
      <c r="A37" s="8"/>
      <c r="B37" s="8"/>
      <c r="C37" s="8"/>
      <c r="D37" s="67" t="s">
        <v>25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Y37" s="64"/>
      <c r="BZ37" s="64"/>
      <c r="CA37" s="64"/>
      <c r="CB37" s="64"/>
      <c r="CC37" s="64"/>
      <c r="CD37" s="64"/>
      <c r="CE37" s="64"/>
    </row>
    <row r="38" spans="1:83" x14ac:dyDescent="0.25">
      <c r="A38" s="8" t="s">
        <v>26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33"/>
      <c r="Y38" s="80" t="s">
        <v>108</v>
      </c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Y38" s="64"/>
      <c r="BZ38" s="64"/>
      <c r="CA38" s="64"/>
      <c r="CB38" s="64"/>
      <c r="CC38" s="64"/>
      <c r="CD38" s="64"/>
      <c r="CE38" s="64"/>
    </row>
    <row r="39" spans="1:8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0"/>
      <c r="Y39" s="68" t="s">
        <v>27</v>
      </c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Y39" s="64"/>
      <c r="BZ39" s="64"/>
      <c r="CA39" s="64"/>
      <c r="CB39" s="64"/>
      <c r="CC39" s="64"/>
      <c r="CD39" s="64"/>
      <c r="CE39" s="64"/>
    </row>
    <row r="40" spans="1:83" x14ac:dyDescent="0.25">
      <c r="A40" s="8" t="s">
        <v>28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7"/>
      <c r="AG40" s="7"/>
      <c r="AH40" s="7"/>
      <c r="AI40" s="7"/>
      <c r="AJ40" s="86" t="s">
        <v>29</v>
      </c>
      <c r="AK40" s="86"/>
      <c r="AL40" s="86"/>
      <c r="AM40" s="86"/>
      <c r="AN40" s="86"/>
      <c r="AO40" s="86"/>
      <c r="AP40" s="86"/>
      <c r="AQ40" s="86"/>
      <c r="AR40" s="86"/>
      <c r="AS40" s="86"/>
      <c r="AT40" s="87" t="s">
        <v>72</v>
      </c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Y40" s="64"/>
      <c r="BZ40" s="64"/>
      <c r="CA40" s="64"/>
      <c r="CB40" s="64"/>
      <c r="CC40" s="64"/>
      <c r="CD40" s="64"/>
      <c r="CE40" s="64"/>
    </row>
    <row r="41" spans="1:83" x14ac:dyDescent="0.25">
      <c r="A41" s="10" t="s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5"/>
      <c r="O41" s="55"/>
      <c r="P41" s="55"/>
      <c r="Q41" s="88" t="str">
        <f>U27</f>
        <v>ПП2020РД-1.2-61.17-АР изм. 3 лист 11</v>
      </c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57"/>
      <c r="BY41" s="64"/>
      <c r="BZ41" s="64"/>
      <c r="CA41" s="64"/>
      <c r="CB41" s="64"/>
      <c r="CC41" s="64"/>
      <c r="CD41" s="64"/>
      <c r="CE41" s="64"/>
    </row>
    <row r="42" spans="1:83" x14ac:dyDescent="0.25">
      <c r="A42" s="8"/>
      <c r="B42" s="8"/>
      <c r="C42" s="8"/>
      <c r="D42" s="10" t="s">
        <v>31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1"/>
      <c r="X42" s="8"/>
      <c r="Y42" s="32"/>
      <c r="Z42" s="32"/>
      <c r="AA42" s="89" t="str">
        <f>AK32</f>
        <v xml:space="preserve">паспорт б/н от 02.10.2023, сертификат соответствия </v>
      </c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Y42" s="64"/>
      <c r="BZ42" s="64"/>
      <c r="CA42" s="64"/>
      <c r="CB42" s="64"/>
      <c r="CC42" s="64"/>
      <c r="CD42" s="64"/>
      <c r="CE42" s="64"/>
    </row>
    <row r="43" spans="1:83" x14ac:dyDescent="0.25">
      <c r="A43" s="90" t="str">
        <f>A33</f>
        <v>№РОСС.RU.04ССН0.01057 с 29.04.2022 по 28.04.2025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</row>
    <row r="44" spans="1:83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82" t="s">
        <v>32</v>
      </c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Y44" t="s">
        <v>84</v>
      </c>
    </row>
    <row r="45" spans="1:83" x14ac:dyDescent="0.25">
      <c r="A45" s="8" t="s">
        <v>33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23"/>
      <c r="BY45" t="s">
        <v>85</v>
      </c>
    </row>
    <row r="46" spans="1:83" x14ac:dyDescent="0.25">
      <c r="A46" s="34"/>
      <c r="B46" s="8"/>
      <c r="C46" s="8"/>
      <c r="D46" s="8" t="s">
        <v>34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7"/>
      <c r="X46" s="7"/>
      <c r="Y46" s="7"/>
      <c r="Z46" s="7"/>
      <c r="AA46" s="34"/>
      <c r="AB46" s="7"/>
      <c r="AC46" s="34"/>
      <c r="AD46" s="83" t="s">
        <v>35</v>
      </c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</row>
    <row r="47" spans="1:83" x14ac:dyDescent="0.25">
      <c r="A47" s="8"/>
      <c r="B47" s="8"/>
      <c r="C47" s="8"/>
      <c r="D47" s="8"/>
      <c r="E47" s="8"/>
      <c r="F47" s="8"/>
      <c r="G47" s="8"/>
      <c r="H47" s="8"/>
      <c r="I47" s="8"/>
      <c r="J47" s="85" t="s">
        <v>36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</row>
    <row r="48" spans="1:83" x14ac:dyDescent="0.25">
      <c r="A48" s="10" t="s">
        <v>37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28"/>
      <c r="W48" s="35"/>
      <c r="X48" s="29"/>
      <c r="Y48" s="79" t="str">
        <f>U27</f>
        <v>ПП2020РД-1.2-61.17-АР изм. 3 лист 11</v>
      </c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</row>
    <row r="49" spans="1:77" x14ac:dyDescent="0.25">
      <c r="A49" s="8" t="s">
        <v>38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34"/>
      <c r="M49" s="24"/>
      <c r="N49" s="84" t="s">
        <v>114</v>
      </c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</row>
    <row r="50" spans="1:7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</row>
    <row r="51" spans="1:77" x14ac:dyDescent="0.25">
      <c r="A51" s="8" t="s">
        <v>39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12"/>
    </row>
    <row r="52" spans="1:77" x14ac:dyDescent="0.25">
      <c r="A52" s="8" t="s">
        <v>12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1" t="str">
        <f>BJ17</f>
        <v>Кострова Н.Л.</v>
      </c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8"/>
      <c r="AP52" s="8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8"/>
      <c r="BG52" s="8"/>
      <c r="BH52" s="93">
        <f>AE15</f>
        <v>45245</v>
      </c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12"/>
    </row>
    <row r="53" spans="1:7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1" t="s">
        <v>59</v>
      </c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30"/>
      <c r="AP53" s="30"/>
      <c r="AQ53" s="71" t="s">
        <v>40</v>
      </c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30"/>
      <c r="BG53" s="30"/>
      <c r="BH53" s="71" t="s">
        <v>41</v>
      </c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26"/>
    </row>
    <row r="54" spans="1:77" x14ac:dyDescent="0.25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12"/>
    </row>
    <row r="55" spans="1:77" x14ac:dyDescent="0.25">
      <c r="A55" s="8" t="s">
        <v>43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1" t="str">
        <f>BJ19</f>
        <v>Халыгов Э. А.</v>
      </c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8"/>
      <c r="AP55" s="8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8"/>
      <c r="BG55" s="8"/>
      <c r="BH55" s="93">
        <f>BH52</f>
        <v>45245</v>
      </c>
      <c r="BI55" s="94"/>
      <c r="BJ55" s="94"/>
      <c r="BK55" s="94"/>
      <c r="BL55" s="94"/>
      <c r="BM55" s="94"/>
      <c r="BN55" s="94"/>
      <c r="BO55" s="94"/>
      <c r="BP55" s="94"/>
      <c r="BQ55" s="94"/>
      <c r="BR55" s="94"/>
      <c r="BS55" s="94"/>
      <c r="BT55" s="12"/>
      <c r="BY55" t="s">
        <v>86</v>
      </c>
    </row>
    <row r="56" spans="1:7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71" t="s">
        <v>59</v>
      </c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30"/>
      <c r="AP56" s="30"/>
      <c r="AQ56" s="71" t="s">
        <v>40</v>
      </c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30"/>
      <c r="BG56" s="30"/>
      <c r="BH56" s="71" t="s">
        <v>41</v>
      </c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12"/>
    </row>
    <row r="57" spans="1:77" ht="16.2" customHeight="1" x14ac:dyDescent="0.25">
      <c r="A57" s="8" t="s">
        <v>39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12"/>
      <c r="BY57" t="s">
        <v>87</v>
      </c>
    </row>
    <row r="58" spans="1:77" x14ac:dyDescent="0.25">
      <c r="A58" s="8" t="s">
        <v>44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4" t="str">
        <f>BJ21</f>
        <v>Тюкин Е.В.</v>
      </c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8"/>
      <c r="AP58" s="8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8"/>
      <c r="BG58" s="8"/>
      <c r="BH58" s="93">
        <f>BH52</f>
        <v>45245</v>
      </c>
      <c r="BI58" s="94"/>
      <c r="BJ58" s="94"/>
      <c r="BK58" s="94"/>
      <c r="BL58" s="94"/>
      <c r="BM58" s="94"/>
      <c r="BN58" s="94"/>
      <c r="BO58" s="94"/>
      <c r="BP58" s="94"/>
      <c r="BQ58" s="94"/>
      <c r="BR58" s="94"/>
      <c r="BS58" s="94"/>
      <c r="BT58" s="12"/>
      <c r="BY58" t="s">
        <v>88</v>
      </c>
    </row>
    <row r="59" spans="1:7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71" t="s">
        <v>59</v>
      </c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30"/>
      <c r="AP59" s="30"/>
      <c r="AQ59" s="71" t="s">
        <v>40</v>
      </c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30"/>
      <c r="BG59" s="30"/>
      <c r="BH59" s="71" t="s">
        <v>41</v>
      </c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12"/>
    </row>
    <row r="60" spans="1:77" x14ac:dyDescent="0.25">
      <c r="A60" s="13"/>
      <c r="B60" s="13"/>
      <c r="C60" s="13"/>
      <c r="D60" s="7"/>
      <c r="E60" s="7"/>
      <c r="F60" s="7"/>
      <c r="G60" s="7"/>
      <c r="H60" s="7"/>
      <c r="I60" s="7"/>
      <c r="J60" s="7"/>
      <c r="K60" s="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12"/>
    </row>
    <row r="61" spans="1:77" ht="13.8" customHeight="1" x14ac:dyDescent="0.25">
      <c r="A61" s="63" t="s">
        <v>107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13"/>
      <c r="AN61" s="13"/>
      <c r="AO61" s="8"/>
      <c r="AP61" s="8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8"/>
      <c r="BG61" s="8"/>
      <c r="BH61" s="61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12"/>
    </row>
    <row r="62" spans="1:77" x14ac:dyDescent="0.2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10"/>
      <c r="AN62" s="10"/>
      <c r="AO62" s="8"/>
      <c r="AP62" s="8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8"/>
      <c r="BG62" s="8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12"/>
    </row>
    <row r="63" spans="1:77" ht="16.8" customHeight="1" x14ac:dyDescent="0.2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12"/>
    </row>
  </sheetData>
  <mergeCells count="76">
    <mergeCell ref="S19:BI19"/>
    <mergeCell ref="BJ19:BT19"/>
    <mergeCell ref="T20:BJ20"/>
    <mergeCell ref="S21:BI21"/>
    <mergeCell ref="BJ21:BT21"/>
    <mergeCell ref="T22:BJ22"/>
    <mergeCell ref="O23:BP23"/>
    <mergeCell ref="AK31:BT31"/>
    <mergeCell ref="E24:BT24"/>
    <mergeCell ref="A25:BT25"/>
    <mergeCell ref="A12:BT12"/>
    <mergeCell ref="AE15:AT15"/>
    <mergeCell ref="T18:BJ18"/>
    <mergeCell ref="S17:BI17"/>
    <mergeCell ref="BJ17:BT17"/>
    <mergeCell ref="A14:BT14"/>
    <mergeCell ref="AH6:BT7"/>
    <mergeCell ref="G7:H7"/>
    <mergeCell ref="I7:O7"/>
    <mergeCell ref="AF9:AW9"/>
    <mergeCell ref="A10:BT10"/>
    <mergeCell ref="A3:E3"/>
    <mergeCell ref="F3:H3"/>
    <mergeCell ref="I3:K3"/>
    <mergeCell ref="A6:E6"/>
    <mergeCell ref="F6:H6"/>
    <mergeCell ref="I6:K6"/>
    <mergeCell ref="X59:AN59"/>
    <mergeCell ref="AQ59:BE59"/>
    <mergeCell ref="BH59:BS59"/>
    <mergeCell ref="X56:AN56"/>
    <mergeCell ref="AQ56:BE56"/>
    <mergeCell ref="BH56:BS56"/>
    <mergeCell ref="X55:AN55"/>
    <mergeCell ref="AQ55:BE55"/>
    <mergeCell ref="BH55:BS55"/>
    <mergeCell ref="X58:AN58"/>
    <mergeCell ref="AQ58:BE58"/>
    <mergeCell ref="BH58:BS58"/>
    <mergeCell ref="X52:AN52"/>
    <mergeCell ref="AQ52:BE52"/>
    <mergeCell ref="BH52:BS52"/>
    <mergeCell ref="X53:AN53"/>
    <mergeCell ref="AQ53:BE53"/>
    <mergeCell ref="BH53:BS53"/>
    <mergeCell ref="Y48:BT48"/>
    <mergeCell ref="Y38:BT38"/>
    <mergeCell ref="V44:BT44"/>
    <mergeCell ref="AD46:BT46"/>
    <mergeCell ref="N49:BT49"/>
    <mergeCell ref="J47:BT47"/>
    <mergeCell ref="Y39:BT39"/>
    <mergeCell ref="AJ40:AS40"/>
    <mergeCell ref="AT40:BT40"/>
    <mergeCell ref="Q41:BT41"/>
    <mergeCell ref="AA42:BT42"/>
    <mergeCell ref="A43:BT43"/>
    <mergeCell ref="BY23:CE24"/>
    <mergeCell ref="BY27:CD29"/>
    <mergeCell ref="BY33:CE42"/>
    <mergeCell ref="D36:BT36"/>
    <mergeCell ref="D37:BT37"/>
    <mergeCell ref="A30:BT30"/>
    <mergeCell ref="AK32:BT32"/>
    <mergeCell ref="A33:BT33"/>
    <mergeCell ref="A34:BT34"/>
    <mergeCell ref="A35:BT35"/>
    <mergeCell ref="A26:BT26"/>
    <mergeCell ref="U27:BT27"/>
    <mergeCell ref="P28:BT28"/>
    <mergeCell ref="U29:BT29"/>
    <mergeCell ref="AQ61:BE61"/>
    <mergeCell ref="BH61:BS61"/>
    <mergeCell ref="AQ62:BE62"/>
    <mergeCell ref="BH62:BS62"/>
    <mergeCell ref="A61:AL63"/>
  </mergeCells>
  <phoneticPr fontId="21" type="noConversion"/>
  <dataValidations count="4">
    <dataValidation type="list" errorStyle="information" allowBlank="1" showInputMessage="1" sqref="O23:BP23" xr:uid="{00000000-0002-0000-0000-000000000000}">
      <formula1>"выборочный,сплошной"</formula1>
    </dataValidation>
    <dataValidation type="list" allowBlank="1" showInputMessage="1" showErrorMessage="1" sqref="N23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1" manualBreakCount="1">
    <brk id="63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T27:U27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S29:U29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topLeftCell="B1" workbookViewId="0">
      <selection activeCell="C7" sqref="C7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79</v>
      </c>
      <c r="C6" s="59" t="s">
        <v>113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92</v>
      </c>
      <c r="C7" s="38" t="s">
        <v>67</v>
      </c>
      <c r="D7" s="39">
        <v>45278</v>
      </c>
      <c r="E7" s="39">
        <v>45342</v>
      </c>
      <c r="F7" s="47" t="s">
        <v>93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91</v>
      </c>
      <c r="C9" s="46" t="s">
        <v>90</v>
      </c>
      <c r="F9" s="53" t="s">
        <v>94</v>
      </c>
    </row>
    <row r="11" spans="1:6" x14ac:dyDescent="0.25">
      <c r="A11" s="37"/>
    </row>
    <row r="12" spans="1:6" x14ac:dyDescent="0.25">
      <c r="A12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98</v>
      </c>
      <c r="B5" s="2" t="s">
        <v>48</v>
      </c>
      <c r="C5" s="2" t="s">
        <v>49</v>
      </c>
      <c r="D5" s="2" t="s">
        <v>106</v>
      </c>
    </row>
    <row r="6" spans="1:4" ht="27.6" x14ac:dyDescent="0.25">
      <c r="A6" s="6" t="s">
        <v>95</v>
      </c>
      <c r="B6" s="3" t="s">
        <v>50</v>
      </c>
      <c r="C6" s="5" t="s">
        <v>99</v>
      </c>
    </row>
    <row r="7" spans="1:4" x14ac:dyDescent="0.25">
      <c r="A7" s="6" t="s">
        <v>96</v>
      </c>
      <c r="B7" s="3" t="s">
        <v>51</v>
      </c>
      <c r="C7" s="1" t="s">
        <v>100</v>
      </c>
    </row>
    <row r="8" spans="1:4" x14ac:dyDescent="0.25">
      <c r="A8" s="6" t="s">
        <v>97</v>
      </c>
      <c r="B8" s="3" t="s">
        <v>52</v>
      </c>
      <c r="C8" s="1" t="s">
        <v>101</v>
      </c>
    </row>
    <row r="9" spans="1:4" x14ac:dyDescent="0.25">
      <c r="A9" s="6">
        <v>56</v>
      </c>
      <c r="B9" s="3" t="s">
        <v>53</v>
      </c>
      <c r="C9" s="1" t="s">
        <v>102</v>
      </c>
    </row>
    <row r="10" spans="1:4" ht="27.6" x14ac:dyDescent="0.25">
      <c r="A10" s="6">
        <v>57</v>
      </c>
      <c r="B10" s="3" t="s">
        <v>54</v>
      </c>
      <c r="C10" s="4" t="s">
        <v>103</v>
      </c>
    </row>
    <row r="11" spans="1:4" ht="27.6" x14ac:dyDescent="0.25">
      <c r="A11" s="6">
        <v>110</v>
      </c>
      <c r="B11" s="3" t="s">
        <v>55</v>
      </c>
      <c r="C11" s="6" t="s">
        <v>104</v>
      </c>
    </row>
    <row r="12" spans="1:4" ht="27.6" x14ac:dyDescent="0.25">
      <c r="A12" s="6">
        <v>111</v>
      </c>
      <c r="B12" s="3" t="s">
        <v>56</v>
      </c>
      <c r="C12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2025-05-20T13:28:49Z</cp:lastPrinted>
  <dcterms:created xsi:type="dcterms:W3CDTF">2023-09-19T09:44:50Z</dcterms:created>
  <dcterms:modified xsi:type="dcterms:W3CDTF">2025-05-20T13:30:32Z</dcterms:modified>
</cp:coreProperties>
</file>