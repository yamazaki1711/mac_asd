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Проект сметы " sheetId="14" r:id="rId1"/>
  </sheets>
  <definedNames>
    <definedName name="_xlnm.Print_Area" localSheetId="0">'Проект сметы '!$A$1:$F$313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<sst xmlns="http://schemas.openxmlformats.org/spreadsheetml/2006/main" count="722" uniqueCount="501">
  <si>
    <t>"Утверждаю"</t>
  </si>
  <si>
    <t>Начальник КГКУ "Камчатуправтодор"</t>
  </si>
  <si>
    <t>______________________Щегловский В.С.</t>
  </si>
  <si>
    <t>Проект Сметы контракта</t>
  </si>
  <si>
    <t>Наименование объекта: Строительство причальных сооружений через протоку Озерная в Усть-Камчатском районе Камчатского края</t>
  </si>
  <si>
    <t>№ п/п</t>
  </si>
  <si>
    <t>Наименование конструктивных решений (элементов), комплексов (видов) работ</t>
  </si>
  <si>
    <t>Ед. идм.</t>
  </si>
  <si>
    <t>Кол-во</t>
  </si>
  <si>
    <t>Единичная расценка, руб</t>
  </si>
  <si>
    <t>Общая стоимость, руб</t>
  </si>
  <si>
    <t>1</t>
  </si>
  <si>
    <t>3</t>
  </si>
  <si>
    <t>4</t>
  </si>
  <si>
    <t>5</t>
  </si>
  <si>
    <t>6</t>
  </si>
  <si>
    <t>7</t>
  </si>
  <si>
    <t>Глава 1. Подготовка территории строительства</t>
  </si>
  <si>
    <t>Раздел 1.1. Восстановление оси трассы</t>
  </si>
  <si>
    <t>01.01.1</t>
  </si>
  <si>
    <t>Восстановление оси трассы  (правый берег)</t>
  </si>
  <si>
    <t>км</t>
  </si>
  <si>
    <t>01.01.2</t>
  </si>
  <si>
    <t>Восстановление оси трассы  (левый берег)</t>
  </si>
  <si>
    <t xml:space="preserve">Итого: раздел 1.1. </t>
  </si>
  <si>
    <t>Раздел 1.2. Демонтаж конструкций причального сооружения. Правый берег</t>
  </si>
  <si>
    <t>01.02.1</t>
  </si>
  <si>
    <t>Демонтаж существующего деревянного причала (правый берег) с погрузкой и транспортировкой на расстояние до 9 км</t>
  </si>
  <si>
    <t>комплекс</t>
  </si>
  <si>
    <t>01.02.2</t>
  </si>
  <si>
    <t>Демонтаж существующего пирса (правый берег) с погрузкой и транспортировкой на расстояние до 9 км</t>
  </si>
  <si>
    <t xml:space="preserve">Итого: раздел 1.2. </t>
  </si>
  <si>
    <t>Раздел 1.3. Демонтаж конструкций причала левого берега.</t>
  </si>
  <si>
    <t>Раздел 1.3.1 Временный пирс (судно-лихтер)</t>
  </si>
  <si>
    <t>01.03.1</t>
  </si>
  <si>
    <t xml:space="preserve">Срезка надстроек, возвышающихся над уровнем воды </t>
  </si>
  <si>
    <t>м</t>
  </si>
  <si>
    <t>01.03.2</t>
  </si>
  <si>
    <t>Откачка воды из корпуса судна-лихтера передвижным насосом</t>
  </si>
  <si>
    <t>м3</t>
  </si>
  <si>
    <t>01.03.3</t>
  </si>
  <si>
    <t>Очистка трюма судна-лихтера от грунта</t>
  </si>
  <si>
    <t>01.03.4</t>
  </si>
  <si>
    <t>Выравнивание берега до пляжного откоса</t>
  </si>
  <si>
    <t>01.03.5</t>
  </si>
  <si>
    <t>Забивка свай фундамента анкерной опоры</t>
  </si>
  <si>
    <t>т</t>
  </si>
  <si>
    <t>01.03.6</t>
  </si>
  <si>
    <t>Монтаж анкерной опоры в виде ростверка</t>
  </si>
  <si>
    <t>01.03.7</t>
  </si>
  <si>
    <t>Откачка воды из трюма лихтера</t>
  </si>
  <si>
    <t>01.03.8</t>
  </si>
  <si>
    <t>Вытаскивание корпуса судна-лихтера на берег</t>
  </si>
  <si>
    <t>01.03.9</t>
  </si>
  <si>
    <t>Демонтаж анкерных опор в виде ростверка</t>
  </si>
  <si>
    <t>01.03.10</t>
  </si>
  <si>
    <t>Демонтаж  свай</t>
  </si>
  <si>
    <t>01.03.11</t>
  </si>
  <si>
    <t>Перевозка автосамосвалами металлолома на расстояние до 10 км</t>
  </si>
  <si>
    <t>Итого по Разделу 1.3.1</t>
  </si>
  <si>
    <t>Раздел 1.3.2 Временный причал (плашкоут)</t>
  </si>
  <si>
    <t>01.03.12</t>
  </si>
  <si>
    <t>Очистка корпуса плашкоута от грунта экскаватором</t>
  </si>
  <si>
    <t>01.03.13</t>
  </si>
  <si>
    <t>Откачка воды из корпуса плашкоута насосами</t>
  </si>
  <si>
    <t>01.03.14</t>
  </si>
  <si>
    <t xml:space="preserve">Вытаскивание корпуса плашкоута на берег </t>
  </si>
  <si>
    <t>01.03.15</t>
  </si>
  <si>
    <t>Итого по Разделу 1.3.2</t>
  </si>
  <si>
    <t>Итого по Разделу 1.3.</t>
  </si>
  <si>
    <t>Раздел 1.4. Демонтаж существущего обустройства</t>
  </si>
  <si>
    <t>01.04.1</t>
  </si>
  <si>
    <t>Демонтаж дорожных знаков на металлических стойках с транспортировкой на полигон ТБО на расстояние до 9 км</t>
  </si>
  <si>
    <t>шт</t>
  </si>
  <si>
    <t xml:space="preserve">Итого: раздел 1.4. </t>
  </si>
  <si>
    <t>Итого: Глава 1.</t>
  </si>
  <si>
    <t>Глава 2. Причальное сооружение  (правый берег)</t>
  </si>
  <si>
    <t>Раздел 2.1. Конструктивные элементы (правый берег)</t>
  </si>
  <si>
    <t>Причал</t>
  </si>
  <si>
    <t>02.01.1</t>
  </si>
  <si>
    <t xml:space="preserve">Погружение вертикальных свай С-1 </t>
  </si>
  <si>
    <t>тн</t>
  </si>
  <si>
    <t>02.01.2</t>
  </si>
  <si>
    <t xml:space="preserve">Погружение вертикальных свай С-2 </t>
  </si>
  <si>
    <t>02.01.3</t>
  </si>
  <si>
    <t xml:space="preserve">Погружение наклонных свай С-3 </t>
  </si>
  <si>
    <t>02.01.4</t>
  </si>
  <si>
    <t>Сваи из стальных труб d=630 мм, толщина стенки 12 мм</t>
  </si>
  <si>
    <t>02.01.5</t>
  </si>
  <si>
    <t>Установка арматурного каркаса</t>
  </si>
  <si>
    <t>02.01.6</t>
  </si>
  <si>
    <t>Арматурные каркасы</t>
  </si>
  <si>
    <t>02.01.7</t>
  </si>
  <si>
    <t>Заполнение свай бетоном</t>
  </si>
  <si>
    <t>02.01.8</t>
  </si>
  <si>
    <t xml:space="preserve">Погружение шпунтов </t>
  </si>
  <si>
    <t>02.01.9</t>
  </si>
  <si>
    <t>Нанесение вручную праймера на стальную надвобную поверхность сваи (шпунта)</t>
  </si>
  <si>
    <r>
      <rPr>
        <sz val="12"/>
        <rFont val="Times New Roman"/>
        <charset val="204"/>
      </rPr>
      <t>м</t>
    </r>
    <r>
      <rPr>
        <vertAlign val="superscript"/>
        <sz val="12"/>
        <rFont val="Times New Roman"/>
        <charset val="204"/>
      </rPr>
      <t>2</t>
    </r>
  </si>
  <si>
    <t>02.01.10</t>
  </si>
  <si>
    <t>Нанесение обматыванием по спирали ленты на надводную поверхность стальной сваи</t>
  </si>
  <si>
    <t>02.01.11</t>
  </si>
  <si>
    <t xml:space="preserve">Монтаж кожуха на надводную поверхность стальной сваи </t>
  </si>
  <si>
    <t>02.01.12</t>
  </si>
  <si>
    <t xml:space="preserve">Нанесение мастики на подготовленную стальную поверхность над водой </t>
  </si>
  <si>
    <t>02.01.13</t>
  </si>
  <si>
    <t>Устройство наголовника свай НС-1, НС-2, НС-3</t>
  </si>
  <si>
    <t>02.01.14</t>
  </si>
  <si>
    <t>Устройство связи СВ-1, СВ-2, СВ-3 на причале (стальная конструкция)</t>
  </si>
  <si>
    <t>Возведение верхнего строения пирса</t>
  </si>
  <si>
    <t>02.01.15</t>
  </si>
  <si>
    <t>Устройство связи СВ-1, СВ-4, СВ-5 на пирсе (стальная конструкция)</t>
  </si>
  <si>
    <t>02.01.16</t>
  </si>
  <si>
    <t>Омоноличивание оголовока пирса</t>
  </si>
  <si>
    <r>
      <rPr>
        <sz val="12"/>
        <rFont val="Times New Roman"/>
        <charset val="204"/>
      </rPr>
      <t>м</t>
    </r>
    <r>
      <rPr>
        <vertAlign val="superscript"/>
        <sz val="12"/>
        <rFont val="Times New Roman"/>
        <charset val="204"/>
      </rPr>
      <t>3</t>
    </r>
  </si>
  <si>
    <t>16</t>
  </si>
  <si>
    <t>02.01.17</t>
  </si>
  <si>
    <t>Устройство антисейсмических швов</t>
  </si>
  <si>
    <t>02.01.18</t>
  </si>
  <si>
    <t>Армирование оголовка пирса</t>
  </si>
  <si>
    <t>02.01.19</t>
  </si>
  <si>
    <t>Монтаж каркаса поддерживающего КП-1 из арматуры</t>
  </si>
  <si>
    <t>0,46</t>
  </si>
  <si>
    <t>02.01.20</t>
  </si>
  <si>
    <t>Омоноличивание верхнего строения пирса</t>
  </si>
  <si>
    <t>02.01.21</t>
  </si>
  <si>
    <t>Устройство колесоотбойников пирса</t>
  </si>
  <si>
    <t>8,1</t>
  </si>
  <si>
    <t>Возведение верхнего строения причала</t>
  </si>
  <si>
    <t>02.01.22</t>
  </si>
  <si>
    <t>Омоноличивание верхнего строения причала</t>
  </si>
  <si>
    <t>237</t>
  </si>
  <si>
    <t>02.01.23</t>
  </si>
  <si>
    <t>02.01.24</t>
  </si>
  <si>
    <t>Устройство колесоотбойников</t>
  </si>
  <si>
    <t>4,2</t>
  </si>
  <si>
    <r>
      <rPr>
        <b/>
        <i/>
        <sz val="12"/>
        <rFont val="Times New Roman"/>
        <charset val="204"/>
      </rPr>
      <t>Поддерживающий каркас</t>
    </r>
  </si>
  <si>
    <t>02.01.25</t>
  </si>
  <si>
    <t>02.01.26</t>
  </si>
  <si>
    <t>Устройство монолитного железобетонного массива</t>
  </si>
  <si>
    <t>55</t>
  </si>
  <si>
    <t>02.01.27</t>
  </si>
  <si>
    <t xml:space="preserve">Устройство бетонной подготовки </t>
  </si>
  <si>
    <t>11</t>
  </si>
  <si>
    <t>02.01.28</t>
  </si>
  <si>
    <t>Укрепление подпричального откоса камнем</t>
  </si>
  <si>
    <t>02.01.29</t>
  </si>
  <si>
    <t>Обваловка свай пирса камнем</t>
  </si>
  <si>
    <t>328</t>
  </si>
  <si>
    <r>
      <rPr>
        <b/>
        <i/>
        <sz val="12"/>
        <rFont val="Times New Roman"/>
        <charset val="204"/>
      </rPr>
      <t>Элементы обустройства</t>
    </r>
  </si>
  <si>
    <t>02.01.30</t>
  </si>
  <si>
    <t>Монтаж шлагбаума</t>
  </si>
  <si>
    <t>02.01.31</t>
  </si>
  <si>
    <t>Установка стального перильного ограждения</t>
  </si>
  <si>
    <t>02.01.32</t>
  </si>
  <si>
    <t>Навеска отбойных устройств</t>
  </si>
  <si>
    <t>02.01.33</t>
  </si>
  <si>
    <t xml:space="preserve">Монтаж стальных скоб-трапов </t>
  </si>
  <si>
    <t>02.01.34</t>
  </si>
  <si>
    <t>Установка швартовых тумб</t>
  </si>
  <si>
    <t>02.01.35</t>
  </si>
  <si>
    <t xml:space="preserve">Установка светодиодных сигнальных огоней для причалов </t>
  </si>
  <si>
    <t>шт.</t>
  </si>
  <si>
    <t>Итого: раздел 2.1.</t>
  </si>
  <si>
    <t xml:space="preserve">Раздел 2.2. Дноуглубительные работы </t>
  </si>
  <si>
    <t>02.02.1</t>
  </si>
  <si>
    <t xml:space="preserve">Дноуглубительные работы </t>
  </si>
  <si>
    <t>1249</t>
  </si>
  <si>
    <t xml:space="preserve">Итого: раздел 2.2. </t>
  </si>
  <si>
    <t>Раздел 2.3. Перенос автобусного павильона для пассажиров. Правый берег</t>
  </si>
  <si>
    <t>02.03.1</t>
  </si>
  <si>
    <t>Демонтаж существующего автопавильона с погрузкой  и транспортировкой на временную площадку складирования</t>
  </si>
  <si>
    <t>02.03.2</t>
  </si>
  <si>
    <t>Погрузка и доставка элементов существующего автопавильона от временной площадки складирования до места работ</t>
  </si>
  <si>
    <t>02.03.3</t>
  </si>
  <si>
    <t xml:space="preserve">Монтаж железобетонного автобусного павильона с установкой скамьи, урны </t>
  </si>
  <si>
    <t xml:space="preserve">Итого: раздел 2.3. </t>
  </si>
  <si>
    <t>Раздел 2.4. Подъездная дорога. Правый берег</t>
  </si>
  <si>
    <t xml:space="preserve">Раздел 2.4.1 Восстановление покрытия </t>
  </si>
  <si>
    <t xml:space="preserve">Замена пучинистого основания </t>
  </si>
  <si>
    <t>02.04.1</t>
  </si>
  <si>
    <t xml:space="preserve">Фрезеровка существующего асфальтобетона с погрузкой в автосамосвалы и транспортировкой до 9 км </t>
  </si>
  <si>
    <t>130</t>
  </si>
  <si>
    <t>02.04.2</t>
  </si>
  <si>
    <t>Разработка грунта 1 группы, y=1,70 т/м3, экскаватором с емкостью ковша 1,0 м3 с последующей погрузкой в автосамосвалы и транспортировкой до 9 км</t>
  </si>
  <si>
    <t>02.04.3</t>
  </si>
  <si>
    <t>Разработка крупнообломочного грунта 4 группы y=2,26 т/м3 экскаватором емкостью ковша 1,0 м3 с погрузкой и транспортировкой на расстояние до 43 км в основание дорожной одежды из карьера (км 381 а/д Мильково-Ключи-Усть-Камчатск)</t>
  </si>
  <si>
    <t>02.04.4</t>
  </si>
  <si>
    <t xml:space="preserve">Уплотнение грунта </t>
  </si>
  <si>
    <r>
      <rPr>
        <b/>
        <i/>
        <sz val="12"/>
        <rFont val="Times New Roman"/>
        <charset val="204"/>
      </rPr>
      <t>Устройство новой дорожной на сопряжении с причальным сооружением</t>
    </r>
  </si>
  <si>
    <t>02.04.5</t>
  </si>
  <si>
    <t xml:space="preserve">Устройство покрытия цементобетонного толщиной 10 см </t>
  </si>
  <si>
    <t>191</t>
  </si>
  <si>
    <t>02.04.6</t>
  </si>
  <si>
    <t>Устройство верхнего слоя основания из фракционированного щебня, уложенного по способу заклинки, толщиной 20 см</t>
  </si>
  <si>
    <t>02.04.7</t>
  </si>
  <si>
    <t>Устройство нижнего слоя основания из щебеночно-песчаной смеси С5, толщиной 29 см</t>
  </si>
  <si>
    <r>
      <rPr>
        <b/>
        <i/>
        <sz val="12"/>
        <rFont val="Times New Roman"/>
        <charset val="204"/>
      </rPr>
      <t>Устройство новой дорожной одежды на остановочной площадке автобусной остановки</t>
    </r>
  </si>
  <si>
    <t>02.04.8</t>
  </si>
  <si>
    <t>Устройство покрытия цементобетонного толщиной 10 см</t>
  </si>
  <si>
    <t>46</t>
  </si>
  <si>
    <t>02.04.9</t>
  </si>
  <si>
    <t>Устройство верхнего слоя основания из фракционированного щебня, уложенного по способу заклинки, толщиной 20 см, в т.ч.:</t>
  </si>
  <si>
    <t>02.04.10</t>
  </si>
  <si>
    <r>
      <rPr>
        <b/>
        <i/>
        <sz val="12"/>
        <rFont val="Times New Roman"/>
        <charset val="204"/>
      </rPr>
      <t>Устройство тротуара</t>
    </r>
  </si>
  <si>
    <t>Длина тротуара</t>
  </si>
  <si>
    <t>18</t>
  </si>
  <si>
    <t>02.04.11</t>
  </si>
  <si>
    <t>Устройство подготовки из щебеночно-песчаной смеси С5, толщиной 10 см</t>
  </si>
  <si>
    <t>02.04.12</t>
  </si>
  <si>
    <t xml:space="preserve">Устройство бордюра </t>
  </si>
  <si>
    <t>п.м</t>
  </si>
  <si>
    <t>36</t>
  </si>
  <si>
    <t>02.04.13</t>
  </si>
  <si>
    <t>Устройство покрытия из цементобетона, толщиной 5 см</t>
  </si>
  <si>
    <t xml:space="preserve">Итого: раздел 2.4.1. </t>
  </si>
  <si>
    <t>Раздел 2.4.2. Укрепление откосов габионами</t>
  </si>
  <si>
    <t>02.04.14</t>
  </si>
  <si>
    <t>Укрепление откоса матрацами Рено</t>
  </si>
  <si>
    <t>17</t>
  </si>
  <si>
    <t>02.04.15</t>
  </si>
  <si>
    <t xml:space="preserve">Разработка котлован для установки габионов </t>
  </si>
  <si>
    <t>02.04.16</t>
  </si>
  <si>
    <t xml:space="preserve">Установка габионов </t>
  </si>
  <si>
    <t xml:space="preserve">Итого: раздел 2.4.2. </t>
  </si>
  <si>
    <t xml:space="preserve">Итого: раздел 2.4 </t>
  </si>
  <si>
    <t>Раздел 2.5 Обустройство</t>
  </si>
  <si>
    <t xml:space="preserve"> Барьерное ограждение</t>
  </si>
  <si>
    <t>02.04.17</t>
  </si>
  <si>
    <t xml:space="preserve">Установка барьерного ограждения  </t>
  </si>
  <si>
    <t>п.м.</t>
  </si>
  <si>
    <t>Дорожные знаки</t>
  </si>
  <si>
    <t>02.04.18</t>
  </si>
  <si>
    <t>Устройство присыпных берм</t>
  </si>
  <si>
    <t>10</t>
  </si>
  <si>
    <t>02.04.19</t>
  </si>
  <si>
    <t xml:space="preserve">Установка металлических стоек с омоноличиванием стоек </t>
  </si>
  <si>
    <t>Монтаж щитков</t>
  </si>
  <si>
    <t>Знаки предупреждающие:</t>
  </si>
  <si>
    <t>02.04.20</t>
  </si>
  <si>
    <t>щиток А-700, масса - 3,16 кг (1.10)</t>
  </si>
  <si>
    <t>Знаки приоритета:</t>
  </si>
  <si>
    <t>02.04.21</t>
  </si>
  <si>
    <t>щиток А-700, масса - 3,16 кг (2.4)</t>
  </si>
  <si>
    <t>Запрещающие знаки:</t>
  </si>
  <si>
    <t>02.04.22</t>
  </si>
  <si>
    <t>щиток D-600, масса - 4,21 кг (3.1)</t>
  </si>
  <si>
    <t>Предписывающие знаки:</t>
  </si>
  <si>
    <t>02.04.23</t>
  </si>
  <si>
    <t>щиток D-600, масса - 4,21 кг (4.1.4;4.3)</t>
  </si>
  <si>
    <t>Знаки особых предписаний:</t>
  </si>
  <si>
    <t>02.04.24</t>
  </si>
  <si>
    <t>щиток 600x900, масса - 8,04 кг (5.16)</t>
  </si>
  <si>
    <t>02.04.25</t>
  </si>
  <si>
    <t>щиток Bx600, масса - 5,36 кг (5.15.1; 5.15.4.1; 5.15.6; 5.15.7.1)</t>
  </si>
  <si>
    <t>02.04.26</t>
  </si>
  <si>
    <t>щиток Bx700, масса - 7,29 кг (5.19.1)</t>
  </si>
  <si>
    <t>Устройство горизонтальной разметки краской со стеклошариками</t>
  </si>
  <si>
    <t>02.04.27</t>
  </si>
  <si>
    <t xml:space="preserve"> Устройство горизонтальной разметки </t>
  </si>
  <si>
    <t>пм</t>
  </si>
  <si>
    <t>Устройство площадной разметки краской со стеклошариками</t>
  </si>
  <si>
    <t>02.04.28</t>
  </si>
  <si>
    <t>Устройство площадной разметки</t>
  </si>
  <si>
    <t>м2</t>
  </si>
  <si>
    <t>Итого: раздел 2.5</t>
  </si>
  <si>
    <t>Итого: Глава 2</t>
  </si>
  <si>
    <t>Глава 3. Причальное соружение (левый берег).</t>
  </si>
  <si>
    <t>Раздел 3.1 Конструктивные элементы</t>
  </si>
  <si>
    <t>Погружение свай, бетонирование свай, погружение шпунта</t>
  </si>
  <si>
    <t>03.01.01</t>
  </si>
  <si>
    <t>03.01.02</t>
  </si>
  <si>
    <t xml:space="preserve">Погружение вертикальных свай  С-2 </t>
  </si>
  <si>
    <t>03.01.03</t>
  </si>
  <si>
    <t>03.01.04</t>
  </si>
  <si>
    <t>03.01.05</t>
  </si>
  <si>
    <t>03.01.06</t>
  </si>
  <si>
    <t xml:space="preserve">Установка арматурных каркасов </t>
  </si>
  <si>
    <t>03.01.07</t>
  </si>
  <si>
    <t>03.01.08</t>
  </si>
  <si>
    <t>Заполнение свай  бетоном</t>
  </si>
  <si>
    <t>03.01.09</t>
  </si>
  <si>
    <t>Монтаж наголовников свай НС-1, НС-2, НС-3</t>
  </si>
  <si>
    <t>03.01.10</t>
  </si>
  <si>
    <t>Монтаж связей СВ-1, СВ-2, СВ-3</t>
  </si>
  <si>
    <t>Устройство верхнего строения причала</t>
  </si>
  <si>
    <t>03.01.11</t>
  </si>
  <si>
    <t>Омоноличивание верхнего строения  причала</t>
  </si>
  <si>
    <t>03.01.12</t>
  </si>
  <si>
    <t>Установка закладных деталей верхнего строения причала (Гильзы Г-1, Зд-1, Зд-2)</t>
  </si>
  <si>
    <t>03.01.13</t>
  </si>
  <si>
    <t>Армирование колесоотбойного бруса на верхнем строении причала</t>
  </si>
  <si>
    <t>03.01.14</t>
  </si>
  <si>
    <t>Устройство монолитных колесоотбойников на верхнем строении причала</t>
  </si>
  <si>
    <t>Обустройство причала и пирса</t>
  </si>
  <si>
    <t>03.01.15</t>
  </si>
  <si>
    <t>Установка отбойных устройств причальных сооружений из резиновых труб</t>
  </si>
  <si>
    <t>03.01.16</t>
  </si>
  <si>
    <t>Установка скоб-траб</t>
  </si>
  <si>
    <t>03.01.17</t>
  </si>
  <si>
    <t>Устройство металлического перильного ограждения</t>
  </si>
  <si>
    <t>03.01.18</t>
  </si>
  <si>
    <t>03.01.19</t>
  </si>
  <si>
    <t>Установка шлагбаумов</t>
  </si>
  <si>
    <t>компл.</t>
  </si>
  <si>
    <t>Устройство железобетонного массива</t>
  </si>
  <si>
    <t>03.01.20</t>
  </si>
  <si>
    <t>Устройство бетонной подготовки под железобетонный массив</t>
  </si>
  <si>
    <t>03.01.21</t>
  </si>
  <si>
    <t xml:space="preserve">Устройство фундаментных плит железобетонных </t>
  </si>
  <si>
    <t>Укрепление надводной и подводной частей откоса</t>
  </si>
  <si>
    <t>03.01.22</t>
  </si>
  <si>
    <t>Укрепление откоса камнем по слою щебеночной подготовки (в районе причалов)</t>
  </si>
  <si>
    <t>03.01.23</t>
  </si>
  <si>
    <t>Гидроизоляция свай и открытых бетонных поверхностей причала</t>
  </si>
  <si>
    <t>03.01.24</t>
  </si>
  <si>
    <t xml:space="preserve">Окраска свай и анкерных плит </t>
  </si>
  <si>
    <t>03.01.25</t>
  </si>
  <si>
    <t>Установка пароизоляционного слоя из пленки полиэтиленовой</t>
  </si>
  <si>
    <t>03.01.26</t>
  </si>
  <si>
    <t>Монтаж защитного кожуха на сваи</t>
  </si>
  <si>
    <t>03.01.27</t>
  </si>
  <si>
    <t>Покрытие видимых бетонных поверхностей бетонной смолой</t>
  </si>
  <si>
    <t>Пирс</t>
  </si>
  <si>
    <t>03.01.28</t>
  </si>
  <si>
    <t>Монтаж связей СВ-1, СВ-4, СВ-5 на пирсе</t>
  </si>
  <si>
    <t>03.01.29</t>
  </si>
  <si>
    <t>Омоноличивание верхнего строения пирса  (В25)</t>
  </si>
  <si>
    <t>03.01.30</t>
  </si>
  <si>
    <t>Установка закладных деталей</t>
  </si>
  <si>
    <t>03.01.31</t>
  </si>
  <si>
    <t>Устройство монолитного железобетонного оголовка пирса</t>
  </si>
  <si>
    <t>03.01.32</t>
  </si>
  <si>
    <t>Устройство монолитных колесоотбойных брусов на пирсе</t>
  </si>
  <si>
    <t>03.01.33</t>
  </si>
  <si>
    <t>Устройство тумбы швартовой</t>
  </si>
  <si>
    <t>03.01.34</t>
  </si>
  <si>
    <t>Монтаж антисейсмических швов</t>
  </si>
  <si>
    <t>03.01.35</t>
  </si>
  <si>
    <t>Укрепление откоса камнем по слою щебеночной подготовки (в районе пирса)</t>
  </si>
  <si>
    <t xml:space="preserve">Установка сигнальных огней на причале и на пирсе  </t>
  </si>
  <si>
    <t>03.01.36</t>
  </si>
  <si>
    <t>Монтаж светодиодных сигнальных огней для причалов красных</t>
  </si>
  <si>
    <t>Итого: раздел 3.1.</t>
  </si>
  <si>
    <t xml:space="preserve">Раздел 3.2. Дноуглубительные работы </t>
  </si>
  <si>
    <t>03.02.1</t>
  </si>
  <si>
    <t>Разработка грунта из-под воды в баржи грейфером грузоподъемнотсью 5 т с транспортировкой грунта на расстояние до 5 км</t>
  </si>
  <si>
    <t>Итого: раздел 3.2.</t>
  </si>
  <si>
    <t>Раздел 3.3. Монтаж ж/б  павильона для пассажиров</t>
  </si>
  <si>
    <t>03.03.1</t>
  </si>
  <si>
    <t>Итого: раздел 3.3.</t>
  </si>
  <si>
    <t>Раздел 3.4. Подъездная дорога (левый берег)</t>
  </si>
  <si>
    <t>Раздел 3.4.1. Площадка к причальному сооружению</t>
  </si>
  <si>
    <t>03.04.1</t>
  </si>
  <si>
    <t>Выемка под дорожную одежду, выемка под лотки</t>
  </si>
  <si>
    <t>03.04.2</t>
  </si>
  <si>
    <t xml:space="preserve">Разработка грунта с перемещением в насыпь до 10 м </t>
  </si>
  <si>
    <t>03.04.3</t>
  </si>
  <si>
    <t>Уплотнение грунта</t>
  </si>
  <si>
    <t>03.04.4</t>
  </si>
  <si>
    <t xml:space="preserve">Планировка откосов земляного полотна </t>
  </si>
  <si>
    <t>03.04.5</t>
  </si>
  <si>
    <t>Укрепление откоса насыпи монолитным бетоном</t>
  </si>
  <si>
    <t>Устройство новой дорожной одежды</t>
  </si>
  <si>
    <t>03.04.6</t>
  </si>
  <si>
    <t>Устройство слоя покрытия из щебеночно-песчаной смеси С1, толщиной 30 см</t>
  </si>
  <si>
    <t>Итого: раздел 3.4.1</t>
  </si>
  <si>
    <t>Раздел 3.4.2. Подъездная дорога к площадке</t>
  </si>
  <si>
    <t>Земляные работы</t>
  </si>
  <si>
    <t>03.04.7</t>
  </si>
  <si>
    <t>Выемка под дорожную одежду, выемку под лотки</t>
  </si>
  <si>
    <t>03.04.8</t>
  </si>
  <si>
    <t>Перемещение грунта  до 30 м из отвала в насыпь подъездной дороги</t>
  </si>
  <si>
    <t>03.04.9</t>
  </si>
  <si>
    <t>03.04.10</t>
  </si>
  <si>
    <t xml:space="preserve">Разработка грунта 1 группы экскаватором с погрузкой в автосамосвалы и транспортировкой на полигон ТБО на расстояние до 10 км </t>
  </si>
  <si>
    <t>03.04.11</t>
  </si>
  <si>
    <t>Планировка верха и откосов земляного полотна</t>
  </si>
  <si>
    <t>03.04.12</t>
  </si>
  <si>
    <t>Планировка откосов выемки и кюветов механизированным способом</t>
  </si>
  <si>
    <t>03.04.13</t>
  </si>
  <si>
    <t>Итого: раздел 3.4.2</t>
  </si>
  <si>
    <t>Раздел 3.4.3. Съезд с площадки</t>
  </si>
  <si>
    <t>03.04.14</t>
  </si>
  <si>
    <t>03.04.15</t>
  </si>
  <si>
    <t xml:space="preserve">Перемещение грунта 2 группы  до 30 м из отвала в насыпь </t>
  </si>
  <si>
    <t>03.04.16</t>
  </si>
  <si>
    <t>03.04.17</t>
  </si>
  <si>
    <t>Разработка грунта 1 группы экскаватором с емкостью ковша 1 м3 с погрузкой в автосамосвалы и транспортировкой на полигон ТБО на расстояние до 10 км (корыто под дорожную одежду, выемка под кюветы)</t>
  </si>
  <si>
    <t>Планировочные работы</t>
  </si>
  <si>
    <t>03.04.18</t>
  </si>
  <si>
    <t xml:space="preserve">Планировка верха и откосов земляного полотна </t>
  </si>
  <si>
    <t>03.04.19</t>
  </si>
  <si>
    <t>Устройстов новой дорожной одежды</t>
  </si>
  <si>
    <t>03.04.20</t>
  </si>
  <si>
    <t>Итого: раздел 3.4.3</t>
  </si>
  <si>
    <t>Раздел 3.4.4. Устройство остановочной площадки</t>
  </si>
  <si>
    <t>03.04.21</t>
  </si>
  <si>
    <t>Устройство слоя покрытия из гравийно-песчаной смеси С1, толщиной 20 см</t>
  </si>
  <si>
    <t>03.04.22</t>
  </si>
  <si>
    <t xml:space="preserve">Установка бортового камня </t>
  </si>
  <si>
    <t>Итого: раздел 3.4.4</t>
  </si>
  <si>
    <t>Раздел 3.4.5. Устройство бетонных лотков</t>
  </si>
  <si>
    <t>03.04.23</t>
  </si>
  <si>
    <t xml:space="preserve">Установка бетонных лотков </t>
  </si>
  <si>
    <t>03.04.24</t>
  </si>
  <si>
    <t>Устройство подготовки под бетонные лотки я h=0,1 м</t>
  </si>
  <si>
    <t>03.04.25</t>
  </si>
  <si>
    <t xml:space="preserve">Установка плит </t>
  </si>
  <si>
    <t>Итого: раздел 3.4.5</t>
  </si>
  <si>
    <t>Итого: Раздел 3.4.</t>
  </si>
  <si>
    <t>Раздел 3.5. Обустройство</t>
  </si>
  <si>
    <t>03.05.1</t>
  </si>
  <si>
    <t>03.05.2</t>
  </si>
  <si>
    <t>Установка металлических стоек</t>
  </si>
  <si>
    <t>03.05.3</t>
  </si>
  <si>
    <t>Монтаж щитков (А-700). Знаки предупреждающие.</t>
  </si>
  <si>
    <t>03.05.4</t>
  </si>
  <si>
    <t>Монтаж щитков (D-600). Запрещающие знаки.</t>
  </si>
  <si>
    <t>03.05.5</t>
  </si>
  <si>
    <t>Монтаж щитка 600х900. Знаки особых предписаний.</t>
  </si>
  <si>
    <t>03.05.6</t>
  </si>
  <si>
    <t>Монтаж щитка В700. Знаки особых предписаний.</t>
  </si>
  <si>
    <t>03.05.7</t>
  </si>
  <si>
    <t>Монтаж щитка В600. Информационные знаки.</t>
  </si>
  <si>
    <t>Итог: раздел 3.5.</t>
  </si>
  <si>
    <t>Итого: Глава 3</t>
  </si>
  <si>
    <t>Глава 4. Наружное освещение (правый берег)</t>
  </si>
  <si>
    <t>04.01.1</t>
  </si>
  <si>
    <t xml:space="preserve">Бурение ям </t>
  </si>
  <si>
    <t>04.01.2</t>
  </si>
  <si>
    <t xml:space="preserve">Устройство основания под фундаменты </t>
  </si>
  <si>
    <t>04.01.3</t>
  </si>
  <si>
    <t>Установка фундаментного блока</t>
  </si>
  <si>
    <t>04.01.4</t>
  </si>
  <si>
    <t>Заполнение бетоном</t>
  </si>
  <si>
    <t>04.01.5</t>
  </si>
  <si>
    <t>Установка металлических опор наружного освещения</t>
  </si>
  <si>
    <t>15</t>
  </si>
  <si>
    <t>04.01.6</t>
  </si>
  <si>
    <t>Монтаж однорожкового кронштейна на опору</t>
  </si>
  <si>
    <t>12</t>
  </si>
  <si>
    <t>04.01.7</t>
  </si>
  <si>
    <t>Монтаж двухрожкового кронштейна на опору</t>
  </si>
  <si>
    <t>04.01.8</t>
  </si>
  <si>
    <t>Монтаж светильника на опору</t>
  </si>
  <si>
    <t>04.01.9</t>
  </si>
  <si>
    <t>Монтаж на опоры линейной арматуры для подвеса СИП</t>
  </si>
  <si>
    <t>опор</t>
  </si>
  <si>
    <t>04.01.10</t>
  </si>
  <si>
    <t>Прокладка СИП-4 4х25 в щите и  по конструкциям</t>
  </si>
  <si>
    <t>мп</t>
  </si>
  <si>
    <t>04.01.11</t>
  </si>
  <si>
    <t>Прокладка СИП-2 3х25+1х25</t>
  </si>
  <si>
    <t>04.01.12</t>
  </si>
  <si>
    <t>Прокладка СИП-2 1х25+1х25</t>
  </si>
  <si>
    <t>04.01.13</t>
  </si>
  <si>
    <t>Сборка и монтаж ЩУО</t>
  </si>
  <si>
    <t>комплект</t>
  </si>
  <si>
    <t>Итого: Глава 4</t>
  </si>
  <si>
    <t>Глава 5. Наружное освещение (левый берег)</t>
  </si>
  <si>
    <t>05.01.1</t>
  </si>
  <si>
    <t>05.01.2</t>
  </si>
  <si>
    <t>05.01.3</t>
  </si>
  <si>
    <t>05.01.4</t>
  </si>
  <si>
    <t>05.01.5</t>
  </si>
  <si>
    <t>Развозка конструкций и материалов по трассе: опоры наружного освещения</t>
  </si>
  <si>
    <t>05.01.6</t>
  </si>
  <si>
    <t>05.01.7</t>
  </si>
  <si>
    <t>05.01.8</t>
  </si>
  <si>
    <t>05.01.10</t>
  </si>
  <si>
    <t>05.01.11</t>
  </si>
  <si>
    <t>05.01.12</t>
  </si>
  <si>
    <t>05.01.13</t>
  </si>
  <si>
    <t>Прокладка СИП-2 3х25+1х54,6+2х16</t>
  </si>
  <si>
    <t>05.01.14</t>
  </si>
  <si>
    <t xml:space="preserve">Итого: Глава 5. </t>
  </si>
  <si>
    <t>Глава 6. Доставка материалов (правый берег)</t>
  </si>
  <si>
    <t>06.01.1</t>
  </si>
  <si>
    <t>Транспортировка железнодорожным  транспортом на расстояние 7274 км бесшовных обсадных труб из стали наружным диаметром 219мм толщина стенки 8,9мм</t>
  </si>
  <si>
    <t>06.01.2</t>
  </si>
  <si>
    <t>Транспортировка морским транспортом бесшовных обсадных труб из стали наружным диаметром 219мм толщина стенки 8,9мм</t>
  </si>
  <si>
    <t>06.01.3</t>
  </si>
  <si>
    <t>Транспортировка автотранспортом  в п. Усть-Камчатск на расстояние 715 км  бесшовных обсадных труб из стали наружным диаметром 219мм толщина стенки 8,9мм</t>
  </si>
  <si>
    <t>Итого: Глава 6</t>
  </si>
  <si>
    <t>Глава 7. Доставка материалов (левый берег)</t>
  </si>
  <si>
    <t>07.01.1</t>
  </si>
  <si>
    <t>07.01.2</t>
  </si>
  <si>
    <t>07.01.3</t>
  </si>
  <si>
    <t>07.01.4</t>
  </si>
  <si>
    <t>Транспортировка автотранспортом  в п. Усть-Камчатск на расстояние 715 км  щебня из природного камня (левый берег)</t>
  </si>
  <si>
    <t>07.01.5</t>
  </si>
  <si>
    <t>Транспортировка автотранспортом  в п. Усть-Камчатск на расстояние 754 км  камня булыжного (левый берег)</t>
  </si>
  <si>
    <t>07.01.6</t>
  </si>
  <si>
    <t xml:space="preserve">Доставка материалов через протоку Озерная </t>
  </si>
  <si>
    <t>рейс</t>
  </si>
  <si>
    <t>Итого: Глава 7</t>
  </si>
  <si>
    <t>Итого по Главам 1-7</t>
  </si>
  <si>
    <t xml:space="preserve">Непредвиденные работы </t>
  </si>
  <si>
    <t>Итого</t>
  </si>
  <si>
    <t>Начальная (максимальная) цена контракта с учетом НДС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</si>
</sst>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_-* #\ ##0.0000\ _₽_-;\-* #\ ##0.0000\ _₽_-;_-* &quot;-&quot;??\ _₽_-;_-@_-"/>
    <numFmt numFmtId="181" formatCode="#\ ##0.000"/>
    <numFmt numFmtId="182" formatCode="_-* #\ ##0.00\ _₽_-;\-* #\ ##0.00\ _₽_-;_-* &quot;-&quot;??\ _₽_-;_-@_-"/>
    <numFmt numFmtId="183" formatCode="#\ ##0\ _₽"/>
    <numFmt numFmtId="184" formatCode="#\ ##0.00\ _₽"/>
    <numFmt numFmtId="185" formatCode="_-* #\ ##0.00\ _₽_-;\-* #\ ##0.00\ _₽_-;_-* &quot;-&quot;\ _₽_-;_-@_-"/>
    <numFmt numFmtId="186" formatCode="#\ ##0.00;[Red]#\ ##0.00"/>
  </numFmts>
  <fonts count="36">
    <font>
      <sz val="10"/>
      <name val="Arial"/>
      <charset val="134"/>
    </font>
    <font>
      <sz val="12"/>
      <name val="Arial"/>
      <charset val="204"/>
    </font>
    <font>
      <sz val="12"/>
      <name val="Times New Roman"/>
      <charset val="204"/>
    </font>
    <font>
      <b/>
      <sz val="12"/>
      <name val="Times New Roman"/>
      <charset val="204"/>
    </font>
    <font>
      <sz val="12"/>
      <name val="Times New Roman Cyr"/>
      <charset val="204"/>
    </font>
    <font>
      <sz val="12"/>
      <color theme="1"/>
      <name val="Times New Roman"/>
      <charset val="204"/>
    </font>
    <font>
      <b/>
      <sz val="12"/>
      <name val="Times New Roman Cyr"/>
      <charset val="204"/>
    </font>
    <font>
      <b/>
      <i/>
      <sz val="12"/>
      <name val="Times New Roman"/>
      <charset val="204"/>
    </font>
    <font>
      <i/>
      <sz val="12"/>
      <name val="Times New Roman"/>
      <charset val="204"/>
    </font>
    <font>
      <sz val="12"/>
      <color rgb="FFFF0000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Times New Roman"/>
      <charset val="204"/>
    </font>
    <font>
      <sz val="11"/>
      <color theme="1"/>
      <name val="Calibri"/>
      <charset val="134"/>
      <scheme val="minor"/>
    </font>
    <font>
      <sz val="10"/>
      <color theme="1"/>
      <name val="Times New Roman"/>
      <charset val="204"/>
    </font>
    <font>
      <sz val="10"/>
      <name val="Arial"/>
      <charset val="204"/>
    </font>
    <font>
      <sz val="11"/>
      <color theme="1"/>
      <name val="Calibri"/>
      <charset val="204"/>
      <scheme val="minor"/>
    </font>
    <font>
      <vertAlign val="superscript"/>
      <sz val="12"/>
      <name val="Times New Roman"/>
      <charset val="204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2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24" applyNumberFormat="0" applyAlignment="0" applyProtection="0">
      <alignment vertical="center"/>
    </xf>
    <xf numFmtId="0" fontId="20" fillId="6" borderId="25" applyNumberFormat="0" applyAlignment="0" applyProtection="0">
      <alignment vertical="center"/>
    </xf>
    <xf numFmtId="0" fontId="21" fillId="6" borderId="24" applyNumberFormat="0" applyAlignment="0" applyProtection="0">
      <alignment vertical="center"/>
    </xf>
    <xf numFmtId="0" fontId="22" fillId="7" borderId="26" applyNumberFormat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  <xf numFmtId="0" fontId="31" fillId="0" borderId="0"/>
    <xf numFmtId="0" fontId="32" fillId="0" borderId="0"/>
    <xf numFmtId="0" fontId="33" fillId="0" borderId="0"/>
    <xf numFmtId="0" fontId="34" fillId="0" borderId="0"/>
  </cellStyleXfs>
  <cellXfs count="153">
    <xf numFmtId="0" fontId="0" fillId="0" borderId="0" xfId="0"/>
    <xf numFmtId="0" fontId="1" fillId="0" borderId="0" xfId="0" applyFont="1" applyFill="1"/>
    <xf numFmtId="0" fontId="1" fillId="2" borderId="0" xfId="0" applyFont="1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180" fontId="2" fillId="0" borderId="0" xfId="0" applyNumberFormat="1" applyFont="1" applyFill="1" applyAlignment="1">
      <alignment horizontal="center" vertical="center"/>
    </xf>
    <xf numFmtId="0" fontId="1" fillId="0" borderId="0" xfId="0" applyFont="1"/>
    <xf numFmtId="0" fontId="2" fillId="0" borderId="0" xfId="0" applyFont="1" applyFill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180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vertical="top"/>
    </xf>
    <xf numFmtId="49" fontId="2" fillId="0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 wrapText="1"/>
    </xf>
    <xf numFmtId="181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49" fontId="3" fillId="0" borderId="2" xfId="0" applyNumberFormat="1" applyFont="1" applyFill="1" applyBorder="1" applyAlignment="1">
      <alignment horizontal="left" vertical="center" wrapText="1"/>
    </xf>
    <xf numFmtId="49" fontId="3" fillId="0" borderId="3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182" fontId="2" fillId="0" borderId="1" xfId="0" applyNumberFormat="1" applyFont="1" applyFill="1" applyBorder="1" applyAlignment="1">
      <alignment vertical="center" wrapText="1"/>
    </xf>
    <xf numFmtId="182" fontId="2" fillId="0" borderId="0" xfId="0" applyNumberFormat="1" applyFont="1" applyFill="1" applyAlignment="1">
      <alignment horizontal="left" vertical="center"/>
    </xf>
    <xf numFmtId="182" fontId="1" fillId="0" borderId="0" xfId="0" applyNumberFormat="1" applyFont="1"/>
    <xf numFmtId="0" fontId="2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</xf>
    <xf numFmtId="182" fontId="2" fillId="0" borderId="4" xfId="0" applyNumberFormat="1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center" vertical="center"/>
    </xf>
    <xf numFmtId="180" fontId="2" fillId="2" borderId="6" xfId="0" applyNumberFormat="1" applyFont="1" applyFill="1" applyBorder="1" applyAlignment="1">
      <alignment vertical="center" wrapText="1"/>
    </xf>
    <xf numFmtId="182" fontId="3" fillId="2" borderId="7" xfId="0" applyNumberFormat="1" applyFont="1" applyFill="1" applyBorder="1" applyAlignment="1">
      <alignment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180" fontId="2" fillId="0" borderId="10" xfId="0" applyNumberFormat="1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/>
    </xf>
    <xf numFmtId="182" fontId="2" fillId="0" borderId="2" xfId="0" applyNumberFormat="1" applyFont="1" applyFill="1" applyBorder="1" applyAlignment="1">
      <alignment vertical="center" wrapText="1"/>
    </xf>
    <xf numFmtId="182" fontId="2" fillId="0" borderId="11" xfId="0" applyNumberFormat="1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180" fontId="3" fillId="2" borderId="6" xfId="0" applyNumberFormat="1" applyFont="1" applyFill="1" applyBorder="1" applyAlignment="1">
      <alignment vertical="center" wrapText="1"/>
    </xf>
    <xf numFmtId="2" fontId="3" fillId="3" borderId="12" xfId="0" applyNumberFormat="1" applyFont="1" applyFill="1" applyBorder="1" applyAlignment="1">
      <alignment horizontal="left" vertical="center" wrapText="1"/>
    </xf>
    <xf numFmtId="2" fontId="3" fillId="3" borderId="13" xfId="0" applyNumberFormat="1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center" vertical="center"/>
    </xf>
    <xf numFmtId="180" fontId="4" fillId="3" borderId="10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right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/>
    </xf>
    <xf numFmtId="183" fontId="4" fillId="3" borderId="17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84" fontId="4" fillId="3" borderId="17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vertical="center" wrapText="1"/>
    </xf>
    <xf numFmtId="2" fontId="2" fillId="3" borderId="1" xfId="0" applyNumberFormat="1" applyFont="1" applyFill="1" applyBorder="1" applyAlignment="1">
      <alignment vertic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182" fontId="2" fillId="2" borderId="6" xfId="0" applyNumberFormat="1" applyFont="1" applyFill="1" applyBorder="1" applyAlignment="1">
      <alignment vertical="center" wrapText="1"/>
    </xf>
    <xf numFmtId="184" fontId="6" fillId="2" borderId="7" xfId="0" applyNumberFormat="1" applyFont="1" applyFill="1" applyBorder="1" applyAlignment="1">
      <alignment horizontal="right" vertical="center"/>
    </xf>
    <xf numFmtId="0" fontId="3" fillId="3" borderId="18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/>
    </xf>
    <xf numFmtId="182" fontId="2" fillId="0" borderId="10" xfId="0" applyNumberFormat="1" applyFont="1" applyFill="1" applyBorder="1" applyAlignment="1">
      <alignment vertical="center" wrapText="1"/>
    </xf>
    <xf numFmtId="183" fontId="4" fillId="3" borderId="19" xfId="0" applyNumberFormat="1" applyFont="1" applyFill="1" applyBorder="1" applyAlignment="1">
      <alignment horizontal="right" vertical="center"/>
    </xf>
    <xf numFmtId="185" fontId="4" fillId="3" borderId="1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0" fontId="2" fillId="0" borderId="20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left" vertical="center"/>
    </xf>
    <xf numFmtId="0" fontId="1" fillId="0" borderId="1" xfId="0" applyFont="1" applyBorder="1"/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182" fontId="2" fillId="0" borderId="16" xfId="0" applyNumberFormat="1" applyFont="1" applyFill="1" applyBorder="1" applyAlignment="1">
      <alignment vertical="center" wrapText="1"/>
    </xf>
    <xf numFmtId="49" fontId="2" fillId="0" borderId="10" xfId="0" applyNumberFormat="1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2" fontId="3" fillId="3" borderId="18" xfId="0" applyNumberFormat="1" applyFont="1" applyFill="1" applyBorder="1" applyAlignment="1">
      <alignment horizontal="left" vertical="center" wrapText="1"/>
    </xf>
    <xf numFmtId="0" fontId="2" fillId="3" borderId="20" xfId="0" applyFont="1" applyFill="1" applyBorder="1" applyAlignment="1">
      <alignment horizontal="center" vertical="center" wrapText="1"/>
    </xf>
    <xf numFmtId="182" fontId="3" fillId="0" borderId="8" xfId="0" applyNumberFormat="1" applyFont="1" applyFill="1" applyBorder="1" applyAlignment="1">
      <alignment vertical="center" wrapText="1"/>
    </xf>
    <xf numFmtId="2" fontId="3" fillId="3" borderId="2" xfId="0" applyNumberFormat="1" applyFont="1" applyFill="1" applyBorder="1" applyAlignment="1">
      <alignment horizontal="left" vertical="center"/>
    </xf>
    <xf numFmtId="2" fontId="3" fillId="3" borderId="16" xfId="0" applyNumberFormat="1" applyFont="1" applyFill="1" applyBorder="1" applyAlignment="1">
      <alignment horizontal="left" vertical="center"/>
    </xf>
    <xf numFmtId="182" fontId="3" fillId="0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2" fontId="7" fillId="3" borderId="1" xfId="0" applyNumberFormat="1" applyFont="1" applyFill="1" applyBorder="1" applyAlignment="1">
      <alignment vertical="center"/>
    </xf>
    <xf numFmtId="2" fontId="8" fillId="3" borderId="1" xfId="0" applyNumberFormat="1" applyFont="1" applyFill="1" applyBorder="1" applyAlignment="1">
      <alignment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2" fontId="7" fillId="0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2" fontId="7" fillId="3" borderId="1" xfId="0" applyNumberFormat="1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/>
    </xf>
    <xf numFmtId="2" fontId="3" fillId="2" borderId="6" xfId="0" applyNumberFormat="1" applyFont="1" applyFill="1" applyBorder="1" applyAlignment="1">
      <alignment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2" fontId="3" fillId="0" borderId="6" xfId="0" applyNumberFormat="1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182" fontId="2" fillId="0" borderId="6" xfId="0" applyNumberFormat="1" applyFont="1" applyFill="1" applyBorder="1" applyAlignment="1">
      <alignment vertical="center" wrapText="1"/>
    </xf>
    <xf numFmtId="182" fontId="2" fillId="0" borderId="7" xfId="0" applyNumberFormat="1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182" fontId="2" fillId="0" borderId="20" xfId="0" applyNumberFormat="1" applyFont="1" applyFill="1" applyBorder="1" applyAlignment="1">
      <alignment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left" vertical="center" wrapText="1"/>
    </xf>
    <xf numFmtId="2" fontId="3" fillId="3" borderId="16" xfId="0" applyNumberFormat="1" applyFont="1" applyFill="1" applyBorder="1" applyAlignment="1">
      <alignment horizontal="left" vertical="center" wrapText="1"/>
    </xf>
    <xf numFmtId="2" fontId="3" fillId="2" borderId="6" xfId="0" applyNumberFormat="1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left" vertical="center" wrapText="1"/>
    </xf>
    <xf numFmtId="2" fontId="3" fillId="0" borderId="12" xfId="0" applyNumberFormat="1" applyFont="1" applyFill="1" applyBorder="1" applyAlignment="1">
      <alignment horizontal="left" vertical="center" wrapText="1"/>
    </xf>
    <xf numFmtId="2" fontId="3" fillId="0" borderId="13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82" fontId="2" fillId="2" borderId="4" xfId="0" applyNumberFormat="1" applyFont="1" applyFill="1" applyBorder="1" applyAlignment="1">
      <alignment vertical="center" wrapText="1"/>
    </xf>
    <xf numFmtId="182" fontId="3" fillId="2" borderId="4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center" vertical="center" wrapText="1"/>
    </xf>
    <xf numFmtId="2" fontId="3" fillId="0" borderId="10" xfId="0" applyNumberFormat="1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 wrapText="1"/>
    </xf>
    <xf numFmtId="182" fontId="3" fillId="2" borderId="6" xfId="0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right" vertical="center"/>
    </xf>
    <xf numFmtId="9" fontId="9" fillId="3" borderId="1" xfId="0" applyNumberFormat="1" applyFont="1" applyFill="1" applyBorder="1" applyAlignment="1">
      <alignment horizontal="center" vertical="center"/>
    </xf>
    <xf numFmtId="186" fontId="2" fillId="3" borderId="1" xfId="0" applyNumberFormat="1" applyFont="1" applyFill="1" applyBorder="1" applyAlignment="1">
      <alignment horizontal="center" vertical="center"/>
    </xf>
    <xf numFmtId="184" fontId="2" fillId="3" borderId="1" xfId="0" applyNumberFormat="1" applyFont="1" applyFill="1" applyBorder="1" applyAlignment="1">
      <alignment horizontal="right" vertical="center"/>
    </xf>
    <xf numFmtId="9" fontId="2" fillId="3" borderId="1" xfId="0" applyNumberFormat="1" applyFont="1" applyFill="1" applyBorder="1" applyAlignment="1">
      <alignment horizontal="center" vertical="center"/>
    </xf>
    <xf numFmtId="184" fontId="3" fillId="3" borderId="1" xfId="0" applyNumberFormat="1" applyFont="1" applyFill="1" applyBorder="1" applyAlignment="1">
      <alignment horizontal="right" vertical="center"/>
    </xf>
    <xf numFmtId="9" fontId="8" fillId="3" borderId="1" xfId="0" applyNumberFormat="1" applyFont="1" applyFill="1" applyBorder="1" applyAlignment="1">
      <alignment horizontal="center" vertical="center"/>
    </xf>
  </cellXfs>
  <cellStyles count="54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  <cellStyle name="Обычный 2 3" xfId="50"/>
    <cellStyle name="Обычный 39" xfId="51"/>
    <cellStyle name="Обычный 5" xfId="52"/>
    <cellStyle name="Обычный 6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6"/>
  <sheetViews>
    <sheetView tabSelected="1" view="pageBreakPreview" zoomScale="70" zoomScaleNormal="70" topLeftCell="A29" workbookViewId="0">
      <selection activeCell="A5" sqref="A5:F5"/>
    </sheetView>
  </sheetViews>
  <sheetFormatPr defaultColWidth="9" defaultRowHeight="15.75"/>
  <cols>
    <col min="1" max="1" width="11.7142857142857" style="3" customWidth="1"/>
    <col min="2" max="2" width="64.2857142857143" style="3" customWidth="1"/>
    <col min="3" max="3" width="12.8571428571429" style="4" customWidth="1"/>
    <col min="4" max="4" width="11.4285714285714" style="4" customWidth="1"/>
    <col min="5" max="5" width="20.7142857142857" style="5" customWidth="1"/>
    <col min="6" max="6" width="20.8571428571429" style="3" customWidth="1"/>
    <col min="7" max="7" width="20.4285714285714" style="3" customWidth="1"/>
    <col min="8" max="8" width="21.5714285714286" style="3" customWidth="1"/>
    <col min="9" max="9" width="19" style="6" customWidth="1"/>
    <col min="10" max="11" width="9.14285714285714" style="6"/>
    <col min="12" max="12" width="9" style="6" customWidth="1"/>
    <col min="13" max="16384" width="9.14285714285714" style="6"/>
  </cols>
  <sheetData>
    <row r="1" ht="23.25" customHeight="1" spans="1:9">
      <c r="C1" s="7"/>
      <c r="E1" s="8" t="s">
        <v>0</v>
      </c>
      <c r="F1" s="8"/>
      <c r="G1" s="7"/>
      <c r="H1" s="7"/>
    </row>
    <row r="2" ht="24" customHeight="1" spans="1:9">
      <c r="B2" s="9"/>
      <c r="C2" s="7"/>
      <c r="E2" s="10"/>
      <c r="F2" s="11" t="s">
        <v>1</v>
      </c>
      <c r="G2" s="7"/>
      <c r="H2" s="7"/>
    </row>
    <row r="3" ht="48.75" customHeight="1" spans="1:9">
      <c r="A3" s="12"/>
      <c r="B3" s="7"/>
      <c r="C3" s="7"/>
      <c r="E3" s="10"/>
      <c r="F3" s="11" t="s">
        <v>2</v>
      </c>
      <c r="G3" s="7"/>
      <c r="H3" s="7"/>
    </row>
    <row r="4" spans="1:9">
      <c r="A4" s="12"/>
      <c r="B4" s="7"/>
      <c r="C4" s="7"/>
      <c r="E4" s="10"/>
      <c r="F4" s="11"/>
      <c r="G4" s="7"/>
      <c r="H4" s="7"/>
    </row>
    <row r="5" spans="1:9">
      <c r="A5" s="13" t="s">
        <v>3</v>
      </c>
      <c r="B5" s="13"/>
      <c r="C5" s="13"/>
      <c r="D5" s="13"/>
      <c r="E5" s="13"/>
      <c r="F5" s="13"/>
      <c r="G5" s="13"/>
      <c r="H5" s="14"/>
    </row>
    <row r="6" spans="1:9">
      <c r="A6" s="14"/>
      <c r="B6" s="12"/>
      <c r="F6" s="11"/>
      <c r="G6" s="14"/>
      <c r="H6" s="14"/>
    </row>
    <row r="7" spans="1:9">
      <c r="A7" s="15" t="s">
        <v>4</v>
      </c>
      <c r="B7" s="15"/>
      <c r="C7" s="15"/>
      <c r="D7" s="15"/>
      <c r="E7" s="15"/>
      <c r="F7" s="15"/>
      <c r="G7" s="16"/>
      <c r="H7" s="17"/>
    </row>
    <row r="8" spans="1:9">
      <c r="A8" s="14"/>
      <c r="B8" s="12"/>
      <c r="F8" s="11"/>
      <c r="G8" s="14"/>
      <c r="H8" s="14"/>
    </row>
    <row r="9" ht="47.25" customHeight="1" spans="1:9">
      <c r="A9" s="18" t="s">
        <v>5</v>
      </c>
      <c r="B9" s="18" t="s">
        <v>6</v>
      </c>
      <c r="C9" s="18" t="s">
        <v>7</v>
      </c>
      <c r="D9" s="18" t="s">
        <v>8</v>
      </c>
      <c r="E9" s="19" t="s">
        <v>9</v>
      </c>
      <c r="F9" s="18" t="s">
        <v>10</v>
      </c>
      <c r="G9" s="20"/>
      <c r="H9" s="4"/>
    </row>
    <row r="10" ht="87.75" customHeight="1" spans="1:9">
      <c r="A10" s="18"/>
      <c r="B10" s="18"/>
      <c r="C10" s="18"/>
      <c r="D10" s="18"/>
      <c r="E10" s="19"/>
      <c r="F10" s="18"/>
      <c r="G10" s="21"/>
      <c r="H10" s="22"/>
    </row>
    <row r="11" customHeight="1" spans="1:9">
      <c r="A11" s="18" t="s">
        <v>11</v>
      </c>
      <c r="B11" s="18" t="s">
        <v>12</v>
      </c>
      <c r="C11" s="18" t="s">
        <v>13</v>
      </c>
      <c r="D11" s="18" t="s">
        <v>14</v>
      </c>
      <c r="E11" s="19" t="s">
        <v>15</v>
      </c>
      <c r="F11" s="18" t="s">
        <v>16</v>
      </c>
      <c r="G11" s="21"/>
      <c r="H11" s="22"/>
    </row>
    <row r="12" spans="1:9">
      <c r="A12" s="23" t="s">
        <v>17</v>
      </c>
      <c r="B12" s="24"/>
      <c r="C12" s="25"/>
      <c r="D12" s="25"/>
      <c r="E12" s="26"/>
      <c r="F12" s="27"/>
    </row>
    <row r="13" spans="1:9">
      <c r="A13" s="28" t="s">
        <v>18</v>
      </c>
      <c r="B13" s="28"/>
      <c r="C13" s="25"/>
      <c r="D13" s="25"/>
      <c r="E13" s="26"/>
      <c r="F13" s="27"/>
    </row>
    <row r="14" spans="1:9">
      <c r="A14" s="29" t="s">
        <v>19</v>
      </c>
      <c r="B14" s="30" t="s">
        <v>20</v>
      </c>
      <c r="C14" s="25" t="s">
        <v>21</v>
      </c>
      <c r="D14" s="25">
        <v>0.335</v>
      </c>
      <c r="E14" s="31">
        <v>44185.85</v>
      </c>
      <c r="F14" s="31">
        <f>E14*D14</f>
        <v>14802.26</v>
      </c>
      <c r="G14" s="32"/>
      <c r="H14" s="32"/>
      <c r="I14" s="33"/>
    </row>
    <row r="15" ht="16.5" spans="1:9">
      <c r="A15" s="29" t="s">
        <v>22</v>
      </c>
      <c r="B15" s="34" t="s">
        <v>23</v>
      </c>
      <c r="C15" s="35" t="s">
        <v>21</v>
      </c>
      <c r="D15" s="35">
        <v>0.9</v>
      </c>
      <c r="E15" s="36">
        <v>4058.53</v>
      </c>
      <c r="F15" s="36">
        <f>E15*D15</f>
        <v>3652.68</v>
      </c>
      <c r="G15" s="32"/>
      <c r="H15" s="32"/>
      <c r="I15" s="33"/>
    </row>
    <row r="16" ht="16.5" spans="1:9">
      <c r="A16" s="37"/>
      <c r="B16" s="38" t="s">
        <v>24</v>
      </c>
      <c r="C16" s="39"/>
      <c r="D16" s="39"/>
      <c r="E16" s="40"/>
      <c r="F16" s="41">
        <f>SUM(F14:F15)</f>
        <v>18454.94</v>
      </c>
      <c r="G16" s="32"/>
      <c r="H16" s="32"/>
      <c r="I16" s="33"/>
    </row>
    <row r="17" customHeight="1" spans="1:9">
      <c r="A17" s="42" t="s">
        <v>25</v>
      </c>
      <c r="B17" s="43"/>
      <c r="C17" s="44"/>
      <c r="D17" s="44"/>
      <c r="E17" s="45"/>
      <c r="F17" s="46"/>
      <c r="G17" s="32"/>
      <c r="H17" s="32"/>
      <c r="I17" s="33"/>
    </row>
    <row r="18" ht="31.5" spans="1:9">
      <c r="A18" s="29" t="s">
        <v>26</v>
      </c>
      <c r="B18" s="30" t="s">
        <v>27</v>
      </c>
      <c r="C18" s="25" t="s">
        <v>28</v>
      </c>
      <c r="D18" s="25">
        <v>1</v>
      </c>
      <c r="E18" s="31">
        <v>6894054.08</v>
      </c>
      <c r="F18" s="47">
        <f>E18*D18</f>
        <v>6894054.08</v>
      </c>
      <c r="G18" s="32"/>
      <c r="H18" s="32"/>
      <c r="I18" s="33"/>
    </row>
    <row r="19" ht="32.25" spans="1:9">
      <c r="A19" s="29" t="s">
        <v>29</v>
      </c>
      <c r="B19" s="34" t="s">
        <v>30</v>
      </c>
      <c r="C19" s="35" t="s">
        <v>28</v>
      </c>
      <c r="D19" s="35">
        <v>1</v>
      </c>
      <c r="E19" s="36">
        <v>7667706.1</v>
      </c>
      <c r="F19" s="48">
        <f>E19*D19</f>
        <v>7667706.1</v>
      </c>
      <c r="G19" s="32"/>
      <c r="H19" s="32"/>
      <c r="I19" s="33"/>
    </row>
    <row r="20" ht="16.5" spans="1:9">
      <c r="A20" s="49"/>
      <c r="B20" s="38" t="s">
        <v>31</v>
      </c>
      <c r="C20" s="50"/>
      <c r="D20" s="50"/>
      <c r="E20" s="51"/>
      <c r="F20" s="41">
        <f>SUM(F18:F19)</f>
        <v>14561760.18</v>
      </c>
      <c r="G20" s="32"/>
      <c r="H20" s="32"/>
      <c r="I20" s="33"/>
    </row>
    <row r="21" spans="1:9">
      <c r="A21" s="52" t="s">
        <v>32</v>
      </c>
      <c r="B21" s="53"/>
      <c r="C21" s="54"/>
      <c r="D21" s="54"/>
      <c r="E21" s="55"/>
      <c r="F21" s="56"/>
      <c r="G21" s="32"/>
      <c r="H21" s="32"/>
      <c r="I21" s="33"/>
    </row>
    <row r="22" spans="1:9">
      <c r="A22" s="57" t="s">
        <v>33</v>
      </c>
      <c r="B22" s="58"/>
      <c r="C22" s="59"/>
      <c r="D22" s="59"/>
      <c r="E22" s="60"/>
      <c r="F22" s="61"/>
      <c r="G22" s="32"/>
      <c r="H22" s="32"/>
      <c r="I22" s="33"/>
    </row>
    <row r="23" spans="1:9">
      <c r="A23" s="29" t="s">
        <v>34</v>
      </c>
      <c r="B23" s="62" t="s">
        <v>35</v>
      </c>
      <c r="C23" s="59" t="s">
        <v>36</v>
      </c>
      <c r="D23" s="63">
        <v>750</v>
      </c>
      <c r="E23" s="31">
        <v>1063.25</v>
      </c>
      <c r="F23" s="64">
        <f>D23*E23</f>
        <v>797437.5</v>
      </c>
      <c r="G23" s="32"/>
      <c r="H23" s="32"/>
      <c r="I23" s="33"/>
    </row>
    <row r="24" spans="1:9">
      <c r="A24" s="29" t="s">
        <v>37</v>
      </c>
      <c r="B24" s="62" t="s">
        <v>38</v>
      </c>
      <c r="C24" s="65" t="s">
        <v>39</v>
      </c>
      <c r="D24" s="59">
        <v>100</v>
      </c>
      <c r="E24" s="31">
        <v>170.98</v>
      </c>
      <c r="F24" s="64">
        <f t="shared" ref="F24:F33" si="0">D24*E24</f>
        <v>17098</v>
      </c>
      <c r="G24" s="32"/>
      <c r="H24" s="32"/>
      <c r="I24" s="33"/>
    </row>
    <row r="25" spans="1:9">
      <c r="A25" s="29" t="s">
        <v>40</v>
      </c>
      <c r="B25" s="66" t="s">
        <v>41</v>
      </c>
      <c r="C25" s="65" t="s">
        <v>39</v>
      </c>
      <c r="D25" s="65">
        <v>100</v>
      </c>
      <c r="E25" s="31">
        <v>278.86</v>
      </c>
      <c r="F25" s="64">
        <f t="shared" si="0"/>
        <v>27886</v>
      </c>
      <c r="G25" s="32"/>
      <c r="H25" s="32"/>
      <c r="I25" s="33"/>
    </row>
    <row r="26" spans="1:9">
      <c r="A26" s="29" t="s">
        <v>42</v>
      </c>
      <c r="B26" s="66" t="s">
        <v>43</v>
      </c>
      <c r="C26" s="65" t="s">
        <v>39</v>
      </c>
      <c r="D26" s="65">
        <v>200</v>
      </c>
      <c r="E26" s="31">
        <v>48.52</v>
      </c>
      <c r="F26" s="64">
        <f t="shared" si="0"/>
        <v>9704</v>
      </c>
      <c r="G26" s="32"/>
      <c r="H26" s="32"/>
      <c r="I26" s="33"/>
    </row>
    <row r="27" spans="1:9">
      <c r="A27" s="29" t="s">
        <v>44</v>
      </c>
      <c r="B27" s="66" t="s">
        <v>45</v>
      </c>
      <c r="C27" s="65" t="s">
        <v>46</v>
      </c>
      <c r="D27" s="65">
        <v>6.57</v>
      </c>
      <c r="E27" s="31">
        <v>209510.58</v>
      </c>
      <c r="F27" s="64">
        <f t="shared" si="0"/>
        <v>1376484.51</v>
      </c>
      <c r="G27" s="32"/>
      <c r="H27" s="32"/>
      <c r="I27" s="33"/>
    </row>
    <row r="28" spans="1:9">
      <c r="A28" s="29" t="s">
        <v>47</v>
      </c>
      <c r="B28" s="66" t="s">
        <v>48</v>
      </c>
      <c r="C28" s="65" t="s">
        <v>39</v>
      </c>
      <c r="D28" s="65">
        <v>12</v>
      </c>
      <c r="E28" s="31">
        <v>34869.74</v>
      </c>
      <c r="F28" s="64">
        <f t="shared" si="0"/>
        <v>418436.88</v>
      </c>
      <c r="G28" s="32"/>
      <c r="H28" s="32"/>
      <c r="I28" s="33"/>
    </row>
    <row r="29" ht="22.5" customHeight="1" spans="1:9">
      <c r="A29" s="29" t="s">
        <v>49</v>
      </c>
      <c r="B29" s="67" t="s">
        <v>50</v>
      </c>
      <c r="C29" s="65" t="s">
        <v>39</v>
      </c>
      <c r="D29" s="65">
        <v>200</v>
      </c>
      <c r="E29" s="31">
        <v>170.96</v>
      </c>
      <c r="F29" s="64">
        <f t="shared" si="0"/>
        <v>34192</v>
      </c>
      <c r="G29" s="32"/>
      <c r="H29" s="32"/>
      <c r="I29" s="33"/>
    </row>
    <row r="30" spans="1:9">
      <c r="A30" s="29" t="s">
        <v>51</v>
      </c>
      <c r="B30" s="66" t="s">
        <v>52</v>
      </c>
      <c r="C30" s="65" t="s">
        <v>46</v>
      </c>
      <c r="D30" s="65">
        <v>100</v>
      </c>
      <c r="E30" s="31">
        <v>9865.49</v>
      </c>
      <c r="F30" s="64">
        <f t="shared" si="0"/>
        <v>986549</v>
      </c>
      <c r="G30" s="32"/>
      <c r="H30" s="32"/>
      <c r="I30" s="33"/>
    </row>
    <row r="31" spans="1:9">
      <c r="A31" s="29" t="s">
        <v>53</v>
      </c>
      <c r="B31" s="66" t="s">
        <v>54</v>
      </c>
      <c r="C31" s="65" t="s">
        <v>39</v>
      </c>
      <c r="D31" s="65">
        <v>12</v>
      </c>
      <c r="E31" s="31">
        <v>178939.54</v>
      </c>
      <c r="F31" s="64">
        <f t="shared" si="0"/>
        <v>2147274.48</v>
      </c>
      <c r="G31" s="32"/>
      <c r="H31" s="32"/>
      <c r="I31" s="33"/>
    </row>
    <row r="32" spans="1:9">
      <c r="A32" s="29" t="s">
        <v>55</v>
      </c>
      <c r="B32" s="66" t="s">
        <v>56</v>
      </c>
      <c r="C32" s="65" t="s">
        <v>46</v>
      </c>
      <c r="D32" s="65">
        <v>6.57</v>
      </c>
      <c r="E32" s="31">
        <v>33209.07</v>
      </c>
      <c r="F32" s="64">
        <f t="shared" si="0"/>
        <v>218183.59</v>
      </c>
      <c r="G32" s="32"/>
      <c r="H32" s="32"/>
      <c r="I32" s="33"/>
    </row>
    <row r="33" ht="16.5" spans="1:9">
      <c r="A33" s="29" t="s">
        <v>57</v>
      </c>
      <c r="B33" s="68" t="s">
        <v>58</v>
      </c>
      <c r="C33" s="69" t="s">
        <v>46</v>
      </c>
      <c r="D33" s="69">
        <v>150</v>
      </c>
      <c r="E33" s="36">
        <v>342.06</v>
      </c>
      <c r="F33" s="64">
        <f t="shared" si="0"/>
        <v>51309</v>
      </c>
      <c r="G33" s="32"/>
      <c r="H33" s="32"/>
      <c r="I33" s="33"/>
    </row>
    <row r="34" ht="16.5" spans="1:9">
      <c r="A34" s="70"/>
      <c r="B34" s="38" t="s">
        <v>59</v>
      </c>
      <c r="C34" s="71"/>
      <c r="D34" s="71"/>
      <c r="E34" s="72"/>
      <c r="F34" s="73">
        <f>SUM(F23:F33)</f>
        <v>6084554.96</v>
      </c>
      <c r="G34" s="32"/>
      <c r="H34" s="32"/>
      <c r="I34" s="33"/>
    </row>
    <row r="35" spans="1:9">
      <c r="A35" s="74" t="s">
        <v>60</v>
      </c>
      <c r="B35" s="75"/>
      <c r="C35" s="76"/>
      <c r="D35" s="76"/>
      <c r="E35" s="77"/>
      <c r="F35" s="78"/>
      <c r="G35" s="32"/>
      <c r="H35" s="32"/>
      <c r="I35" s="33"/>
    </row>
    <row r="36" spans="1:9">
      <c r="A36" s="29" t="s">
        <v>61</v>
      </c>
      <c r="B36" s="66" t="s">
        <v>62</v>
      </c>
      <c r="C36" s="65" t="s">
        <v>39</v>
      </c>
      <c r="D36" s="65">
        <v>200</v>
      </c>
      <c r="E36" s="31">
        <v>192.35</v>
      </c>
      <c r="F36" s="79">
        <f t="shared" ref="F36:F39" si="1">D36*E36</f>
        <v>38470</v>
      </c>
      <c r="G36" s="32"/>
      <c r="H36" s="32"/>
      <c r="I36" s="33"/>
    </row>
    <row r="37" spans="1:9">
      <c r="A37" s="29" t="s">
        <v>63</v>
      </c>
      <c r="B37" s="66" t="s">
        <v>64</v>
      </c>
      <c r="C37" s="65" t="s">
        <v>46</v>
      </c>
      <c r="D37" s="65">
        <v>100</v>
      </c>
      <c r="E37" s="31">
        <v>170.98</v>
      </c>
      <c r="F37" s="79">
        <f t="shared" si="1"/>
        <v>17098</v>
      </c>
      <c r="G37" s="32"/>
      <c r="H37" s="32"/>
      <c r="I37" s="33"/>
    </row>
    <row r="38" spans="1:9">
      <c r="A38" s="29" t="s">
        <v>65</v>
      </c>
      <c r="B38" s="66" t="s">
        <v>66</v>
      </c>
      <c r="C38" s="65" t="s">
        <v>46</v>
      </c>
      <c r="D38" s="65">
        <v>50</v>
      </c>
      <c r="E38" s="31">
        <v>18229.36</v>
      </c>
      <c r="F38" s="79">
        <f t="shared" si="1"/>
        <v>911468</v>
      </c>
      <c r="G38" s="32"/>
      <c r="H38" s="32"/>
      <c r="I38" s="33"/>
    </row>
    <row r="39" ht="16.5" spans="1:9">
      <c r="A39" s="29" t="s">
        <v>67</v>
      </c>
      <c r="B39" s="68" t="s">
        <v>58</v>
      </c>
      <c r="C39" s="59" t="s">
        <v>46</v>
      </c>
      <c r="D39" s="59">
        <v>87</v>
      </c>
      <c r="E39" s="31">
        <v>342.06</v>
      </c>
      <c r="F39" s="79">
        <f t="shared" si="1"/>
        <v>29759.22</v>
      </c>
      <c r="G39" s="32"/>
      <c r="H39" s="32"/>
      <c r="I39" s="33"/>
    </row>
    <row r="40" ht="16.5" spans="1:9">
      <c r="A40" s="70"/>
      <c r="B40" s="38" t="s">
        <v>68</v>
      </c>
      <c r="C40" s="71"/>
      <c r="D40" s="71"/>
      <c r="E40" s="72"/>
      <c r="F40" s="73">
        <f>SUM(F36:F39)</f>
        <v>996795.22</v>
      </c>
      <c r="G40" s="32"/>
      <c r="H40" s="32"/>
      <c r="I40" s="33"/>
    </row>
    <row r="41" ht="16.5" spans="1:9">
      <c r="A41" s="70"/>
      <c r="B41" s="38" t="s">
        <v>69</v>
      </c>
      <c r="C41" s="71"/>
      <c r="D41" s="71"/>
      <c r="E41" s="72"/>
      <c r="F41" s="73">
        <f>F40+F34</f>
        <v>7081350.18</v>
      </c>
      <c r="G41" s="32"/>
      <c r="H41" s="32"/>
      <c r="I41" s="33"/>
    </row>
    <row r="42" customHeight="1" spans="1:9">
      <c r="A42" s="80" t="s">
        <v>70</v>
      </c>
      <c r="B42" s="81"/>
      <c r="C42" s="30"/>
      <c r="D42" s="30"/>
      <c r="E42" s="31"/>
      <c r="F42" s="77"/>
      <c r="G42" s="32"/>
      <c r="H42" s="32"/>
      <c r="I42" s="33"/>
    </row>
    <row r="43" ht="32.25" spans="1:9">
      <c r="A43" s="29" t="s">
        <v>71</v>
      </c>
      <c r="B43" s="30" t="s">
        <v>72</v>
      </c>
      <c r="C43" s="82" t="s">
        <v>73</v>
      </c>
      <c r="D43" s="82">
        <v>4</v>
      </c>
      <c r="E43" s="31">
        <v>9481.23</v>
      </c>
      <c r="F43" s="31">
        <f>E43*D43</f>
        <v>37924.92</v>
      </c>
      <c r="G43" s="32"/>
      <c r="H43" s="32"/>
      <c r="I43" s="33"/>
    </row>
    <row r="44" ht="16.5" spans="1:9">
      <c r="A44" s="70"/>
      <c r="B44" s="38" t="s">
        <v>74</v>
      </c>
      <c r="C44" s="71"/>
      <c r="D44" s="71"/>
      <c r="E44" s="72"/>
      <c r="F44" s="73">
        <f>F43</f>
        <v>37924.92</v>
      </c>
      <c r="G44" s="32"/>
      <c r="H44" s="32"/>
      <c r="I44" s="33"/>
    </row>
    <row r="45" ht="16.5" spans="1:9">
      <c r="A45" s="70"/>
      <c r="B45" s="38" t="s">
        <v>75</v>
      </c>
      <c r="C45" s="71"/>
      <c r="D45" s="71"/>
      <c r="E45" s="72"/>
      <c r="F45" s="73">
        <f>F44+F41+F20+F16</f>
        <v>21699490.22</v>
      </c>
      <c r="G45" s="32"/>
      <c r="H45" s="32"/>
      <c r="I45" s="33"/>
    </row>
    <row r="46" spans="1:9">
      <c r="A46" s="83" t="s">
        <v>76</v>
      </c>
      <c r="B46" s="83"/>
      <c r="C46" s="46"/>
      <c r="D46" s="46"/>
      <c r="E46" s="31"/>
      <c r="F46" s="46"/>
      <c r="G46" s="32"/>
      <c r="H46" s="32"/>
      <c r="I46" s="33"/>
    </row>
    <row r="47" customHeight="1" spans="1:9">
      <c r="A47" s="84" t="s">
        <v>77</v>
      </c>
      <c r="B47" s="85"/>
      <c r="C47" s="30"/>
      <c r="D47" s="30"/>
      <c r="E47" s="31"/>
      <c r="F47" s="27"/>
      <c r="G47" s="32"/>
      <c r="H47" s="32"/>
      <c r="I47" s="33"/>
    </row>
    <row r="48" customHeight="1" spans="1:9">
      <c r="A48" s="28"/>
      <c r="B48" s="86" t="s">
        <v>78</v>
      </c>
      <c r="C48" s="30"/>
      <c r="D48" s="30"/>
      <c r="E48" s="31"/>
      <c r="F48" s="27"/>
      <c r="G48" s="32"/>
      <c r="H48" s="32"/>
      <c r="I48" s="33"/>
    </row>
    <row r="49" spans="1:9">
      <c r="A49" s="29" t="s">
        <v>79</v>
      </c>
      <c r="B49" s="30" t="s">
        <v>80</v>
      </c>
      <c r="C49" s="25" t="s">
        <v>81</v>
      </c>
      <c r="D49" s="25">
        <v>23.81</v>
      </c>
      <c r="E49" s="31">
        <v>78489.86</v>
      </c>
      <c r="F49" s="31">
        <f>E49*D49</f>
        <v>1868843.57</v>
      </c>
      <c r="G49" s="32"/>
      <c r="H49" s="32"/>
      <c r="I49" s="33"/>
    </row>
    <row r="50" spans="1:9">
      <c r="A50" s="29" t="s">
        <v>82</v>
      </c>
      <c r="B50" s="30" t="s">
        <v>83</v>
      </c>
      <c r="C50" s="25" t="s">
        <v>81</v>
      </c>
      <c r="D50" s="25">
        <v>76.73</v>
      </c>
      <c r="E50" s="31">
        <v>78489.87</v>
      </c>
      <c r="F50" s="31">
        <f t="shared" ref="F50:F87" si="2">E50*D50</f>
        <v>6022527.73</v>
      </c>
      <c r="G50" s="32"/>
      <c r="H50" s="32"/>
      <c r="I50" s="33"/>
    </row>
    <row r="51" spans="1:9">
      <c r="A51" s="29" t="s">
        <v>84</v>
      </c>
      <c r="B51" s="30" t="s">
        <v>85</v>
      </c>
      <c r="C51" s="25" t="s">
        <v>81</v>
      </c>
      <c r="D51" s="25">
        <v>76.73</v>
      </c>
      <c r="E51" s="31">
        <v>94963.96</v>
      </c>
      <c r="F51" s="31">
        <f t="shared" si="2"/>
        <v>7286584.65</v>
      </c>
      <c r="G51" s="32"/>
      <c r="H51" s="32"/>
      <c r="I51" s="33"/>
    </row>
    <row r="52" spans="1:9">
      <c r="A52" s="29" t="s">
        <v>86</v>
      </c>
      <c r="B52" s="30" t="s">
        <v>87</v>
      </c>
      <c r="C52" s="25" t="s">
        <v>81</v>
      </c>
      <c r="D52" s="25">
        <v>179</v>
      </c>
      <c r="E52" s="31">
        <v>188154.45</v>
      </c>
      <c r="F52" s="31">
        <f t="shared" si="2"/>
        <v>33679646.55</v>
      </c>
      <c r="G52" s="32"/>
      <c r="H52" s="32"/>
      <c r="I52" s="33"/>
    </row>
    <row r="53" spans="1:9">
      <c r="A53" s="29" t="s">
        <v>88</v>
      </c>
      <c r="B53" s="30" t="s">
        <v>89</v>
      </c>
      <c r="C53" s="25" t="s">
        <v>73</v>
      </c>
      <c r="D53" s="25">
        <v>67</v>
      </c>
      <c r="E53" s="31">
        <v>36620.52</v>
      </c>
      <c r="F53" s="31">
        <f t="shared" si="2"/>
        <v>2453574.84</v>
      </c>
      <c r="G53" s="32"/>
      <c r="H53" s="32"/>
      <c r="I53" s="33"/>
    </row>
    <row r="54" spans="1:9">
      <c r="A54" s="29" t="s">
        <v>90</v>
      </c>
      <c r="B54" s="30" t="s">
        <v>91</v>
      </c>
      <c r="C54" s="25" t="s">
        <v>81</v>
      </c>
      <c r="D54" s="25">
        <v>19.27</v>
      </c>
      <c r="E54" s="31">
        <v>212208.78</v>
      </c>
      <c r="F54" s="31">
        <f t="shared" si="2"/>
        <v>4089263.19</v>
      </c>
      <c r="G54" s="32"/>
      <c r="H54" s="32"/>
      <c r="I54" s="33"/>
    </row>
    <row r="55" spans="1:9">
      <c r="A55" s="29" t="s">
        <v>92</v>
      </c>
      <c r="B55" s="30" t="s">
        <v>93</v>
      </c>
      <c r="C55" s="25" t="s">
        <v>39</v>
      </c>
      <c r="D55" s="25">
        <v>155.44</v>
      </c>
      <c r="E55" s="31">
        <v>55403.75</v>
      </c>
      <c r="F55" s="31">
        <f t="shared" si="2"/>
        <v>8611958.9</v>
      </c>
      <c r="G55" s="32"/>
      <c r="H55" s="32"/>
      <c r="I55" s="33"/>
    </row>
    <row r="56" spans="1:9">
      <c r="A56" s="29" t="s">
        <v>94</v>
      </c>
      <c r="B56" s="30" t="s">
        <v>95</v>
      </c>
      <c r="C56" s="25" t="s">
        <v>81</v>
      </c>
      <c r="D56" s="25">
        <v>59.7</v>
      </c>
      <c r="E56" s="31">
        <v>288041.63</v>
      </c>
      <c r="F56" s="31">
        <f t="shared" si="2"/>
        <v>17196085.31</v>
      </c>
      <c r="G56" s="32"/>
      <c r="H56" s="32"/>
      <c r="I56" s="33"/>
    </row>
    <row r="57" ht="31.5" spans="1:9">
      <c r="A57" s="29" t="s">
        <v>96</v>
      </c>
      <c r="B57" s="30" t="s">
        <v>97</v>
      </c>
      <c r="C57" s="25" t="s">
        <v>98</v>
      </c>
      <c r="D57" s="25">
        <f>201+165</f>
        <v>366</v>
      </c>
      <c r="E57" s="31">
        <v>816.12</v>
      </c>
      <c r="F57" s="31">
        <f t="shared" si="2"/>
        <v>298699.92</v>
      </c>
      <c r="G57" s="32"/>
      <c r="H57" s="32"/>
      <c r="I57" s="33"/>
    </row>
    <row r="58" ht="31.5" spans="1:9">
      <c r="A58" s="29" t="s">
        <v>99</v>
      </c>
      <c r="B58" s="30" t="s">
        <v>100</v>
      </c>
      <c r="C58" s="25" t="s">
        <v>98</v>
      </c>
      <c r="D58" s="25">
        <f>126+113</f>
        <v>239</v>
      </c>
      <c r="E58" s="31">
        <v>25443</v>
      </c>
      <c r="F58" s="31">
        <f t="shared" si="2"/>
        <v>6080877</v>
      </c>
      <c r="G58" s="32"/>
      <c r="H58" s="32"/>
      <c r="I58" s="33"/>
    </row>
    <row r="59" ht="18" spans="1:9">
      <c r="A59" s="29" t="s">
        <v>101</v>
      </c>
      <c r="B59" s="30" t="s">
        <v>102</v>
      </c>
      <c r="C59" s="25" t="s">
        <v>98</v>
      </c>
      <c r="D59" s="25">
        <f>126+113</f>
        <v>239</v>
      </c>
      <c r="E59" s="31">
        <v>7852.77</v>
      </c>
      <c r="F59" s="31">
        <f t="shared" si="2"/>
        <v>1876812.03</v>
      </c>
      <c r="G59" s="32"/>
      <c r="H59" s="32"/>
      <c r="I59" s="33"/>
    </row>
    <row r="60" ht="31.5" spans="1:9">
      <c r="A60" s="29" t="s">
        <v>103</v>
      </c>
      <c r="B60" s="30" t="s">
        <v>104</v>
      </c>
      <c r="C60" s="25" t="s">
        <v>98</v>
      </c>
      <c r="D60" s="25">
        <v>108.2</v>
      </c>
      <c r="E60" s="31">
        <v>1859.8</v>
      </c>
      <c r="F60" s="31">
        <f t="shared" si="2"/>
        <v>201230.36</v>
      </c>
      <c r="G60" s="32"/>
      <c r="H60" s="32"/>
      <c r="I60" s="33"/>
    </row>
    <row r="61" spans="1:9">
      <c r="A61" s="29" t="s">
        <v>105</v>
      </c>
      <c r="B61" s="27" t="s">
        <v>106</v>
      </c>
      <c r="C61" s="25" t="s">
        <v>81</v>
      </c>
      <c r="D61" s="25">
        <f>1.67+0.9+0.24</f>
        <v>2.81</v>
      </c>
      <c r="E61" s="31">
        <v>392710.18</v>
      </c>
      <c r="F61" s="31">
        <f t="shared" si="2"/>
        <v>1103515.61</v>
      </c>
      <c r="G61" s="32"/>
      <c r="H61" s="32"/>
      <c r="I61" s="33"/>
    </row>
    <row r="62" ht="31.5" spans="1:9">
      <c r="A62" s="29" t="s">
        <v>107</v>
      </c>
      <c r="B62" s="30" t="s">
        <v>108</v>
      </c>
      <c r="C62" s="25" t="s">
        <v>81</v>
      </c>
      <c r="D62" s="25">
        <v>4.6328</v>
      </c>
      <c r="E62" s="31">
        <v>353315.45</v>
      </c>
      <c r="F62" s="31">
        <f t="shared" si="2"/>
        <v>1636839.82</v>
      </c>
      <c r="G62" s="32"/>
      <c r="H62" s="32"/>
      <c r="I62" s="33"/>
    </row>
    <row r="63" spans="1:9">
      <c r="B63" s="28" t="s">
        <v>109</v>
      </c>
      <c r="C63" s="25"/>
      <c r="D63" s="25"/>
      <c r="E63" s="31"/>
      <c r="F63" s="31"/>
      <c r="G63" s="32"/>
      <c r="H63" s="32"/>
      <c r="I63" s="33"/>
    </row>
    <row r="64" ht="31.5" spans="1:9">
      <c r="A64" s="29" t="s">
        <v>110</v>
      </c>
      <c r="B64" s="30" t="s">
        <v>111</v>
      </c>
      <c r="C64" s="35" t="s">
        <v>81</v>
      </c>
      <c r="D64" s="25">
        <v>6.0149</v>
      </c>
      <c r="E64" s="31">
        <v>353763.08</v>
      </c>
      <c r="F64" s="31">
        <f>E64*D64</f>
        <v>2127849.55</v>
      </c>
      <c r="G64" s="32"/>
      <c r="H64" s="32"/>
      <c r="I64" s="33"/>
    </row>
    <row r="65" ht="18" spans="1:9">
      <c r="A65" s="29" t="s">
        <v>112</v>
      </c>
      <c r="B65" s="27" t="s">
        <v>113</v>
      </c>
      <c r="C65" s="25" t="s">
        <v>114</v>
      </c>
      <c r="D65" s="25" t="s">
        <v>115</v>
      </c>
      <c r="E65" s="31">
        <v>61055.06</v>
      </c>
      <c r="F65" s="31">
        <f t="shared" si="2"/>
        <v>976880.96</v>
      </c>
      <c r="G65" s="32"/>
      <c r="H65" s="32"/>
      <c r="I65" s="33"/>
    </row>
    <row r="66" spans="1:9">
      <c r="A66" s="29" t="s">
        <v>116</v>
      </c>
      <c r="B66" s="27" t="s">
        <v>117</v>
      </c>
      <c r="C66" s="25" t="s">
        <v>36</v>
      </c>
      <c r="D66" s="25">
        <v>5.2</v>
      </c>
      <c r="E66" s="31">
        <v>3921.36</v>
      </c>
      <c r="F66" s="31">
        <f t="shared" si="2"/>
        <v>20391.07</v>
      </c>
      <c r="G66" s="32"/>
      <c r="H66" s="32"/>
      <c r="I66" s="33"/>
    </row>
    <row r="67" spans="1:9">
      <c r="A67" s="29" t="s">
        <v>118</v>
      </c>
      <c r="B67" s="27" t="s">
        <v>119</v>
      </c>
      <c r="C67" s="25" t="s">
        <v>46</v>
      </c>
      <c r="D67" s="25">
        <f>2.5+1.4+0.14</f>
        <v>4.04</v>
      </c>
      <c r="E67" s="31">
        <v>187974.82</v>
      </c>
      <c r="F67" s="31">
        <f t="shared" si="2"/>
        <v>759418.27</v>
      </c>
      <c r="G67" s="32"/>
      <c r="H67" s="32"/>
      <c r="I67" s="33"/>
    </row>
    <row r="68" spans="1:9">
      <c r="A68" s="29" t="s">
        <v>120</v>
      </c>
      <c r="B68" s="30" t="s">
        <v>121</v>
      </c>
      <c r="C68" s="25" t="s">
        <v>46</v>
      </c>
      <c r="D68" s="25" t="s">
        <v>122</v>
      </c>
      <c r="E68" s="31">
        <v>205347.22</v>
      </c>
      <c r="F68" s="31">
        <f t="shared" si="2"/>
        <v>94459.72</v>
      </c>
      <c r="G68" s="32"/>
      <c r="H68" s="32"/>
      <c r="I68" s="33"/>
    </row>
    <row r="69" s="1" customFormat="1" ht="18" spans="1:9">
      <c r="A69" s="29" t="s">
        <v>123</v>
      </c>
      <c r="B69" s="30" t="s">
        <v>124</v>
      </c>
      <c r="C69" s="25" t="s">
        <v>114</v>
      </c>
      <c r="D69" s="25">
        <v>90</v>
      </c>
      <c r="E69" s="31">
        <v>103241.32</v>
      </c>
      <c r="F69" s="31">
        <f t="shared" si="2"/>
        <v>9291718.8</v>
      </c>
      <c r="G69" s="32"/>
      <c r="H69" s="32"/>
      <c r="I69" s="33"/>
    </row>
    <row r="70" ht="18" spans="1:9">
      <c r="A70" s="29" t="s">
        <v>125</v>
      </c>
      <c r="B70" s="30" t="s">
        <v>126</v>
      </c>
      <c r="C70" s="25" t="s">
        <v>114</v>
      </c>
      <c r="D70" s="25" t="s">
        <v>127</v>
      </c>
      <c r="E70" s="31">
        <v>78446.6</v>
      </c>
      <c r="F70" s="31">
        <f t="shared" si="2"/>
        <v>635417.46</v>
      </c>
      <c r="G70" s="32"/>
      <c r="H70" s="32"/>
      <c r="I70" s="33"/>
    </row>
    <row r="71" spans="1:9">
      <c r="A71" s="6"/>
      <c r="B71" s="87" t="s">
        <v>128</v>
      </c>
      <c r="C71" s="25"/>
      <c r="D71" s="25"/>
      <c r="E71" s="31"/>
      <c r="F71" s="31"/>
      <c r="G71" s="32"/>
      <c r="H71" s="32"/>
      <c r="I71" s="33"/>
    </row>
    <row r="72" ht="18" spans="1:9">
      <c r="A72" s="29" t="s">
        <v>129</v>
      </c>
      <c r="B72" s="30" t="s">
        <v>130</v>
      </c>
      <c r="C72" s="25" t="s">
        <v>114</v>
      </c>
      <c r="D72" s="25" t="s">
        <v>131</v>
      </c>
      <c r="E72" s="31">
        <v>104947.07</v>
      </c>
      <c r="F72" s="31">
        <f t="shared" si="2"/>
        <v>24872455.59</v>
      </c>
      <c r="G72" s="32"/>
      <c r="H72" s="32"/>
      <c r="I72" s="33"/>
    </row>
    <row r="73" spans="1:9">
      <c r="A73" s="29" t="s">
        <v>132</v>
      </c>
      <c r="B73" s="30" t="s">
        <v>117</v>
      </c>
      <c r="C73" s="25" t="s">
        <v>36</v>
      </c>
      <c r="D73" s="25">
        <v>29.2</v>
      </c>
      <c r="E73" s="31">
        <v>3922.13</v>
      </c>
      <c r="F73" s="31">
        <f t="shared" si="2"/>
        <v>114526.2</v>
      </c>
      <c r="G73" s="32"/>
      <c r="H73" s="32"/>
      <c r="I73" s="33"/>
    </row>
    <row r="74" ht="18" spans="1:9">
      <c r="A74" s="29" t="s">
        <v>133</v>
      </c>
      <c r="B74" s="30" t="s">
        <v>134</v>
      </c>
      <c r="C74" s="25" t="s">
        <v>114</v>
      </c>
      <c r="D74" s="25" t="s">
        <v>135</v>
      </c>
      <c r="E74" s="31">
        <v>77235.3</v>
      </c>
      <c r="F74" s="31">
        <f t="shared" si="2"/>
        <v>324388.26</v>
      </c>
      <c r="G74" s="32"/>
      <c r="H74" s="32"/>
      <c r="I74" s="33"/>
    </row>
    <row r="75" spans="1:9">
      <c r="A75" s="6"/>
      <c r="B75" s="27" t="s">
        <v>136</v>
      </c>
      <c r="C75" s="25"/>
      <c r="D75" s="25"/>
      <c r="E75" s="31"/>
      <c r="F75" s="31"/>
      <c r="G75" s="32"/>
      <c r="H75" s="32"/>
      <c r="I75" s="33"/>
    </row>
    <row r="76" spans="1:9">
      <c r="A76" s="29" t="s">
        <v>137</v>
      </c>
      <c r="B76" s="30" t="s">
        <v>121</v>
      </c>
      <c r="C76" s="25" t="s">
        <v>46</v>
      </c>
      <c r="D76" s="25" t="s">
        <v>122</v>
      </c>
      <c r="E76" s="31">
        <v>213017.3</v>
      </c>
      <c r="F76" s="31">
        <f t="shared" si="2"/>
        <v>97987.96</v>
      </c>
      <c r="G76" s="32"/>
      <c r="H76" s="32"/>
      <c r="I76" s="33"/>
    </row>
    <row r="77" ht="18" spans="1:9">
      <c r="A77" s="29" t="s">
        <v>138</v>
      </c>
      <c r="B77" s="27" t="s">
        <v>139</v>
      </c>
      <c r="C77" s="25" t="s">
        <v>114</v>
      </c>
      <c r="D77" s="25" t="s">
        <v>140</v>
      </c>
      <c r="E77" s="31">
        <v>56393.82</v>
      </c>
      <c r="F77" s="31">
        <f t="shared" si="2"/>
        <v>3101660.1</v>
      </c>
      <c r="G77" s="32"/>
      <c r="H77" s="32"/>
      <c r="I77" s="33"/>
    </row>
    <row r="78" ht="18" spans="1:9">
      <c r="A78" s="29" t="s">
        <v>141</v>
      </c>
      <c r="B78" s="27" t="s">
        <v>142</v>
      </c>
      <c r="C78" s="25" t="s">
        <v>114</v>
      </c>
      <c r="D78" s="25" t="s">
        <v>143</v>
      </c>
      <c r="E78" s="31">
        <v>18454.5</v>
      </c>
      <c r="F78" s="31">
        <f t="shared" si="2"/>
        <v>202999.5</v>
      </c>
      <c r="G78" s="32"/>
      <c r="H78" s="32"/>
      <c r="I78" s="33"/>
    </row>
    <row r="79" ht="18" spans="1:9">
      <c r="A79" s="29" t="s">
        <v>144</v>
      </c>
      <c r="B79" s="30" t="s">
        <v>145</v>
      </c>
      <c r="C79" s="25" t="s">
        <v>114</v>
      </c>
      <c r="D79" s="25">
        <f>352+470</f>
        <v>822</v>
      </c>
      <c r="E79" s="31">
        <v>10831.99</v>
      </c>
      <c r="F79" s="31">
        <f t="shared" si="2"/>
        <v>8903895.78</v>
      </c>
      <c r="G79" s="32"/>
      <c r="H79" s="32"/>
      <c r="I79" s="33"/>
    </row>
    <row r="80" ht="18" spans="1:9">
      <c r="A80" s="29" t="s">
        <v>146</v>
      </c>
      <c r="B80" s="27" t="s">
        <v>147</v>
      </c>
      <c r="C80" s="25" t="s">
        <v>114</v>
      </c>
      <c r="D80" s="25" t="s">
        <v>148</v>
      </c>
      <c r="E80" s="31">
        <v>12058.66</v>
      </c>
      <c r="F80" s="31">
        <f t="shared" si="2"/>
        <v>3955240.48</v>
      </c>
      <c r="G80" s="32"/>
      <c r="H80" s="32"/>
      <c r="I80" s="33"/>
    </row>
    <row r="81" spans="1:9">
      <c r="A81" s="6"/>
      <c r="B81" s="27" t="s">
        <v>149</v>
      </c>
      <c r="C81" s="25"/>
      <c r="D81" s="25"/>
      <c r="E81" s="31"/>
      <c r="F81" s="31"/>
      <c r="G81" s="32"/>
      <c r="H81" s="32"/>
      <c r="I81" s="33"/>
    </row>
    <row r="82" spans="1:9">
      <c r="A82" s="29" t="s">
        <v>150</v>
      </c>
      <c r="B82" s="30" t="s">
        <v>151</v>
      </c>
      <c r="C82" s="88" t="s">
        <v>73</v>
      </c>
      <c r="D82" s="88">
        <v>6</v>
      </c>
      <c r="E82" s="31">
        <v>43060.72</v>
      </c>
      <c r="F82" s="31">
        <f t="shared" si="2"/>
        <v>258364.32</v>
      </c>
      <c r="G82" s="32"/>
      <c r="H82" s="32"/>
      <c r="I82" s="33"/>
    </row>
    <row r="83" spans="1:9">
      <c r="A83" s="29" t="s">
        <v>152</v>
      </c>
      <c r="B83" s="27" t="s">
        <v>153</v>
      </c>
      <c r="C83" s="25" t="s">
        <v>36</v>
      </c>
      <c r="D83" s="25">
        <v>75.6</v>
      </c>
      <c r="E83" s="31">
        <v>6260.11</v>
      </c>
      <c r="F83" s="31">
        <f t="shared" si="2"/>
        <v>473264.32</v>
      </c>
      <c r="G83" s="32"/>
      <c r="H83" s="32"/>
      <c r="I83" s="33"/>
    </row>
    <row r="84" spans="1:9">
      <c r="A84" s="29" t="s">
        <v>154</v>
      </c>
      <c r="B84" s="30" t="s">
        <v>155</v>
      </c>
      <c r="C84" s="88" t="s">
        <v>81</v>
      </c>
      <c r="D84" s="88">
        <v>4.6</v>
      </c>
      <c r="E84" s="31">
        <v>334910.95</v>
      </c>
      <c r="F84" s="31">
        <f t="shared" si="2"/>
        <v>1540590.37</v>
      </c>
      <c r="G84" s="32"/>
      <c r="H84" s="32"/>
      <c r="I84" s="33"/>
    </row>
    <row r="85" spans="1:9">
      <c r="A85" s="29" t="s">
        <v>156</v>
      </c>
      <c r="B85" s="27" t="s">
        <v>157</v>
      </c>
      <c r="C85" s="88" t="s">
        <v>81</v>
      </c>
      <c r="D85" s="88">
        <v>0.072</v>
      </c>
      <c r="E85" s="31">
        <v>385028.61</v>
      </c>
      <c r="F85" s="31">
        <f t="shared" si="2"/>
        <v>27722.06</v>
      </c>
      <c r="G85" s="32"/>
      <c r="H85" s="32"/>
      <c r="I85" s="33"/>
    </row>
    <row r="86" spans="1:9">
      <c r="A86" s="29" t="s">
        <v>158</v>
      </c>
      <c r="B86" s="27" t="s">
        <v>159</v>
      </c>
      <c r="C86" s="88" t="s">
        <v>73</v>
      </c>
      <c r="D86" s="88">
        <v>4</v>
      </c>
      <c r="E86" s="31">
        <v>485059.19</v>
      </c>
      <c r="F86" s="31">
        <f t="shared" si="2"/>
        <v>1940236.76</v>
      </c>
      <c r="G86" s="32"/>
      <c r="H86" s="32"/>
      <c r="I86" s="33"/>
    </row>
    <row r="87" ht="16.5" spans="1:9">
      <c r="A87" s="29" t="s">
        <v>160</v>
      </c>
      <c r="B87" s="34" t="s">
        <v>161</v>
      </c>
      <c r="C87" s="35" t="s">
        <v>162</v>
      </c>
      <c r="D87" s="35" t="s">
        <v>14</v>
      </c>
      <c r="E87" s="36">
        <v>9064.36</v>
      </c>
      <c r="F87" s="36">
        <f t="shared" si="2"/>
        <v>45321.8</v>
      </c>
      <c r="G87" s="32"/>
      <c r="H87" s="32"/>
      <c r="I87" s="33"/>
    </row>
    <row r="88" ht="16.5" spans="1:9">
      <c r="A88" s="37"/>
      <c r="B88" s="38" t="s">
        <v>163</v>
      </c>
      <c r="C88" s="39"/>
      <c r="D88" s="39"/>
      <c r="E88" s="72"/>
      <c r="F88" s="41">
        <f>SUM(F49:F87)</f>
        <v>152171248.81</v>
      </c>
      <c r="G88" s="32"/>
      <c r="H88" s="32"/>
      <c r="I88" s="33"/>
    </row>
    <row r="89" spans="1:9">
      <c r="A89" s="83" t="s">
        <v>164</v>
      </c>
      <c r="B89" s="46"/>
      <c r="C89" s="46"/>
      <c r="D89" s="46"/>
      <c r="E89" s="77"/>
      <c r="F89" s="46"/>
      <c r="G89" s="32"/>
      <c r="H89" s="32"/>
      <c r="I89" s="33"/>
    </row>
    <row r="90" ht="18.75" spans="1:9">
      <c r="A90" s="29" t="s">
        <v>165</v>
      </c>
      <c r="B90" s="34" t="s">
        <v>166</v>
      </c>
      <c r="C90" s="35" t="s">
        <v>114</v>
      </c>
      <c r="D90" s="35" t="s">
        <v>167</v>
      </c>
      <c r="E90" s="36">
        <v>3530.29</v>
      </c>
      <c r="F90" s="36">
        <f t="shared" ref="F90" si="3">E90*D90</f>
        <v>4409332.21</v>
      </c>
      <c r="G90" s="32"/>
      <c r="H90" s="32"/>
      <c r="I90" s="33"/>
    </row>
    <row r="91" ht="16.5" spans="1:9">
      <c r="A91" s="37"/>
      <c r="B91" s="38" t="s">
        <v>168</v>
      </c>
      <c r="C91" s="39"/>
      <c r="D91" s="39"/>
      <c r="E91" s="72"/>
      <c r="F91" s="41">
        <f>SUM(F90)</f>
        <v>4409332.21</v>
      </c>
      <c r="G91" s="32"/>
      <c r="H91" s="32"/>
      <c r="I91" s="33"/>
    </row>
    <row r="92" spans="1:9">
      <c r="A92" s="83" t="s">
        <v>169</v>
      </c>
      <c r="B92" s="46"/>
      <c r="C92" s="46"/>
      <c r="D92" s="46"/>
      <c r="E92" s="77"/>
      <c r="F92" s="46"/>
      <c r="G92" s="32"/>
      <c r="H92" s="32"/>
      <c r="I92" s="33"/>
    </row>
    <row r="93" ht="31.5" spans="1:9">
      <c r="A93" s="29" t="s">
        <v>170</v>
      </c>
      <c r="B93" s="30" t="s">
        <v>171</v>
      </c>
      <c r="C93" s="88" t="s">
        <v>73</v>
      </c>
      <c r="D93" s="88">
        <v>1</v>
      </c>
      <c r="E93" s="31">
        <v>236965.48</v>
      </c>
      <c r="F93" s="36">
        <f t="shared" ref="F93:F95" si="4">E93*D93</f>
        <v>236965.48</v>
      </c>
      <c r="G93" s="32"/>
      <c r="H93" s="32"/>
      <c r="I93" s="33"/>
    </row>
    <row r="94" ht="31.5" spans="1:9">
      <c r="A94" s="29" t="s">
        <v>172</v>
      </c>
      <c r="B94" s="30" t="s">
        <v>173</v>
      </c>
      <c r="C94" s="88" t="s">
        <v>73</v>
      </c>
      <c r="D94" s="88">
        <v>1</v>
      </c>
      <c r="E94" s="31">
        <v>2189.9</v>
      </c>
      <c r="F94" s="36">
        <f t="shared" si="4"/>
        <v>2189.9</v>
      </c>
      <c r="G94" s="32"/>
      <c r="H94" s="32"/>
      <c r="I94" s="33"/>
    </row>
    <row r="95" ht="32.25" spans="1:9">
      <c r="A95" s="29" t="s">
        <v>174</v>
      </c>
      <c r="B95" s="34" t="s">
        <v>175</v>
      </c>
      <c r="C95" s="35" t="s">
        <v>73</v>
      </c>
      <c r="D95" s="35">
        <v>1</v>
      </c>
      <c r="E95" s="36">
        <v>680728.28</v>
      </c>
      <c r="F95" s="36">
        <f t="shared" si="4"/>
        <v>680728.28</v>
      </c>
      <c r="G95" s="32"/>
      <c r="H95" s="32"/>
      <c r="I95" s="33"/>
    </row>
    <row r="96" ht="16.5" spans="1:9">
      <c r="A96" s="37"/>
      <c r="B96" s="38" t="s">
        <v>176</v>
      </c>
      <c r="C96" s="39"/>
      <c r="D96" s="39"/>
      <c r="E96" s="72"/>
      <c r="F96" s="41">
        <f>SUM(F93:F95)</f>
        <v>919883.66</v>
      </c>
      <c r="G96" s="32"/>
      <c r="H96" s="32"/>
      <c r="I96" s="33"/>
    </row>
    <row r="97" spans="1:9">
      <c r="A97" s="83" t="s">
        <v>177</v>
      </c>
      <c r="B97" s="46"/>
      <c r="C97" s="46"/>
      <c r="D97" s="46"/>
      <c r="E97" s="77"/>
      <c r="F97" s="46"/>
      <c r="G97" s="32"/>
      <c r="H97" s="32"/>
      <c r="I97" s="33"/>
    </row>
    <row r="98" spans="1:9">
      <c r="A98" s="83" t="s">
        <v>178</v>
      </c>
      <c r="B98" s="46"/>
      <c r="C98" s="46"/>
      <c r="D98" s="46"/>
      <c r="E98" s="31"/>
      <c r="F98" s="27"/>
      <c r="G98" s="32"/>
      <c r="H98" s="32"/>
      <c r="I98" s="33"/>
    </row>
    <row r="99" spans="1:9">
      <c r="A99" s="27"/>
      <c r="B99" s="86" t="s">
        <v>179</v>
      </c>
      <c r="C99" s="25"/>
      <c r="D99" s="25"/>
      <c r="E99" s="31"/>
      <c r="F99" s="27"/>
      <c r="G99" s="32"/>
      <c r="H99" s="32"/>
      <c r="I99" s="33"/>
    </row>
    <row r="100" ht="31.5" spans="1:9">
      <c r="A100" s="29" t="s">
        <v>180</v>
      </c>
      <c r="B100" s="30" t="s">
        <v>181</v>
      </c>
      <c r="C100" s="25" t="s">
        <v>98</v>
      </c>
      <c r="D100" s="25" t="s">
        <v>182</v>
      </c>
      <c r="E100" s="31">
        <v>520.22</v>
      </c>
      <c r="F100" s="36">
        <f t="shared" ref="F100:F103" si="5">E100*D100</f>
        <v>67628.6</v>
      </c>
      <c r="G100" s="32"/>
      <c r="H100" s="32"/>
      <c r="I100" s="33"/>
    </row>
    <row r="101" ht="47.25" spans="1:9">
      <c r="A101" s="29" t="s">
        <v>183</v>
      </c>
      <c r="B101" s="30" t="s">
        <v>184</v>
      </c>
      <c r="C101" s="25" t="s">
        <v>114</v>
      </c>
      <c r="D101" s="25">
        <v>505</v>
      </c>
      <c r="E101" s="31">
        <v>548.45</v>
      </c>
      <c r="F101" s="36">
        <f t="shared" si="5"/>
        <v>276967.25</v>
      </c>
      <c r="G101" s="32"/>
      <c r="H101" s="32"/>
      <c r="I101" s="33"/>
    </row>
    <row r="102" ht="78.75" spans="1:9">
      <c r="A102" s="29" t="s">
        <v>185</v>
      </c>
      <c r="B102" s="30" t="s">
        <v>186</v>
      </c>
      <c r="C102" s="25" t="s">
        <v>114</v>
      </c>
      <c r="D102" s="25">
        <v>505</v>
      </c>
      <c r="E102" s="31">
        <v>227.26</v>
      </c>
      <c r="F102" s="36">
        <f t="shared" si="5"/>
        <v>114766.3</v>
      </c>
      <c r="G102" s="32"/>
      <c r="H102" s="32"/>
      <c r="I102" s="33"/>
    </row>
    <row r="103" ht="18" spans="1:9">
      <c r="A103" s="89" t="s">
        <v>187</v>
      </c>
      <c r="B103" s="34" t="s">
        <v>188</v>
      </c>
      <c r="C103" s="35" t="s">
        <v>114</v>
      </c>
      <c r="D103" s="35">
        <v>505</v>
      </c>
      <c r="E103" s="31">
        <v>86.1</v>
      </c>
      <c r="F103" s="36">
        <f t="shared" si="5"/>
        <v>43480.5</v>
      </c>
      <c r="G103" s="32"/>
      <c r="H103" s="32"/>
      <c r="I103" s="33"/>
    </row>
    <row r="104" ht="31.5" spans="1:9">
      <c r="A104" s="90"/>
      <c r="B104" s="91" t="s">
        <v>189</v>
      </c>
      <c r="C104" s="92"/>
      <c r="D104" s="92"/>
      <c r="E104" s="93"/>
      <c r="F104" s="27"/>
      <c r="G104" s="32"/>
      <c r="H104" s="32"/>
      <c r="I104" s="33"/>
    </row>
    <row r="105" ht="18" spans="1:9">
      <c r="A105" s="94" t="s">
        <v>190</v>
      </c>
      <c r="B105" s="44" t="s">
        <v>191</v>
      </c>
      <c r="C105" s="95" t="s">
        <v>98</v>
      </c>
      <c r="D105" s="95" t="s">
        <v>192</v>
      </c>
      <c r="E105" s="31">
        <v>4497.58</v>
      </c>
      <c r="F105" s="36">
        <f t="shared" ref="F105:F107" si="6">E105*D105</f>
        <v>859037.78</v>
      </c>
      <c r="G105" s="32"/>
      <c r="H105" s="32"/>
      <c r="I105" s="33"/>
    </row>
    <row r="106" ht="31.5" spans="1:9">
      <c r="A106" s="29" t="s">
        <v>193</v>
      </c>
      <c r="B106" s="30" t="s">
        <v>194</v>
      </c>
      <c r="C106" s="25" t="s">
        <v>98</v>
      </c>
      <c r="D106" s="25" t="s">
        <v>192</v>
      </c>
      <c r="E106" s="31">
        <v>4093.61</v>
      </c>
      <c r="F106" s="36">
        <f t="shared" si="6"/>
        <v>781879.51</v>
      </c>
      <c r="G106" s="32"/>
      <c r="H106" s="32"/>
      <c r="I106" s="33"/>
    </row>
    <row r="107" ht="31.5" spans="1:9">
      <c r="A107" s="29" t="s">
        <v>195</v>
      </c>
      <c r="B107" s="30" t="s">
        <v>196</v>
      </c>
      <c r="C107" s="25" t="s">
        <v>114</v>
      </c>
      <c r="D107" s="25">
        <v>71.9</v>
      </c>
      <c r="E107" s="31">
        <v>5834.17</v>
      </c>
      <c r="F107" s="31">
        <f t="shared" si="6"/>
        <v>419476.82</v>
      </c>
      <c r="G107" s="32"/>
      <c r="H107" s="32"/>
      <c r="I107" s="33"/>
    </row>
    <row r="108" ht="31.5" spans="1:9">
      <c r="A108" s="6"/>
      <c r="B108" s="91" t="s">
        <v>197</v>
      </c>
      <c r="C108" s="92"/>
      <c r="D108" s="92"/>
      <c r="E108" s="31"/>
      <c r="F108" s="27"/>
      <c r="G108" s="32"/>
      <c r="H108" s="32"/>
      <c r="I108" s="33"/>
    </row>
    <row r="109" ht="18" spans="1:9">
      <c r="A109" s="29" t="s">
        <v>198</v>
      </c>
      <c r="B109" s="30" t="s">
        <v>199</v>
      </c>
      <c r="C109" s="25" t="s">
        <v>98</v>
      </c>
      <c r="D109" s="25" t="s">
        <v>200</v>
      </c>
      <c r="E109" s="31">
        <v>3879.04</v>
      </c>
      <c r="F109" s="36">
        <f t="shared" ref="F109:F111" si="7">E109*D109</f>
        <v>178435.84</v>
      </c>
      <c r="G109" s="32"/>
      <c r="H109" s="32"/>
      <c r="I109" s="33"/>
    </row>
    <row r="110" ht="31.5" spans="1:9">
      <c r="A110" s="29" t="s">
        <v>201</v>
      </c>
      <c r="B110" s="30" t="s">
        <v>202</v>
      </c>
      <c r="C110" s="25" t="s">
        <v>98</v>
      </c>
      <c r="D110" s="25" t="s">
        <v>200</v>
      </c>
      <c r="E110" s="31">
        <v>4102.88</v>
      </c>
      <c r="F110" s="36">
        <f t="shared" si="7"/>
        <v>188732.48</v>
      </c>
      <c r="G110" s="32"/>
      <c r="H110" s="32"/>
      <c r="I110" s="33"/>
    </row>
    <row r="111" ht="31.5" spans="1:9">
      <c r="A111" s="29" t="s">
        <v>203</v>
      </c>
      <c r="B111" s="30" t="s">
        <v>196</v>
      </c>
      <c r="C111" s="25" t="s">
        <v>114</v>
      </c>
      <c r="D111" s="25">
        <v>16.27</v>
      </c>
      <c r="E111" s="31">
        <v>5943.51</v>
      </c>
      <c r="F111" s="36">
        <f t="shared" si="7"/>
        <v>96700.91</v>
      </c>
      <c r="G111" s="32"/>
      <c r="H111" s="32"/>
      <c r="I111" s="33"/>
    </row>
    <row r="112" spans="1:9">
      <c r="A112" s="90"/>
      <c r="B112" s="96" t="s">
        <v>204</v>
      </c>
      <c r="C112" s="96"/>
      <c r="D112" s="96"/>
      <c r="E112" s="31"/>
      <c r="F112" s="27"/>
      <c r="G112" s="32"/>
      <c r="H112" s="32"/>
      <c r="I112" s="33"/>
    </row>
    <row r="113" spans="1:9">
      <c r="A113" s="27"/>
      <c r="B113" s="27" t="s">
        <v>205</v>
      </c>
      <c r="C113" s="25" t="s">
        <v>36</v>
      </c>
      <c r="D113" s="25" t="s">
        <v>206</v>
      </c>
      <c r="E113" s="31"/>
      <c r="F113" s="27"/>
      <c r="G113" s="32"/>
      <c r="H113" s="32"/>
      <c r="I113" s="33"/>
    </row>
    <row r="114" ht="31.5" spans="1:9">
      <c r="A114" s="29" t="s">
        <v>207</v>
      </c>
      <c r="B114" s="30" t="s">
        <v>208</v>
      </c>
      <c r="C114" s="25" t="s">
        <v>114</v>
      </c>
      <c r="D114" s="25">
        <v>4.39</v>
      </c>
      <c r="E114" s="31">
        <v>5944.93</v>
      </c>
      <c r="F114" s="36">
        <f t="shared" ref="F114:F116" si="8">E114*D114</f>
        <v>26098.24</v>
      </c>
      <c r="G114" s="32"/>
      <c r="H114" s="32"/>
      <c r="I114" s="33"/>
    </row>
    <row r="115" spans="1:9">
      <c r="A115" s="29" t="s">
        <v>209</v>
      </c>
      <c r="B115" s="30" t="s">
        <v>210</v>
      </c>
      <c r="C115" s="25" t="s">
        <v>211</v>
      </c>
      <c r="D115" s="25" t="s">
        <v>212</v>
      </c>
      <c r="E115" s="31">
        <v>714.96</v>
      </c>
      <c r="F115" s="36">
        <f t="shared" si="8"/>
        <v>25738.56</v>
      </c>
      <c r="G115" s="32"/>
      <c r="H115" s="32"/>
      <c r="I115" s="33"/>
    </row>
    <row r="116" ht="18.75" spans="1:9">
      <c r="A116" s="29" t="s">
        <v>213</v>
      </c>
      <c r="B116" s="34" t="s">
        <v>214</v>
      </c>
      <c r="C116" s="35" t="s">
        <v>98</v>
      </c>
      <c r="D116" s="35" t="s">
        <v>212</v>
      </c>
      <c r="E116" s="36">
        <v>2450.3</v>
      </c>
      <c r="F116" s="36">
        <f t="shared" si="8"/>
        <v>88210.8</v>
      </c>
      <c r="G116" s="32"/>
      <c r="H116" s="32"/>
      <c r="I116" s="33"/>
    </row>
    <row r="117" ht="16.5" spans="1:9">
      <c r="A117" s="37"/>
      <c r="B117" s="38" t="s">
        <v>215</v>
      </c>
      <c r="C117" s="39"/>
      <c r="D117" s="39"/>
      <c r="E117" s="72"/>
      <c r="F117" s="41">
        <f>SUM(F100:F116)</f>
        <v>3167153.59</v>
      </c>
      <c r="G117" s="32"/>
      <c r="H117" s="32"/>
      <c r="I117" s="33"/>
    </row>
    <row r="118" spans="1:9">
      <c r="A118" s="83" t="s">
        <v>216</v>
      </c>
      <c r="B118" s="46"/>
      <c r="C118" s="46"/>
      <c r="D118" s="46"/>
      <c r="E118" s="77"/>
      <c r="F118" s="46"/>
      <c r="G118" s="32"/>
      <c r="H118" s="32"/>
      <c r="I118" s="33"/>
    </row>
    <row r="119" spans="1:9">
      <c r="A119" s="29" t="s">
        <v>217</v>
      </c>
      <c r="B119" s="30" t="s">
        <v>218</v>
      </c>
      <c r="C119" s="25" t="s">
        <v>73</v>
      </c>
      <c r="D119" s="25" t="s">
        <v>219</v>
      </c>
      <c r="E119" s="31">
        <v>218407.63</v>
      </c>
      <c r="F119" s="36">
        <f t="shared" ref="F119:F121" si="9">E119*D119</f>
        <v>3712929.71</v>
      </c>
      <c r="G119" s="32"/>
      <c r="H119" s="32"/>
      <c r="I119" s="33"/>
    </row>
    <row r="120" ht="18" spans="1:9">
      <c r="A120" s="29" t="s">
        <v>220</v>
      </c>
      <c r="B120" s="30" t="s">
        <v>221</v>
      </c>
      <c r="C120" s="25" t="s">
        <v>114</v>
      </c>
      <c r="D120" s="25" t="s">
        <v>219</v>
      </c>
      <c r="E120" s="31">
        <v>23452.93</v>
      </c>
      <c r="F120" s="36">
        <f t="shared" si="9"/>
        <v>398699.81</v>
      </c>
      <c r="G120" s="32"/>
      <c r="H120" s="32"/>
      <c r="I120" s="33"/>
    </row>
    <row r="121" ht="16.5" spans="1:9">
      <c r="A121" s="29" t="s">
        <v>222</v>
      </c>
      <c r="B121" s="34" t="s">
        <v>223</v>
      </c>
      <c r="C121" s="35" t="s">
        <v>73</v>
      </c>
      <c r="D121" s="35" t="s">
        <v>143</v>
      </c>
      <c r="E121" s="36">
        <v>243212.88</v>
      </c>
      <c r="F121" s="36">
        <f t="shared" si="9"/>
        <v>2675341.68</v>
      </c>
      <c r="G121" s="32"/>
      <c r="H121" s="32"/>
      <c r="I121" s="33"/>
    </row>
    <row r="122" ht="16.5" spans="1:9">
      <c r="A122" s="37"/>
      <c r="B122" s="38" t="s">
        <v>224</v>
      </c>
      <c r="C122" s="39"/>
      <c r="D122" s="39"/>
      <c r="E122" s="72"/>
      <c r="F122" s="41">
        <f>SUM(F119:F121)</f>
        <v>6786971.2</v>
      </c>
      <c r="G122" s="32"/>
      <c r="H122" s="32"/>
      <c r="I122" s="33"/>
    </row>
    <row r="123" ht="16.5" spans="1:9">
      <c r="A123" s="37"/>
      <c r="B123" s="38" t="s">
        <v>225</v>
      </c>
      <c r="C123" s="39"/>
      <c r="D123" s="39"/>
      <c r="E123" s="72"/>
      <c r="F123" s="41">
        <f>F122+F117</f>
        <v>9954124.79</v>
      </c>
      <c r="G123" s="32"/>
      <c r="H123" s="32"/>
      <c r="I123" s="33"/>
    </row>
    <row r="124" spans="1:9">
      <c r="A124" s="83" t="s">
        <v>226</v>
      </c>
      <c r="B124" s="46"/>
      <c r="C124" s="95"/>
      <c r="D124" s="95"/>
      <c r="E124" s="77"/>
      <c r="F124" s="46"/>
      <c r="G124" s="32"/>
      <c r="H124" s="32"/>
      <c r="I124" s="33"/>
    </row>
    <row r="125" spans="1:9">
      <c r="A125" s="27"/>
      <c r="B125" s="87" t="s">
        <v>227</v>
      </c>
      <c r="C125" s="25"/>
      <c r="D125" s="25"/>
      <c r="E125" s="31"/>
      <c r="F125" s="27"/>
      <c r="G125" s="32"/>
      <c r="H125" s="32"/>
      <c r="I125" s="33"/>
    </row>
    <row r="126" spans="1:9">
      <c r="A126" s="29" t="s">
        <v>228</v>
      </c>
      <c r="B126" s="30" t="s">
        <v>229</v>
      </c>
      <c r="C126" s="25" t="s">
        <v>230</v>
      </c>
      <c r="D126" s="25">
        <f>124+24+24</f>
        <v>172</v>
      </c>
      <c r="E126" s="31">
        <v>13051.67</v>
      </c>
      <c r="F126" s="36">
        <f>E126*D126</f>
        <v>2244887.24</v>
      </c>
      <c r="G126" s="32"/>
      <c r="H126" s="32"/>
      <c r="I126" s="33"/>
    </row>
    <row r="127" spans="1:9">
      <c r="A127" s="6"/>
      <c r="B127" s="87" t="s">
        <v>231</v>
      </c>
      <c r="C127" s="25"/>
      <c r="D127" s="25"/>
      <c r="E127" s="31"/>
      <c r="F127" s="27"/>
      <c r="G127" s="32"/>
      <c r="H127" s="32"/>
      <c r="I127" s="33"/>
    </row>
    <row r="128" ht="18" spans="1:9">
      <c r="A128" s="29" t="s">
        <v>232</v>
      </c>
      <c r="B128" s="30" t="s">
        <v>233</v>
      </c>
      <c r="C128" s="25" t="s">
        <v>114</v>
      </c>
      <c r="D128" s="25" t="s">
        <v>234</v>
      </c>
      <c r="E128" s="31">
        <v>1107.52</v>
      </c>
      <c r="F128" s="36">
        <f>E128*D128</f>
        <v>11075.2</v>
      </c>
      <c r="G128" s="32"/>
      <c r="H128" s="32"/>
      <c r="I128" s="33"/>
    </row>
    <row r="129" spans="1:9">
      <c r="A129" s="29" t="s">
        <v>235</v>
      </c>
      <c r="B129" s="30" t="s">
        <v>236</v>
      </c>
      <c r="C129" s="25" t="s">
        <v>162</v>
      </c>
      <c r="D129" s="25">
        <v>11</v>
      </c>
      <c r="E129" s="31">
        <v>26194.73</v>
      </c>
      <c r="F129" s="36">
        <f t="shared" ref="F129" si="10">E129*D129</f>
        <v>288142.03</v>
      </c>
      <c r="G129" s="32"/>
      <c r="H129" s="32"/>
      <c r="I129" s="33"/>
    </row>
    <row r="130" spans="1:9">
      <c r="A130" s="6"/>
      <c r="B130" s="97" t="s">
        <v>237</v>
      </c>
      <c r="C130" s="25"/>
      <c r="D130" s="25"/>
      <c r="E130" s="31"/>
      <c r="F130" s="27"/>
      <c r="G130" s="32"/>
      <c r="H130" s="32"/>
      <c r="I130" s="33"/>
    </row>
    <row r="131" spans="1:9">
      <c r="A131" s="96"/>
      <c r="B131" s="96" t="s">
        <v>238</v>
      </c>
      <c r="C131" s="25"/>
      <c r="D131" s="25"/>
      <c r="E131" s="31"/>
      <c r="F131" s="27"/>
      <c r="G131" s="32"/>
      <c r="H131" s="32"/>
      <c r="I131" s="33"/>
    </row>
    <row r="132" spans="1:9">
      <c r="A132" s="29" t="s">
        <v>239</v>
      </c>
      <c r="B132" s="96" t="s">
        <v>240</v>
      </c>
      <c r="C132" s="25" t="s">
        <v>162</v>
      </c>
      <c r="D132" s="25">
        <v>1</v>
      </c>
      <c r="E132" s="31">
        <v>4169.96</v>
      </c>
      <c r="F132" s="36">
        <f t="shared" ref="F132" si="11">E132*D132</f>
        <v>4169.96</v>
      </c>
      <c r="G132" s="32"/>
      <c r="H132" s="32"/>
      <c r="I132" s="33"/>
    </row>
    <row r="133" spans="1:9">
      <c r="A133" s="6"/>
      <c r="B133" s="27" t="s">
        <v>241</v>
      </c>
      <c r="C133" s="25"/>
      <c r="D133" s="25"/>
      <c r="E133" s="31"/>
      <c r="F133" s="27"/>
      <c r="G133" s="32"/>
      <c r="H133" s="32"/>
      <c r="I133" s="33"/>
    </row>
    <row r="134" spans="1:9">
      <c r="A134" s="29" t="s">
        <v>242</v>
      </c>
      <c r="B134" s="27" t="s">
        <v>243</v>
      </c>
      <c r="C134" s="25" t="s">
        <v>162</v>
      </c>
      <c r="D134" s="25">
        <v>1</v>
      </c>
      <c r="E134" s="31">
        <v>3935.72</v>
      </c>
      <c r="F134" s="36">
        <f t="shared" ref="F134" si="12">E134*D134</f>
        <v>3935.72</v>
      </c>
      <c r="G134" s="32"/>
      <c r="H134" s="32"/>
      <c r="I134" s="33"/>
    </row>
    <row r="135" spans="1:9">
      <c r="A135" s="6"/>
      <c r="B135" s="27" t="s">
        <v>244</v>
      </c>
      <c r="C135" s="25"/>
      <c r="D135" s="25"/>
      <c r="E135" s="31"/>
      <c r="F135" s="27"/>
      <c r="G135" s="32"/>
      <c r="H135" s="32"/>
      <c r="I135" s="33"/>
    </row>
    <row r="136" spans="1:9">
      <c r="A136" s="29" t="s">
        <v>245</v>
      </c>
      <c r="B136" s="27" t="s">
        <v>246</v>
      </c>
      <c r="C136" s="25" t="s">
        <v>162</v>
      </c>
      <c r="D136" s="25">
        <v>2</v>
      </c>
      <c r="E136" s="31">
        <v>4637.83</v>
      </c>
      <c r="F136" s="36">
        <f t="shared" ref="F136" si="13">E136*D136</f>
        <v>9275.66</v>
      </c>
      <c r="G136" s="32"/>
      <c r="H136" s="32"/>
      <c r="I136" s="33"/>
    </row>
    <row r="137" spans="1:9">
      <c r="A137" s="6"/>
      <c r="B137" s="27" t="s">
        <v>247</v>
      </c>
      <c r="C137" s="25"/>
      <c r="D137" s="25"/>
      <c r="E137" s="31"/>
      <c r="F137" s="27"/>
      <c r="G137" s="32"/>
      <c r="H137" s="32"/>
      <c r="I137" s="33"/>
    </row>
    <row r="138" spans="1:9">
      <c r="A138" s="29" t="s">
        <v>248</v>
      </c>
      <c r="B138" s="27" t="s">
        <v>249</v>
      </c>
      <c r="C138" s="25" t="s">
        <v>162</v>
      </c>
      <c r="D138" s="25">
        <v>2</v>
      </c>
      <c r="E138" s="31">
        <v>4637.83</v>
      </c>
      <c r="F138" s="36">
        <f t="shared" ref="F138" si="14">E138*D138</f>
        <v>9275.66</v>
      </c>
      <c r="G138" s="32"/>
      <c r="H138" s="32"/>
      <c r="I138" s="33"/>
    </row>
    <row r="139" spans="1:9">
      <c r="A139" s="6"/>
      <c r="B139" s="96" t="s">
        <v>250</v>
      </c>
      <c r="C139" s="25"/>
      <c r="D139" s="25"/>
      <c r="E139" s="31"/>
      <c r="F139" s="27"/>
      <c r="G139" s="32"/>
      <c r="H139" s="32"/>
      <c r="I139" s="33"/>
    </row>
    <row r="140" spans="1:9">
      <c r="A140" s="29" t="s">
        <v>251</v>
      </c>
      <c r="B140" s="27" t="s">
        <v>252</v>
      </c>
      <c r="C140" s="25" t="s">
        <v>162</v>
      </c>
      <c r="D140" s="25">
        <v>2</v>
      </c>
      <c r="E140" s="31">
        <v>4804.36</v>
      </c>
      <c r="F140" s="36">
        <f t="shared" ref="F140:F142" si="15">E140*D140</f>
        <v>9608.72</v>
      </c>
      <c r="G140" s="32"/>
      <c r="H140" s="32"/>
      <c r="I140" s="33"/>
    </row>
    <row r="141" spans="1:9">
      <c r="A141" s="29" t="s">
        <v>253</v>
      </c>
      <c r="B141" s="30" t="s">
        <v>254</v>
      </c>
      <c r="C141" s="25" t="s">
        <v>162</v>
      </c>
      <c r="D141" s="25">
        <v>4</v>
      </c>
      <c r="E141" s="31">
        <v>7402.66</v>
      </c>
      <c r="F141" s="36">
        <f t="shared" si="15"/>
        <v>29610.64</v>
      </c>
      <c r="G141" s="32"/>
      <c r="H141" s="32"/>
      <c r="I141" s="33"/>
    </row>
    <row r="142" spans="1:9">
      <c r="A142" s="29" t="s">
        <v>255</v>
      </c>
      <c r="B142" s="27" t="s">
        <v>256</v>
      </c>
      <c r="C142" s="25" t="s">
        <v>162</v>
      </c>
      <c r="D142" s="25">
        <v>2</v>
      </c>
      <c r="E142" s="31">
        <v>4637.83</v>
      </c>
      <c r="F142" s="36">
        <f t="shared" si="15"/>
        <v>9275.66</v>
      </c>
      <c r="G142" s="32"/>
      <c r="H142" s="32"/>
      <c r="I142" s="33"/>
    </row>
    <row r="143" ht="31.5" spans="1:9">
      <c r="A143" s="6"/>
      <c r="B143" s="91" t="s">
        <v>257</v>
      </c>
      <c r="C143" s="96"/>
      <c r="D143" s="25"/>
      <c r="E143" s="31"/>
      <c r="F143" s="96"/>
      <c r="G143" s="32"/>
      <c r="H143" s="32"/>
      <c r="I143" s="33"/>
    </row>
    <row r="144" spans="1:9">
      <c r="A144" s="29" t="s">
        <v>258</v>
      </c>
      <c r="B144" s="27" t="s">
        <v>259</v>
      </c>
      <c r="C144" s="25" t="s">
        <v>260</v>
      </c>
      <c r="D144" s="25">
        <f>998+186+38</f>
        <v>1222</v>
      </c>
      <c r="E144" s="31">
        <v>54.66</v>
      </c>
      <c r="F144" s="36">
        <f t="shared" ref="F144" si="16">E144*D144</f>
        <v>66794.52</v>
      </c>
      <c r="G144" s="32"/>
      <c r="H144" s="32"/>
      <c r="I144" s="33"/>
    </row>
    <row r="145" ht="31.5" spans="1:9">
      <c r="A145" s="6"/>
      <c r="B145" s="91" t="s">
        <v>261</v>
      </c>
      <c r="C145" s="96"/>
      <c r="D145" s="25"/>
      <c r="E145" s="31"/>
      <c r="F145" s="36"/>
      <c r="G145" s="32"/>
      <c r="H145" s="32"/>
      <c r="I145" s="33"/>
    </row>
    <row r="146" ht="16.5" spans="1:9">
      <c r="A146" s="29" t="s">
        <v>262</v>
      </c>
      <c r="B146" s="98" t="s">
        <v>263</v>
      </c>
      <c r="C146" s="35" t="s">
        <v>264</v>
      </c>
      <c r="D146" s="35">
        <v>91</v>
      </c>
      <c r="E146" s="36">
        <v>618.43</v>
      </c>
      <c r="F146" s="36">
        <f t="shared" ref="F146" si="17">E146*D146</f>
        <v>56277.13</v>
      </c>
      <c r="G146" s="32"/>
      <c r="H146" s="32"/>
      <c r="I146" s="33"/>
    </row>
    <row r="147" ht="16.5" spans="1:9">
      <c r="A147" s="37"/>
      <c r="B147" s="38" t="s">
        <v>265</v>
      </c>
      <c r="C147" s="39"/>
      <c r="D147" s="39"/>
      <c r="E147" s="72"/>
      <c r="F147" s="41">
        <f>SUM(F126:F146)</f>
        <v>2742328.14</v>
      </c>
      <c r="G147" s="32"/>
      <c r="H147" s="32"/>
      <c r="I147" s="33"/>
    </row>
    <row r="148" ht="16.5" spans="1:9">
      <c r="A148" s="49"/>
      <c r="B148" s="38" t="s">
        <v>266</v>
      </c>
      <c r="C148" s="50"/>
      <c r="D148" s="50"/>
      <c r="E148" s="72"/>
      <c r="F148" s="41">
        <f>F147+F123+F96+F91+F88</f>
        <v>170196917.61</v>
      </c>
      <c r="G148" s="32"/>
      <c r="H148" s="32"/>
      <c r="I148" s="33"/>
    </row>
    <row r="149" spans="1:9">
      <c r="A149" s="99" t="s">
        <v>267</v>
      </c>
      <c r="B149" s="53"/>
      <c r="C149" s="100"/>
      <c r="D149" s="100"/>
      <c r="E149" s="77"/>
      <c r="F149" s="101"/>
      <c r="G149" s="32"/>
      <c r="H149" s="32"/>
      <c r="I149" s="33"/>
    </row>
    <row r="150" spans="1:9">
      <c r="A150" s="102" t="s">
        <v>268</v>
      </c>
      <c r="B150" s="103"/>
      <c r="C150" s="59"/>
      <c r="D150" s="59"/>
      <c r="E150" s="31"/>
      <c r="F150" s="104"/>
      <c r="G150" s="32"/>
      <c r="H150" s="32"/>
      <c r="I150" s="33"/>
    </row>
    <row r="151" spans="1:9">
      <c r="A151" s="105"/>
      <c r="B151" s="106" t="s">
        <v>78</v>
      </c>
      <c r="C151" s="59"/>
      <c r="D151" s="59"/>
      <c r="E151" s="31"/>
      <c r="F151" s="104"/>
      <c r="G151" s="32"/>
      <c r="H151" s="32"/>
      <c r="I151" s="33"/>
    </row>
    <row r="152" spans="1:9">
      <c r="A152" s="105"/>
      <c r="B152" s="107" t="s">
        <v>269</v>
      </c>
      <c r="C152" s="59"/>
      <c r="D152" s="59"/>
      <c r="E152" s="31"/>
      <c r="F152" s="104"/>
      <c r="G152" s="32"/>
      <c r="H152" s="32"/>
      <c r="I152" s="33"/>
    </row>
    <row r="153" spans="1:9">
      <c r="A153" s="29" t="s">
        <v>270</v>
      </c>
      <c r="B153" s="62" t="s">
        <v>80</v>
      </c>
      <c r="C153" s="59" t="s">
        <v>81</v>
      </c>
      <c r="D153" s="59">
        <v>19.71</v>
      </c>
      <c r="E153" s="31">
        <v>78489.94</v>
      </c>
      <c r="F153" s="36">
        <f t="shared" ref="F153:F214" si="18">E153*D153</f>
        <v>1547036.72</v>
      </c>
      <c r="G153" s="32"/>
      <c r="H153" s="32"/>
      <c r="I153" s="33"/>
    </row>
    <row r="154" spans="1:9">
      <c r="A154" s="29" t="s">
        <v>271</v>
      </c>
      <c r="B154" s="62" t="s">
        <v>272</v>
      </c>
      <c r="C154" s="59" t="s">
        <v>81</v>
      </c>
      <c r="D154" s="59">
        <v>63.51</v>
      </c>
      <c r="E154" s="31">
        <v>78489.93</v>
      </c>
      <c r="F154" s="36">
        <f t="shared" si="18"/>
        <v>4984895.45</v>
      </c>
      <c r="G154" s="32"/>
      <c r="H154" s="32"/>
      <c r="I154" s="33"/>
    </row>
    <row r="155" spans="1:9">
      <c r="A155" s="29" t="s">
        <v>273</v>
      </c>
      <c r="B155" s="62" t="s">
        <v>85</v>
      </c>
      <c r="C155" s="59" t="s">
        <v>81</v>
      </c>
      <c r="D155" s="59">
        <v>63.51</v>
      </c>
      <c r="E155" s="31">
        <v>94963.98</v>
      </c>
      <c r="F155" s="36">
        <f t="shared" si="18"/>
        <v>6031162.37</v>
      </c>
      <c r="G155" s="32"/>
      <c r="H155" s="32"/>
      <c r="I155" s="33"/>
    </row>
    <row r="156" spans="1:9">
      <c r="A156" s="29" t="s">
        <v>274</v>
      </c>
      <c r="B156" s="62" t="s">
        <v>87</v>
      </c>
      <c r="C156" s="59" t="s">
        <v>81</v>
      </c>
      <c r="D156" s="108">
        <f>146.73*1.01</f>
        <v>148.2</v>
      </c>
      <c r="E156" s="31">
        <v>188154.32</v>
      </c>
      <c r="F156" s="36">
        <f t="shared" si="18"/>
        <v>27884470.22</v>
      </c>
      <c r="G156" s="32"/>
      <c r="H156" s="32"/>
      <c r="I156" s="33"/>
    </row>
    <row r="157" spans="1:9">
      <c r="A157" s="29" t="s">
        <v>275</v>
      </c>
      <c r="B157" s="62" t="s">
        <v>95</v>
      </c>
      <c r="C157" s="59" t="s">
        <v>46</v>
      </c>
      <c r="D157" s="59">
        <v>59.7</v>
      </c>
      <c r="E157" s="31">
        <v>288041.63</v>
      </c>
      <c r="F157" s="36">
        <f t="shared" si="18"/>
        <v>17196085.31</v>
      </c>
      <c r="G157" s="32"/>
      <c r="H157" s="32"/>
      <c r="I157" s="33"/>
    </row>
    <row r="158" spans="1:9">
      <c r="A158" s="29" t="s">
        <v>276</v>
      </c>
      <c r="B158" s="62" t="s">
        <v>277</v>
      </c>
      <c r="C158" s="59" t="s">
        <v>162</v>
      </c>
      <c r="D158" s="59">
        <v>67</v>
      </c>
      <c r="E158" s="31">
        <v>36620.52</v>
      </c>
      <c r="F158" s="36">
        <f t="shared" si="18"/>
        <v>2453574.84</v>
      </c>
      <c r="G158" s="32"/>
      <c r="H158" s="32"/>
      <c r="I158" s="33"/>
    </row>
    <row r="159" spans="1:9">
      <c r="A159" s="29" t="s">
        <v>278</v>
      </c>
      <c r="B159" s="62" t="s">
        <v>91</v>
      </c>
      <c r="C159" s="59" t="s">
        <v>81</v>
      </c>
      <c r="D159" s="59">
        <v>19.2734</v>
      </c>
      <c r="E159" s="31">
        <v>212207.61</v>
      </c>
      <c r="F159" s="36">
        <f t="shared" si="18"/>
        <v>4089962.15</v>
      </c>
      <c r="G159" s="32"/>
      <c r="H159" s="32"/>
      <c r="I159" s="33"/>
    </row>
    <row r="160" spans="1:9">
      <c r="A160" s="29" t="s">
        <v>279</v>
      </c>
      <c r="B160" s="62" t="s">
        <v>280</v>
      </c>
      <c r="C160" s="59" t="s">
        <v>39</v>
      </c>
      <c r="D160" s="59">
        <v>155.44</v>
      </c>
      <c r="E160" s="31">
        <v>55425.71</v>
      </c>
      <c r="F160" s="36">
        <f t="shared" si="18"/>
        <v>8615372.36</v>
      </c>
      <c r="G160" s="32"/>
      <c r="H160" s="32"/>
      <c r="I160" s="33"/>
    </row>
    <row r="161" spans="1:9">
      <c r="A161" s="29" t="s">
        <v>281</v>
      </c>
      <c r="B161" s="62" t="s">
        <v>282</v>
      </c>
      <c r="C161" s="59" t="s">
        <v>46</v>
      </c>
      <c r="D161" s="59">
        <v>2.81</v>
      </c>
      <c r="E161" s="31">
        <v>392710.18</v>
      </c>
      <c r="F161" s="36">
        <f t="shared" si="18"/>
        <v>1103515.61</v>
      </c>
      <c r="G161" s="32"/>
      <c r="H161" s="32"/>
      <c r="I161" s="33"/>
    </row>
    <row r="162" spans="1:9">
      <c r="A162" s="29" t="s">
        <v>283</v>
      </c>
      <c r="B162" s="62" t="s">
        <v>284</v>
      </c>
      <c r="C162" s="59" t="s">
        <v>46</v>
      </c>
      <c r="D162" s="59">
        <v>4.6328</v>
      </c>
      <c r="E162" s="31">
        <v>353348.9</v>
      </c>
      <c r="F162" s="36">
        <f t="shared" si="18"/>
        <v>1636994.78</v>
      </c>
      <c r="G162" s="32"/>
      <c r="H162" s="32"/>
      <c r="I162" s="33"/>
    </row>
    <row r="163" spans="1:9">
      <c r="A163" s="6"/>
      <c r="B163" s="109" t="s">
        <v>285</v>
      </c>
      <c r="C163" s="59"/>
      <c r="D163" s="59"/>
      <c r="E163" s="31"/>
      <c r="F163" s="36"/>
      <c r="G163" s="32"/>
      <c r="H163" s="32"/>
      <c r="I163" s="33"/>
    </row>
    <row r="164" spans="1:9">
      <c r="A164" s="29" t="s">
        <v>286</v>
      </c>
      <c r="B164" s="62" t="s">
        <v>287</v>
      </c>
      <c r="C164" s="59" t="s">
        <v>39</v>
      </c>
      <c r="D164" s="59">
        <v>237</v>
      </c>
      <c r="E164" s="31">
        <v>105332.07</v>
      </c>
      <c r="F164" s="36">
        <f t="shared" si="18"/>
        <v>24963700.59</v>
      </c>
      <c r="G164" s="32"/>
      <c r="H164" s="32"/>
      <c r="I164" s="33"/>
    </row>
    <row r="165" ht="31.5" spans="1:9">
      <c r="A165" s="29" t="s">
        <v>288</v>
      </c>
      <c r="B165" s="62" t="s">
        <v>289</v>
      </c>
      <c r="C165" s="59" t="s">
        <v>46</v>
      </c>
      <c r="D165" s="59">
        <v>0.08979</v>
      </c>
      <c r="E165" s="31">
        <v>380225.86</v>
      </c>
      <c r="F165" s="36">
        <f t="shared" si="18"/>
        <v>34140.48</v>
      </c>
      <c r="G165" s="32"/>
      <c r="H165" s="32"/>
      <c r="I165" s="33"/>
    </row>
    <row r="166" ht="31.5" spans="1:9">
      <c r="A166" s="29" t="s">
        <v>290</v>
      </c>
      <c r="B166" s="62" t="s">
        <v>291</v>
      </c>
      <c r="C166" s="59" t="s">
        <v>46</v>
      </c>
      <c r="D166" s="59">
        <v>0.5448</v>
      </c>
      <c r="E166" s="31">
        <v>180301.58</v>
      </c>
      <c r="F166" s="36">
        <f t="shared" si="18"/>
        <v>98228.3</v>
      </c>
      <c r="G166" s="32"/>
      <c r="H166" s="32"/>
      <c r="I166" s="33"/>
    </row>
    <row r="167" ht="31.5" spans="1:9">
      <c r="A167" s="29" t="s">
        <v>292</v>
      </c>
      <c r="B167" s="62" t="s">
        <v>293</v>
      </c>
      <c r="C167" s="59" t="s">
        <v>39</v>
      </c>
      <c r="D167" s="59">
        <v>4.2</v>
      </c>
      <c r="E167" s="31">
        <v>53833.66</v>
      </c>
      <c r="F167" s="36">
        <f t="shared" si="18"/>
        <v>226101.37</v>
      </c>
      <c r="G167" s="32"/>
      <c r="H167" s="32"/>
      <c r="I167" s="33"/>
    </row>
    <row r="168" spans="1:9">
      <c r="A168" s="6"/>
      <c r="B168" s="109" t="s">
        <v>294</v>
      </c>
      <c r="C168" s="59"/>
      <c r="D168" s="59"/>
      <c r="E168" s="31"/>
      <c r="F168" s="36"/>
      <c r="G168" s="32"/>
      <c r="H168" s="32"/>
      <c r="I168" s="33"/>
    </row>
    <row r="169" ht="31.5" spans="1:9">
      <c r="A169" s="29" t="s">
        <v>295</v>
      </c>
      <c r="B169" s="62" t="s">
        <v>296</v>
      </c>
      <c r="C169" s="59" t="s">
        <v>46</v>
      </c>
      <c r="D169" s="59">
        <v>4.6</v>
      </c>
      <c r="E169" s="31">
        <v>334910.95</v>
      </c>
      <c r="F169" s="36">
        <f t="shared" si="18"/>
        <v>1540590.37</v>
      </c>
      <c r="G169" s="32"/>
      <c r="H169" s="32"/>
      <c r="I169" s="33"/>
    </row>
    <row r="170" spans="1:9">
      <c r="A170" s="29" t="s">
        <v>297</v>
      </c>
      <c r="B170" s="62" t="s">
        <v>298</v>
      </c>
      <c r="C170" s="59" t="s">
        <v>73</v>
      </c>
      <c r="D170" s="59">
        <v>4</v>
      </c>
      <c r="E170" s="31">
        <v>6930.52</v>
      </c>
      <c r="F170" s="36">
        <f t="shared" si="18"/>
        <v>27722.08</v>
      </c>
      <c r="G170" s="32"/>
      <c r="H170" s="32"/>
      <c r="I170" s="33"/>
    </row>
    <row r="171" spans="1:9">
      <c r="A171" s="29" t="s">
        <v>299</v>
      </c>
      <c r="B171" s="62" t="s">
        <v>300</v>
      </c>
      <c r="C171" s="59" t="s">
        <v>230</v>
      </c>
      <c r="D171" s="59">
        <v>75.6</v>
      </c>
      <c r="E171" s="31">
        <v>5808.15</v>
      </c>
      <c r="F171" s="36">
        <f t="shared" si="18"/>
        <v>439096.14</v>
      </c>
      <c r="G171" s="32"/>
      <c r="H171" s="32"/>
      <c r="I171" s="33"/>
    </row>
    <row r="172" spans="1:9">
      <c r="A172" s="29" t="s">
        <v>301</v>
      </c>
      <c r="B172" s="62" t="s">
        <v>159</v>
      </c>
      <c r="C172" s="59" t="s">
        <v>162</v>
      </c>
      <c r="D172" s="59">
        <v>4</v>
      </c>
      <c r="E172" s="31">
        <v>242532.04</v>
      </c>
      <c r="F172" s="36">
        <f t="shared" si="18"/>
        <v>970128.16</v>
      </c>
      <c r="G172" s="32"/>
      <c r="H172" s="32"/>
      <c r="I172" s="33"/>
    </row>
    <row r="173" spans="1:9">
      <c r="A173" s="29" t="s">
        <v>302</v>
      </c>
      <c r="B173" s="62" t="s">
        <v>303</v>
      </c>
      <c r="C173" s="59" t="s">
        <v>304</v>
      </c>
      <c r="D173" s="59">
        <v>6</v>
      </c>
      <c r="E173" s="31">
        <v>43060.72</v>
      </c>
      <c r="F173" s="36">
        <f t="shared" si="18"/>
        <v>258364.32</v>
      </c>
      <c r="G173" s="32"/>
      <c r="H173" s="32"/>
      <c r="I173" s="33"/>
    </row>
    <row r="174" spans="1:9">
      <c r="A174" s="6"/>
      <c r="B174" s="109" t="s">
        <v>305</v>
      </c>
      <c r="C174" s="59"/>
      <c r="D174" s="59"/>
      <c r="E174" s="31"/>
      <c r="F174" s="36">
        <f t="shared" si="18"/>
        <v>0</v>
      </c>
      <c r="G174" s="32"/>
      <c r="H174" s="32"/>
      <c r="I174" s="33"/>
    </row>
    <row r="175" spans="1:9">
      <c r="A175" s="29" t="s">
        <v>306</v>
      </c>
      <c r="B175" s="62" t="s">
        <v>307</v>
      </c>
      <c r="C175" s="59" t="s">
        <v>39</v>
      </c>
      <c r="D175" s="59">
        <v>11</v>
      </c>
      <c r="E175" s="31">
        <v>18454.5</v>
      </c>
      <c r="F175" s="36">
        <f t="shared" si="18"/>
        <v>202999.5</v>
      </c>
      <c r="G175" s="32"/>
      <c r="H175" s="32"/>
      <c r="I175" s="33"/>
    </row>
    <row r="176" spans="1:9">
      <c r="A176" s="29" t="s">
        <v>308</v>
      </c>
      <c r="B176" s="62" t="s">
        <v>309</v>
      </c>
      <c r="C176" s="59" t="s">
        <v>39</v>
      </c>
      <c r="D176" s="59">
        <v>55</v>
      </c>
      <c r="E176" s="31">
        <v>56380.19</v>
      </c>
      <c r="F176" s="36">
        <f t="shared" si="18"/>
        <v>3100910.45</v>
      </c>
      <c r="G176" s="32"/>
      <c r="H176" s="32"/>
      <c r="I176" s="33"/>
    </row>
    <row r="177" spans="1:9">
      <c r="A177" s="6"/>
      <c r="B177" s="109" t="s">
        <v>310</v>
      </c>
      <c r="C177" s="59"/>
      <c r="D177" s="59"/>
      <c r="E177" s="31"/>
      <c r="F177" s="36">
        <f t="shared" si="18"/>
        <v>0</v>
      </c>
      <c r="G177" s="32"/>
      <c r="H177" s="32"/>
      <c r="I177" s="33"/>
    </row>
    <row r="178" ht="31.5" spans="1:9">
      <c r="A178" s="29" t="s">
        <v>311</v>
      </c>
      <c r="B178" s="62" t="s">
        <v>312</v>
      </c>
      <c r="C178" s="59" t="s">
        <v>39</v>
      </c>
      <c r="D178" s="59">
        <v>822</v>
      </c>
      <c r="E178" s="31">
        <v>10831.99</v>
      </c>
      <c r="F178" s="36">
        <f t="shared" si="18"/>
        <v>8903895.78</v>
      </c>
      <c r="G178" s="32"/>
      <c r="H178" s="32"/>
      <c r="I178" s="33"/>
    </row>
    <row r="179" spans="1:9">
      <c r="A179" s="6"/>
      <c r="B179" s="109" t="s">
        <v>117</v>
      </c>
      <c r="C179" s="59"/>
      <c r="D179" s="59"/>
      <c r="E179" s="31"/>
      <c r="F179" s="36">
        <f t="shared" si="18"/>
        <v>0</v>
      </c>
      <c r="G179" s="32"/>
      <c r="H179" s="32"/>
      <c r="I179" s="33"/>
    </row>
    <row r="180" spans="1:9">
      <c r="A180" s="29" t="s">
        <v>313</v>
      </c>
      <c r="B180" s="62" t="s">
        <v>117</v>
      </c>
      <c r="C180" s="59" t="s">
        <v>230</v>
      </c>
      <c r="D180" s="65">
        <v>29.2</v>
      </c>
      <c r="E180" s="31">
        <v>3922.13</v>
      </c>
      <c r="F180" s="36">
        <f t="shared" si="18"/>
        <v>114526.2</v>
      </c>
      <c r="G180" s="32"/>
      <c r="H180" s="32"/>
      <c r="I180" s="33"/>
    </row>
    <row r="181" ht="31.5" spans="1:9">
      <c r="A181" s="6"/>
      <c r="B181" s="109" t="s">
        <v>314</v>
      </c>
      <c r="C181" s="59"/>
      <c r="D181" s="59"/>
      <c r="E181" s="31"/>
      <c r="F181" s="36"/>
      <c r="G181" s="32"/>
      <c r="H181" s="32"/>
      <c r="I181" s="33"/>
    </row>
    <row r="182" spans="1:9">
      <c r="A182" s="29" t="s">
        <v>315</v>
      </c>
      <c r="B182" s="62" t="s">
        <v>316</v>
      </c>
      <c r="C182" s="59" t="s">
        <v>46</v>
      </c>
      <c r="D182" s="59">
        <v>29.32</v>
      </c>
      <c r="E182" s="31">
        <v>10187.59</v>
      </c>
      <c r="F182" s="36">
        <f t="shared" si="18"/>
        <v>298700.14</v>
      </c>
      <c r="G182" s="32"/>
      <c r="H182" s="32"/>
      <c r="I182" s="33"/>
    </row>
    <row r="183" spans="1:9">
      <c r="A183" s="29" t="s">
        <v>317</v>
      </c>
      <c r="B183" s="62" t="s">
        <v>318</v>
      </c>
      <c r="C183" s="59" t="s">
        <v>264</v>
      </c>
      <c r="D183" s="59">
        <v>239</v>
      </c>
      <c r="E183" s="31">
        <v>25443</v>
      </c>
      <c r="F183" s="36">
        <f t="shared" si="18"/>
        <v>6080877</v>
      </c>
      <c r="G183" s="32"/>
      <c r="H183" s="32"/>
      <c r="I183" s="33"/>
    </row>
    <row r="184" spans="1:9">
      <c r="A184" s="29" t="s">
        <v>319</v>
      </c>
      <c r="B184" s="62" t="s">
        <v>320</v>
      </c>
      <c r="C184" s="59" t="s">
        <v>264</v>
      </c>
      <c r="D184" s="59">
        <v>239</v>
      </c>
      <c r="E184" s="31">
        <v>7852.77</v>
      </c>
      <c r="F184" s="36">
        <f t="shared" si="18"/>
        <v>1876812.03</v>
      </c>
      <c r="G184" s="32"/>
      <c r="H184" s="32"/>
      <c r="I184" s="33"/>
    </row>
    <row r="185" ht="24" customHeight="1" spans="1:9">
      <c r="A185" s="29" t="s">
        <v>321</v>
      </c>
      <c r="B185" s="62" t="s">
        <v>322</v>
      </c>
      <c r="C185" s="59" t="s">
        <v>264</v>
      </c>
      <c r="D185" s="59">
        <v>108.2</v>
      </c>
      <c r="E185" s="31">
        <v>1859.8</v>
      </c>
      <c r="F185" s="36">
        <f t="shared" si="18"/>
        <v>201230.36</v>
      </c>
      <c r="G185" s="32"/>
      <c r="H185" s="32"/>
      <c r="I185" s="33"/>
    </row>
    <row r="186" spans="1:9">
      <c r="A186" s="6"/>
      <c r="B186" s="110" t="s">
        <v>323</v>
      </c>
      <c r="C186" s="88"/>
      <c r="D186" s="88"/>
      <c r="E186" s="31"/>
      <c r="F186" s="36"/>
      <c r="G186" s="32"/>
      <c r="H186" s="32"/>
      <c r="I186" s="33"/>
    </row>
    <row r="187" spans="1:9">
      <c r="A187" s="29" t="s">
        <v>324</v>
      </c>
      <c r="B187" s="62" t="s">
        <v>325</v>
      </c>
      <c r="C187" s="59" t="s">
        <v>46</v>
      </c>
      <c r="D187" s="65">
        <v>6.0149</v>
      </c>
      <c r="E187" s="31">
        <v>353348.5</v>
      </c>
      <c r="F187" s="36">
        <f t="shared" si="18"/>
        <v>2125355.89</v>
      </c>
      <c r="G187" s="32"/>
      <c r="H187" s="32"/>
      <c r="I187" s="33"/>
    </row>
    <row r="188" s="1" customFormat="1" spans="1:9">
      <c r="A188" s="29" t="s">
        <v>326</v>
      </c>
      <c r="B188" s="30" t="s">
        <v>327</v>
      </c>
      <c r="C188" s="88" t="s">
        <v>39</v>
      </c>
      <c r="D188" s="25">
        <v>90</v>
      </c>
      <c r="E188" s="31">
        <v>96159.06</v>
      </c>
      <c r="F188" s="36">
        <f t="shared" si="18"/>
        <v>8654315.4</v>
      </c>
      <c r="G188" s="32"/>
      <c r="H188" s="32"/>
      <c r="I188" s="33"/>
    </row>
    <row r="189" spans="1:9">
      <c r="A189" s="29" t="s">
        <v>328</v>
      </c>
      <c r="B189" s="62" t="s">
        <v>329</v>
      </c>
      <c r="C189" s="59" t="s">
        <v>46</v>
      </c>
      <c r="D189" s="59">
        <v>0.7914</v>
      </c>
      <c r="E189" s="31">
        <v>380214.83</v>
      </c>
      <c r="F189" s="36">
        <f t="shared" si="18"/>
        <v>300902.02</v>
      </c>
      <c r="G189" s="32"/>
      <c r="H189" s="32"/>
      <c r="I189" s="33"/>
    </row>
    <row r="190" spans="1:9">
      <c r="A190" s="29" t="s">
        <v>330</v>
      </c>
      <c r="B190" s="62" t="s">
        <v>331</v>
      </c>
      <c r="C190" s="59" t="s">
        <v>39</v>
      </c>
      <c r="D190" s="59">
        <v>16</v>
      </c>
      <c r="E190" s="31">
        <v>106568.15</v>
      </c>
      <c r="F190" s="36">
        <f t="shared" si="18"/>
        <v>1705090.4</v>
      </c>
      <c r="G190" s="32"/>
      <c r="H190" s="32"/>
      <c r="I190" s="33"/>
    </row>
    <row r="191" spans="1:9">
      <c r="A191" s="29" t="s">
        <v>332</v>
      </c>
      <c r="B191" s="62" t="s">
        <v>333</v>
      </c>
      <c r="C191" s="59" t="s">
        <v>39</v>
      </c>
      <c r="D191" s="65">
        <v>8.1</v>
      </c>
      <c r="E191" s="31">
        <v>78434.56</v>
      </c>
      <c r="F191" s="36">
        <f t="shared" si="18"/>
        <v>635319.94</v>
      </c>
      <c r="G191" s="32"/>
      <c r="H191" s="32"/>
      <c r="I191" s="33"/>
    </row>
    <row r="192" spans="1:9">
      <c r="A192" s="29" t="s">
        <v>334</v>
      </c>
      <c r="B192" s="111" t="s">
        <v>335</v>
      </c>
      <c r="C192" s="59" t="s">
        <v>73</v>
      </c>
      <c r="D192" s="65">
        <v>4</v>
      </c>
      <c r="E192" s="31">
        <v>242532.04</v>
      </c>
      <c r="F192" s="36">
        <f t="shared" si="18"/>
        <v>970128.16</v>
      </c>
      <c r="G192" s="32"/>
      <c r="H192" s="32"/>
      <c r="I192" s="33"/>
    </row>
    <row r="193" spans="1:9">
      <c r="A193" s="29" t="s">
        <v>336</v>
      </c>
      <c r="B193" s="111" t="s">
        <v>337</v>
      </c>
      <c r="C193" s="59" t="s">
        <v>230</v>
      </c>
      <c r="D193" s="65">
        <v>5.2</v>
      </c>
      <c r="E193" s="31">
        <v>3921.36</v>
      </c>
      <c r="F193" s="36">
        <f t="shared" si="18"/>
        <v>20391.07</v>
      </c>
      <c r="G193" s="32"/>
      <c r="H193" s="32"/>
      <c r="I193" s="33"/>
    </row>
    <row r="194" ht="31.5" spans="1:9">
      <c r="A194" s="29" t="s">
        <v>338</v>
      </c>
      <c r="B194" s="62" t="s">
        <v>339</v>
      </c>
      <c r="C194" s="59" t="s">
        <v>39</v>
      </c>
      <c r="D194" s="59">
        <v>328</v>
      </c>
      <c r="E194" s="31">
        <v>12058.66</v>
      </c>
      <c r="F194" s="31">
        <f t="shared" si="18"/>
        <v>3955240.48</v>
      </c>
      <c r="G194" s="32"/>
      <c r="H194" s="32"/>
      <c r="I194" s="33"/>
    </row>
    <row r="195" spans="1:9">
      <c r="A195" s="6"/>
      <c r="B195" s="112" t="s">
        <v>340</v>
      </c>
      <c r="C195" s="59"/>
      <c r="D195" s="59"/>
      <c r="E195" s="31"/>
      <c r="F195" s="31"/>
      <c r="G195" s="32"/>
      <c r="H195" s="32"/>
      <c r="I195" s="33"/>
    </row>
    <row r="196" ht="16.5" spans="1:9">
      <c r="A196" s="29" t="s">
        <v>341</v>
      </c>
      <c r="B196" s="68" t="s">
        <v>342</v>
      </c>
      <c r="C196" s="69" t="s">
        <v>73</v>
      </c>
      <c r="D196" s="113">
        <v>5</v>
      </c>
      <c r="E196" s="36">
        <v>9064.36</v>
      </c>
      <c r="F196" s="36">
        <f>E196*D196</f>
        <v>45321.8</v>
      </c>
      <c r="G196" s="32"/>
      <c r="H196" s="32"/>
      <c r="I196" s="33"/>
    </row>
    <row r="197" s="2" customFormat="1" ht="16.5" spans="1:9">
      <c r="A197" s="70"/>
      <c r="B197" s="114" t="s">
        <v>343</v>
      </c>
      <c r="C197" s="71"/>
      <c r="D197" s="71"/>
      <c r="E197" s="72"/>
      <c r="F197" s="41">
        <f>SUM(F153:F196)</f>
        <v>143293158.24</v>
      </c>
      <c r="G197" s="32"/>
      <c r="H197" s="32"/>
      <c r="I197" s="33"/>
    </row>
    <row r="198" ht="16.5" hidden="1" spans="1:9">
      <c r="A198" s="115"/>
      <c r="B198" s="116"/>
      <c r="C198" s="117"/>
      <c r="D198" s="118"/>
      <c r="E198" s="119"/>
      <c r="F198" s="120"/>
      <c r="G198" s="32"/>
      <c r="H198" s="32"/>
      <c r="I198" s="33"/>
    </row>
    <row r="199" ht="16.5" hidden="1" spans="1:9">
      <c r="A199" s="115"/>
      <c r="B199" s="116"/>
      <c r="C199" s="117"/>
      <c r="D199" s="118"/>
      <c r="E199" s="119"/>
      <c r="F199" s="120"/>
      <c r="G199" s="32"/>
      <c r="H199" s="32"/>
      <c r="I199" s="33"/>
    </row>
    <row r="200" spans="1:9">
      <c r="A200" s="52" t="s">
        <v>344</v>
      </c>
      <c r="B200" s="53"/>
      <c r="C200" s="121"/>
      <c r="D200" s="76"/>
      <c r="E200" s="77"/>
      <c r="F200" s="122"/>
      <c r="G200" s="32"/>
      <c r="H200" s="32"/>
      <c r="I200" s="33"/>
    </row>
    <row r="201" ht="48" spans="1:9">
      <c r="A201" s="29" t="s">
        <v>345</v>
      </c>
      <c r="B201" s="68" t="s">
        <v>346</v>
      </c>
      <c r="C201" s="69" t="s">
        <v>39</v>
      </c>
      <c r="D201" s="113">
        <v>5740</v>
      </c>
      <c r="E201" s="36">
        <v>3530.29</v>
      </c>
      <c r="F201" s="36">
        <f t="shared" si="18"/>
        <v>20263864.6</v>
      </c>
      <c r="G201" s="32"/>
      <c r="H201" s="32"/>
      <c r="I201" s="33"/>
    </row>
    <row r="202" s="2" customFormat="1" ht="16.5" spans="1:9">
      <c r="A202" s="123"/>
      <c r="B202" s="114" t="s">
        <v>347</v>
      </c>
      <c r="C202" s="71"/>
      <c r="D202" s="39"/>
      <c r="E202" s="72"/>
      <c r="F202" s="41">
        <f>F201</f>
        <v>20263864.6</v>
      </c>
      <c r="G202" s="32"/>
      <c r="H202" s="32"/>
      <c r="I202" s="33"/>
    </row>
    <row r="203" spans="1:9">
      <c r="A203" s="52" t="s">
        <v>348</v>
      </c>
      <c r="B203" s="53"/>
      <c r="C203" s="59"/>
      <c r="D203" s="65"/>
      <c r="E203" s="31"/>
      <c r="F203" s="36"/>
      <c r="G203" s="32"/>
      <c r="H203" s="32"/>
      <c r="I203" s="33"/>
    </row>
    <row r="204" ht="32.25" spans="1:9">
      <c r="A204" s="29" t="s">
        <v>349</v>
      </c>
      <c r="B204" s="34" t="s">
        <v>175</v>
      </c>
      <c r="C204" s="35" t="s">
        <v>73</v>
      </c>
      <c r="D204" s="35">
        <v>1</v>
      </c>
      <c r="E204" s="32">
        <v>893449.92</v>
      </c>
      <c r="F204" s="36">
        <f t="shared" si="18"/>
        <v>893449.92</v>
      </c>
      <c r="G204" s="32"/>
      <c r="H204" s="32"/>
      <c r="I204" s="33"/>
    </row>
    <row r="205" s="2" customFormat="1" ht="16.5" spans="1:9">
      <c r="A205" s="123"/>
      <c r="B205" s="114" t="s">
        <v>350</v>
      </c>
      <c r="C205" s="71"/>
      <c r="D205" s="71"/>
      <c r="E205" s="72"/>
      <c r="F205" s="41">
        <f>F204</f>
        <v>893449.92</v>
      </c>
      <c r="G205" s="32"/>
      <c r="H205" s="32"/>
      <c r="I205" s="33"/>
    </row>
    <row r="206" spans="1:9">
      <c r="A206" s="52" t="s">
        <v>351</v>
      </c>
      <c r="B206" s="53"/>
      <c r="C206" s="59"/>
      <c r="D206" s="59"/>
      <c r="E206" s="31"/>
      <c r="F206" s="36"/>
      <c r="G206" s="32"/>
      <c r="H206" s="32"/>
      <c r="I206" s="33"/>
    </row>
    <row r="207" spans="1:9">
      <c r="A207" s="124" t="s">
        <v>352</v>
      </c>
      <c r="B207" s="125"/>
      <c r="C207" s="59"/>
      <c r="D207" s="59"/>
      <c r="E207" s="31"/>
      <c r="F207" s="36"/>
      <c r="G207" s="32"/>
      <c r="H207" s="32"/>
      <c r="I207" s="33"/>
    </row>
    <row r="208" spans="1:9">
      <c r="A208" s="29" t="s">
        <v>353</v>
      </c>
      <c r="B208" s="62" t="s">
        <v>354</v>
      </c>
      <c r="C208" s="59" t="s">
        <v>39</v>
      </c>
      <c r="D208" s="59">
        <v>250</v>
      </c>
      <c r="E208" s="31">
        <v>78.59</v>
      </c>
      <c r="F208" s="36">
        <f t="shared" si="18"/>
        <v>19647.5</v>
      </c>
      <c r="G208" s="32"/>
      <c r="H208" s="32"/>
      <c r="I208" s="33"/>
    </row>
    <row r="209" spans="1:9">
      <c r="A209" s="29" t="s">
        <v>355</v>
      </c>
      <c r="B209" s="62" t="s">
        <v>356</v>
      </c>
      <c r="C209" s="59" t="s">
        <v>39</v>
      </c>
      <c r="D209" s="59">
        <v>340</v>
      </c>
      <c r="E209" s="31">
        <v>211.73</v>
      </c>
      <c r="F209" s="36">
        <f t="shared" si="18"/>
        <v>71988.2</v>
      </c>
      <c r="G209" s="32"/>
      <c r="H209" s="32"/>
      <c r="I209" s="33"/>
    </row>
    <row r="210" spans="1:9">
      <c r="A210" s="29" t="s">
        <v>357</v>
      </c>
      <c r="B210" s="62" t="s">
        <v>358</v>
      </c>
      <c r="C210" s="59" t="s">
        <v>39</v>
      </c>
      <c r="D210" s="59">
        <v>340</v>
      </c>
      <c r="E210" s="31">
        <v>86.1</v>
      </c>
      <c r="F210" s="36">
        <f t="shared" si="18"/>
        <v>29274</v>
      </c>
      <c r="G210" s="32"/>
      <c r="H210" s="32"/>
      <c r="I210" s="33"/>
    </row>
    <row r="211" spans="1:9">
      <c r="A211" s="29" t="s">
        <v>359</v>
      </c>
      <c r="B211" s="62" t="s">
        <v>360</v>
      </c>
      <c r="C211" s="59" t="s">
        <v>264</v>
      </c>
      <c r="D211" s="59">
        <v>1819</v>
      </c>
      <c r="E211" s="31">
        <v>78.47</v>
      </c>
      <c r="F211" s="36">
        <f t="shared" si="18"/>
        <v>142736.93</v>
      </c>
      <c r="G211" s="32"/>
      <c r="H211" s="32"/>
      <c r="I211" s="33"/>
    </row>
    <row r="212" spans="1:9">
      <c r="A212" s="29" t="s">
        <v>361</v>
      </c>
      <c r="B212" s="62" t="s">
        <v>362</v>
      </c>
      <c r="C212" s="59" t="s">
        <v>264</v>
      </c>
      <c r="D212" s="59">
        <v>88</v>
      </c>
      <c r="E212" s="31">
        <v>14825.77</v>
      </c>
      <c r="F212" s="36">
        <f t="shared" si="18"/>
        <v>1304667.76</v>
      </c>
      <c r="G212" s="32"/>
      <c r="H212" s="32"/>
      <c r="I212" s="33"/>
    </row>
    <row r="213" spans="1:9">
      <c r="A213" s="6"/>
      <c r="B213" s="109" t="s">
        <v>363</v>
      </c>
      <c r="C213" s="59"/>
      <c r="D213" s="59"/>
      <c r="E213" s="31"/>
      <c r="F213" s="36"/>
      <c r="G213" s="32"/>
      <c r="H213" s="32"/>
      <c r="I213" s="33"/>
    </row>
    <row r="214" ht="32.25" spans="1:9">
      <c r="A214" s="29" t="s">
        <v>364</v>
      </c>
      <c r="B214" s="68" t="s">
        <v>365</v>
      </c>
      <c r="C214" s="69" t="s">
        <v>264</v>
      </c>
      <c r="D214" s="69">
        <v>1535</v>
      </c>
      <c r="E214" s="36">
        <v>1005.13</v>
      </c>
      <c r="F214" s="36">
        <f t="shared" si="18"/>
        <v>1542874.55</v>
      </c>
      <c r="G214" s="32"/>
      <c r="H214" s="32"/>
      <c r="I214" s="33"/>
    </row>
    <row r="215" s="2" customFormat="1" ht="16.5" spans="1:9">
      <c r="A215" s="70"/>
      <c r="B215" s="126" t="s">
        <v>366</v>
      </c>
      <c r="C215" s="71"/>
      <c r="D215" s="71"/>
      <c r="E215" s="72"/>
      <c r="F215" s="41">
        <f>SUM(F208:F214)</f>
        <v>3111188.94</v>
      </c>
      <c r="G215" s="32"/>
      <c r="H215" s="32"/>
      <c r="I215" s="33"/>
    </row>
    <row r="216" spans="1:9">
      <c r="A216" s="52" t="s">
        <v>367</v>
      </c>
      <c r="B216" s="53"/>
      <c r="C216" s="121"/>
      <c r="D216" s="121"/>
      <c r="E216" s="77"/>
      <c r="F216" s="122"/>
      <c r="G216" s="32"/>
      <c r="H216" s="32"/>
      <c r="I216" s="33"/>
    </row>
    <row r="217" spans="1:9">
      <c r="A217" s="105"/>
      <c r="B217" s="109" t="s">
        <v>368</v>
      </c>
      <c r="C217" s="59"/>
      <c r="D217" s="59"/>
      <c r="E217" s="31"/>
      <c r="F217" s="36"/>
      <c r="G217" s="32"/>
      <c r="H217" s="32"/>
      <c r="I217" s="33"/>
    </row>
    <row r="218" spans="1:9">
      <c r="A218" s="29" t="s">
        <v>369</v>
      </c>
      <c r="B218" s="62" t="s">
        <v>370</v>
      </c>
      <c r="C218" s="59" t="s">
        <v>39</v>
      </c>
      <c r="D218" s="59">
        <v>100</v>
      </c>
      <c r="E218" s="31">
        <v>78.59</v>
      </c>
      <c r="F218" s="36">
        <f t="shared" ref="F218:F271" si="19">E218*D218</f>
        <v>7859</v>
      </c>
      <c r="G218" s="32"/>
      <c r="H218" s="32"/>
      <c r="I218" s="33"/>
    </row>
    <row r="219" ht="31.5" spans="1:9">
      <c r="A219" s="29" t="s">
        <v>371</v>
      </c>
      <c r="B219" s="62" t="s">
        <v>372</v>
      </c>
      <c r="C219" s="59" t="s">
        <v>39</v>
      </c>
      <c r="D219" s="59">
        <v>10</v>
      </c>
      <c r="E219" s="31">
        <v>130.3</v>
      </c>
      <c r="F219" s="36">
        <f t="shared" si="19"/>
        <v>1303</v>
      </c>
      <c r="G219" s="32"/>
      <c r="H219" s="32"/>
      <c r="I219" s="33"/>
    </row>
    <row r="220" spans="1:9">
      <c r="A220" s="29" t="s">
        <v>373</v>
      </c>
      <c r="B220" s="62" t="s">
        <v>188</v>
      </c>
      <c r="C220" s="59" t="s">
        <v>39</v>
      </c>
      <c r="D220" s="59">
        <v>10</v>
      </c>
      <c r="E220" s="31">
        <v>86.1</v>
      </c>
      <c r="F220" s="36">
        <f t="shared" si="19"/>
        <v>861</v>
      </c>
      <c r="G220" s="32"/>
      <c r="H220" s="32"/>
      <c r="I220" s="33"/>
    </row>
    <row r="221" ht="47.25" spans="1:9">
      <c r="A221" s="29" t="s">
        <v>374</v>
      </c>
      <c r="B221" s="62" t="s">
        <v>375</v>
      </c>
      <c r="C221" s="59" t="s">
        <v>39</v>
      </c>
      <c r="D221" s="59">
        <v>140</v>
      </c>
      <c r="E221" s="31">
        <v>875.63</v>
      </c>
      <c r="F221" s="36">
        <f t="shared" si="19"/>
        <v>122588.2</v>
      </c>
      <c r="G221" s="32"/>
      <c r="H221" s="32"/>
      <c r="I221" s="33"/>
    </row>
    <row r="222" spans="1:9">
      <c r="A222" s="29" t="s">
        <v>376</v>
      </c>
      <c r="B222" s="62" t="s">
        <v>377</v>
      </c>
      <c r="C222" s="59" t="s">
        <v>264</v>
      </c>
      <c r="D222" s="59">
        <v>712</v>
      </c>
      <c r="E222" s="31">
        <v>78.47</v>
      </c>
      <c r="F222" s="36">
        <f t="shared" si="19"/>
        <v>55870.64</v>
      </c>
      <c r="G222" s="32"/>
      <c r="H222" s="32"/>
      <c r="I222" s="33"/>
    </row>
    <row r="223" ht="31.5" spans="1:9">
      <c r="A223" s="29" t="s">
        <v>378</v>
      </c>
      <c r="B223" s="62" t="s">
        <v>379</v>
      </c>
      <c r="C223" s="59" t="s">
        <v>264</v>
      </c>
      <c r="D223" s="59">
        <v>203</v>
      </c>
      <c r="E223" s="31">
        <v>180</v>
      </c>
      <c r="F223" s="36">
        <f t="shared" si="19"/>
        <v>36540</v>
      </c>
      <c r="G223" s="32"/>
      <c r="H223" s="32"/>
      <c r="I223" s="33"/>
    </row>
    <row r="224" ht="32.25" spans="1:9">
      <c r="A224" s="29" t="s">
        <v>380</v>
      </c>
      <c r="B224" s="68" t="s">
        <v>365</v>
      </c>
      <c r="C224" s="69" t="s">
        <v>264</v>
      </c>
      <c r="D224" s="69">
        <v>571</v>
      </c>
      <c r="E224" s="36">
        <v>1005.13</v>
      </c>
      <c r="F224" s="36">
        <f t="shared" si="19"/>
        <v>573929.23</v>
      </c>
      <c r="G224" s="32"/>
      <c r="H224" s="32"/>
      <c r="I224" s="33"/>
    </row>
    <row r="225" s="2" customFormat="1" ht="16.5" spans="1:9">
      <c r="A225" s="123"/>
      <c r="B225" s="126" t="s">
        <v>381</v>
      </c>
      <c r="C225" s="71"/>
      <c r="D225" s="71"/>
      <c r="E225" s="72"/>
      <c r="F225" s="41">
        <f>SUM(F218:F224)</f>
        <v>798951.07</v>
      </c>
      <c r="G225" s="32"/>
      <c r="H225" s="32"/>
      <c r="I225" s="33"/>
    </row>
    <row r="226" spans="1:9">
      <c r="A226" s="52" t="s">
        <v>382</v>
      </c>
      <c r="B226" s="53"/>
      <c r="C226" s="121"/>
      <c r="D226" s="121"/>
      <c r="E226" s="77"/>
      <c r="F226" s="122"/>
      <c r="G226" s="32"/>
      <c r="H226" s="32"/>
      <c r="I226" s="33"/>
    </row>
    <row r="227" spans="1:9">
      <c r="A227" s="29" t="s">
        <v>383</v>
      </c>
      <c r="B227" s="62" t="s">
        <v>354</v>
      </c>
      <c r="C227" s="59" t="s">
        <v>39</v>
      </c>
      <c r="D227" s="59">
        <v>50</v>
      </c>
      <c r="E227" s="31">
        <v>78.59</v>
      </c>
      <c r="F227" s="36">
        <f t="shared" si="19"/>
        <v>3929.5</v>
      </c>
      <c r="G227" s="32"/>
      <c r="H227" s="32"/>
      <c r="I227" s="33"/>
    </row>
    <row r="228" spans="1:9">
      <c r="A228" s="29" t="s">
        <v>384</v>
      </c>
      <c r="B228" s="62" t="s">
        <v>385</v>
      </c>
      <c r="C228" s="59" t="s">
        <v>39</v>
      </c>
      <c r="D228" s="59">
        <v>30</v>
      </c>
      <c r="E228" s="31">
        <v>130.05</v>
      </c>
      <c r="F228" s="36">
        <f t="shared" si="19"/>
        <v>3901.5</v>
      </c>
      <c r="G228" s="32"/>
      <c r="H228" s="32"/>
      <c r="I228" s="33"/>
    </row>
    <row r="229" spans="1:9">
      <c r="A229" s="29" t="s">
        <v>386</v>
      </c>
      <c r="B229" s="62" t="s">
        <v>358</v>
      </c>
      <c r="C229" s="59" t="s">
        <v>39</v>
      </c>
      <c r="D229" s="59">
        <v>30</v>
      </c>
      <c r="E229" s="31">
        <v>86.1</v>
      </c>
      <c r="F229" s="36">
        <f t="shared" si="19"/>
        <v>2583</v>
      </c>
      <c r="G229" s="32"/>
      <c r="H229" s="32"/>
      <c r="I229" s="33"/>
    </row>
    <row r="230" ht="63" spans="1:9">
      <c r="A230" s="29" t="s">
        <v>387</v>
      </c>
      <c r="B230" s="62" t="s">
        <v>388</v>
      </c>
      <c r="C230" s="59" t="s">
        <v>39</v>
      </c>
      <c r="D230" s="59">
        <v>15</v>
      </c>
      <c r="E230" s="31">
        <v>875.63</v>
      </c>
      <c r="F230" s="36">
        <f t="shared" si="19"/>
        <v>13134.45</v>
      </c>
      <c r="G230" s="32"/>
      <c r="H230" s="32"/>
      <c r="I230" s="33"/>
    </row>
    <row r="231" spans="1:9">
      <c r="A231" s="6"/>
      <c r="B231" s="109" t="s">
        <v>389</v>
      </c>
      <c r="C231" s="59"/>
      <c r="D231" s="59"/>
      <c r="E231" s="31"/>
      <c r="F231" s="36">
        <f t="shared" si="19"/>
        <v>0</v>
      </c>
      <c r="G231" s="32"/>
      <c r="H231" s="32"/>
      <c r="I231" s="33"/>
    </row>
    <row r="232" spans="1:9">
      <c r="A232" s="29" t="s">
        <v>390</v>
      </c>
      <c r="B232" s="62" t="s">
        <v>391</v>
      </c>
      <c r="C232" s="59" t="s">
        <v>264</v>
      </c>
      <c r="D232" s="59">
        <v>388</v>
      </c>
      <c r="E232" s="31">
        <v>78.47</v>
      </c>
      <c r="F232" s="36">
        <f t="shared" si="19"/>
        <v>30446.36</v>
      </c>
      <c r="G232" s="32"/>
      <c r="H232" s="32"/>
      <c r="I232" s="33"/>
    </row>
    <row r="233" ht="31.5" spans="1:9">
      <c r="A233" s="29" t="s">
        <v>392</v>
      </c>
      <c r="B233" s="62" t="s">
        <v>379</v>
      </c>
      <c r="C233" s="59" t="s">
        <v>264</v>
      </c>
      <c r="D233" s="59">
        <v>40</v>
      </c>
      <c r="E233" s="31">
        <v>180</v>
      </c>
      <c r="F233" s="36">
        <f t="shared" si="19"/>
        <v>7200</v>
      </c>
      <c r="G233" s="32"/>
      <c r="H233" s="32"/>
      <c r="I233" s="33"/>
    </row>
    <row r="234" spans="1:9">
      <c r="A234" s="6"/>
      <c r="B234" s="127" t="s">
        <v>393</v>
      </c>
      <c r="C234" s="88"/>
      <c r="D234" s="88"/>
      <c r="E234" s="31"/>
      <c r="F234" s="36">
        <f t="shared" si="19"/>
        <v>0</v>
      </c>
      <c r="G234" s="32"/>
      <c r="H234" s="32"/>
      <c r="I234" s="33"/>
    </row>
    <row r="235" ht="32.25" spans="1:9">
      <c r="A235" s="29" t="s">
        <v>394</v>
      </c>
      <c r="B235" s="30" t="s">
        <v>365</v>
      </c>
      <c r="C235" s="88" t="s">
        <v>264</v>
      </c>
      <c r="D235" s="88">
        <v>303</v>
      </c>
      <c r="E235" s="31">
        <v>1005.13</v>
      </c>
      <c r="F235" s="36">
        <f t="shared" si="19"/>
        <v>304554.39</v>
      </c>
      <c r="G235" s="32"/>
      <c r="H235" s="32"/>
      <c r="I235" s="33"/>
    </row>
    <row r="236" s="2" customFormat="1" ht="16.5" spans="1:9">
      <c r="A236" s="123"/>
      <c r="B236" s="126" t="s">
        <v>395</v>
      </c>
      <c r="C236" s="71"/>
      <c r="D236" s="71"/>
      <c r="E236" s="72"/>
      <c r="F236" s="41">
        <f>SUM(F227:F235)</f>
        <v>365749.2</v>
      </c>
      <c r="G236" s="32"/>
      <c r="H236" s="32"/>
      <c r="I236" s="33"/>
    </row>
    <row r="237" spans="1:9">
      <c r="A237" s="128" t="s">
        <v>396</v>
      </c>
      <c r="B237" s="129"/>
      <c r="C237" s="88"/>
      <c r="D237" s="88"/>
      <c r="E237" s="31"/>
      <c r="F237" s="36">
        <f t="shared" si="19"/>
        <v>0</v>
      </c>
      <c r="G237" s="32"/>
      <c r="H237" s="32"/>
      <c r="I237" s="33"/>
    </row>
    <row r="238" ht="31.5" spans="1:9">
      <c r="A238" s="29" t="s">
        <v>397</v>
      </c>
      <c r="B238" s="30" t="s">
        <v>398</v>
      </c>
      <c r="C238" s="88" t="s">
        <v>264</v>
      </c>
      <c r="D238" s="88">
        <v>20</v>
      </c>
      <c r="E238" s="31">
        <v>758.78</v>
      </c>
      <c r="F238" s="36">
        <f t="shared" si="19"/>
        <v>15175.6</v>
      </c>
      <c r="G238" s="32"/>
      <c r="H238" s="32"/>
      <c r="I238" s="33"/>
    </row>
    <row r="239" ht="16.5" spans="1:9">
      <c r="A239" s="29" t="s">
        <v>399</v>
      </c>
      <c r="B239" s="30" t="s">
        <v>400</v>
      </c>
      <c r="C239" s="88" t="s">
        <v>230</v>
      </c>
      <c r="D239" s="88">
        <v>23</v>
      </c>
      <c r="E239" s="31">
        <v>6413.54</v>
      </c>
      <c r="F239" s="36">
        <f t="shared" si="19"/>
        <v>147511.42</v>
      </c>
      <c r="G239" s="32"/>
      <c r="H239" s="32"/>
      <c r="I239" s="33"/>
    </row>
    <row r="240" s="2" customFormat="1" ht="16.5" spans="1:9">
      <c r="A240" s="123"/>
      <c r="B240" s="126" t="s">
        <v>401</v>
      </c>
      <c r="C240" s="71"/>
      <c r="D240" s="71"/>
      <c r="E240" s="72"/>
      <c r="F240" s="41">
        <f>SUM(F238:F239)</f>
        <v>162687.02</v>
      </c>
      <c r="G240" s="32"/>
      <c r="H240" s="32"/>
      <c r="I240" s="33"/>
    </row>
    <row r="241" spans="1:9">
      <c r="A241" s="128" t="s">
        <v>402</v>
      </c>
      <c r="B241" s="129"/>
      <c r="C241" s="88"/>
      <c r="D241" s="88"/>
      <c r="E241" s="31"/>
      <c r="F241" s="36">
        <f t="shared" si="19"/>
        <v>0</v>
      </c>
      <c r="G241" s="32"/>
      <c r="H241" s="32"/>
      <c r="I241" s="33"/>
    </row>
    <row r="242" spans="1:9">
      <c r="A242" s="29" t="s">
        <v>403</v>
      </c>
      <c r="B242" s="30" t="s">
        <v>404</v>
      </c>
      <c r="C242" s="88" t="s">
        <v>73</v>
      </c>
      <c r="D242" s="88">
        <v>11</v>
      </c>
      <c r="E242" s="31">
        <v>36199.84</v>
      </c>
      <c r="F242" s="36">
        <f t="shared" si="19"/>
        <v>398198.24</v>
      </c>
      <c r="G242" s="32"/>
      <c r="H242" s="32"/>
      <c r="I242" s="33"/>
    </row>
    <row r="243" spans="1:9">
      <c r="A243" s="29" t="s">
        <v>405</v>
      </c>
      <c r="B243" s="30" t="s">
        <v>406</v>
      </c>
      <c r="C243" s="88" t="s">
        <v>39</v>
      </c>
      <c r="D243" s="88">
        <v>3</v>
      </c>
      <c r="E243" s="31">
        <v>7248.84</v>
      </c>
      <c r="F243" s="36">
        <f t="shared" si="19"/>
        <v>21746.52</v>
      </c>
      <c r="G243" s="32"/>
      <c r="H243" s="32"/>
      <c r="I243" s="33"/>
    </row>
    <row r="244" ht="40.5" customHeight="1" spans="1:9">
      <c r="A244" s="29" t="s">
        <v>407</v>
      </c>
      <c r="B244" s="30" t="s">
        <v>408</v>
      </c>
      <c r="C244" s="88" t="s">
        <v>73</v>
      </c>
      <c r="D244" s="88">
        <v>44</v>
      </c>
      <c r="E244" s="31">
        <v>5065.16</v>
      </c>
      <c r="F244" s="36">
        <f t="shared" si="19"/>
        <v>222867.04</v>
      </c>
      <c r="G244" s="32"/>
      <c r="H244" s="32"/>
      <c r="I244" s="33"/>
    </row>
    <row r="245" s="2" customFormat="1" ht="16.5" spans="1:9">
      <c r="A245" s="123"/>
      <c r="B245" s="126" t="s">
        <v>409</v>
      </c>
      <c r="C245" s="71"/>
      <c r="D245" s="71"/>
      <c r="E245" s="72"/>
      <c r="F245" s="41">
        <f>SUM(F242:F244)</f>
        <v>642811.8</v>
      </c>
      <c r="G245" s="32"/>
      <c r="H245" s="32"/>
      <c r="I245" s="33"/>
    </row>
    <row r="246" s="2" customFormat="1" ht="16.5" spans="1:9">
      <c r="A246" s="123"/>
      <c r="B246" s="126" t="s">
        <v>410</v>
      </c>
      <c r="C246" s="71"/>
      <c r="D246" s="71"/>
      <c r="E246" s="72"/>
      <c r="F246" s="41">
        <f>F245+F240+F236+F225+F215</f>
        <v>5081388.03</v>
      </c>
      <c r="G246" s="32"/>
      <c r="H246" s="32"/>
      <c r="I246" s="33"/>
    </row>
    <row r="247" spans="1:9">
      <c r="A247" s="128" t="s">
        <v>411</v>
      </c>
      <c r="B247" s="129"/>
      <c r="C247" s="88"/>
      <c r="D247" s="88"/>
      <c r="E247" s="31"/>
      <c r="F247" s="36">
        <f t="shared" si="19"/>
        <v>0</v>
      </c>
      <c r="G247" s="32"/>
      <c r="H247" s="32"/>
      <c r="I247" s="33"/>
    </row>
    <row r="248" spans="1:9">
      <c r="A248" s="130"/>
      <c r="B248" s="28" t="s">
        <v>231</v>
      </c>
      <c r="C248" s="88"/>
      <c r="D248" s="88"/>
      <c r="E248" s="31"/>
      <c r="F248" s="36">
        <f t="shared" si="19"/>
        <v>0</v>
      </c>
      <c r="G248" s="32"/>
      <c r="H248" s="32"/>
      <c r="I248" s="33"/>
    </row>
    <row r="249" spans="1:9">
      <c r="A249" s="29" t="s">
        <v>412</v>
      </c>
      <c r="B249" s="30" t="s">
        <v>233</v>
      </c>
      <c r="C249" s="88" t="s">
        <v>39</v>
      </c>
      <c r="D249" s="88">
        <v>5</v>
      </c>
      <c r="E249" s="31">
        <v>683.93</v>
      </c>
      <c r="F249" s="36">
        <f t="shared" si="19"/>
        <v>3419.65</v>
      </c>
      <c r="G249" s="32"/>
      <c r="H249" s="32"/>
      <c r="I249" s="33"/>
    </row>
    <row r="250" spans="1:9">
      <c r="A250" s="29" t="s">
        <v>413</v>
      </c>
      <c r="B250" s="30" t="s">
        <v>414</v>
      </c>
      <c r="C250" s="88" t="s">
        <v>73</v>
      </c>
      <c r="D250" s="88">
        <v>7</v>
      </c>
      <c r="E250" s="31">
        <v>26350.78</v>
      </c>
      <c r="F250" s="36">
        <f t="shared" si="19"/>
        <v>184455.46</v>
      </c>
      <c r="G250" s="32"/>
      <c r="H250" s="32"/>
      <c r="I250" s="33"/>
    </row>
    <row r="251" spans="1:9">
      <c r="A251" s="29" t="s">
        <v>415</v>
      </c>
      <c r="B251" s="30" t="s">
        <v>416</v>
      </c>
      <c r="C251" s="88" t="s">
        <v>73</v>
      </c>
      <c r="D251" s="88">
        <v>2</v>
      </c>
      <c r="E251" s="31">
        <v>4592.08</v>
      </c>
      <c r="F251" s="36">
        <f t="shared" si="19"/>
        <v>9184.16</v>
      </c>
      <c r="G251" s="32"/>
      <c r="H251" s="32"/>
      <c r="I251" s="33"/>
    </row>
    <row r="252" spans="1:9">
      <c r="A252" s="29" t="s">
        <v>417</v>
      </c>
      <c r="B252" s="30" t="s">
        <v>418</v>
      </c>
      <c r="C252" s="88" t="s">
        <v>73</v>
      </c>
      <c r="D252" s="88">
        <v>1</v>
      </c>
      <c r="E252" s="31">
        <v>5061.78</v>
      </c>
      <c r="F252" s="36">
        <f t="shared" si="19"/>
        <v>5061.78</v>
      </c>
      <c r="G252" s="32"/>
      <c r="H252" s="32"/>
      <c r="I252" s="33"/>
    </row>
    <row r="253" spans="1:9">
      <c r="A253" s="29" t="s">
        <v>419</v>
      </c>
      <c r="B253" s="30" t="s">
        <v>420</v>
      </c>
      <c r="C253" s="88" t="s">
        <v>73</v>
      </c>
      <c r="D253" s="88">
        <v>2</v>
      </c>
      <c r="E253" s="31">
        <v>5227.09</v>
      </c>
      <c r="F253" s="36">
        <f t="shared" si="19"/>
        <v>10454.18</v>
      </c>
      <c r="G253" s="32"/>
      <c r="H253" s="32"/>
      <c r="I253" s="33"/>
    </row>
    <row r="254" spans="1:9">
      <c r="A254" s="29" t="s">
        <v>421</v>
      </c>
      <c r="B254" s="30" t="s">
        <v>422</v>
      </c>
      <c r="C254" s="88" t="s">
        <v>73</v>
      </c>
      <c r="D254" s="25">
        <v>4</v>
      </c>
      <c r="E254" s="31">
        <v>7990.09</v>
      </c>
      <c r="F254" s="36">
        <f t="shared" si="19"/>
        <v>31960.36</v>
      </c>
      <c r="G254" s="32"/>
      <c r="H254" s="32"/>
      <c r="I254" s="33"/>
    </row>
    <row r="255" spans="1:9">
      <c r="A255" s="29" t="s">
        <v>423</v>
      </c>
      <c r="B255" s="27" t="s">
        <v>424</v>
      </c>
      <c r="C255" s="88" t="s">
        <v>73</v>
      </c>
      <c r="D255" s="25">
        <v>2</v>
      </c>
      <c r="E255" s="31">
        <v>5057.51</v>
      </c>
      <c r="F255" s="36">
        <f t="shared" si="19"/>
        <v>10115.02</v>
      </c>
      <c r="G255" s="32"/>
      <c r="H255" s="32"/>
      <c r="I255" s="33"/>
    </row>
    <row r="256" s="2" customFormat="1" ht="16.5" spans="1:9">
      <c r="A256" s="131"/>
      <c r="B256" s="132" t="s">
        <v>425</v>
      </c>
      <c r="C256" s="133"/>
      <c r="D256" s="134"/>
      <c r="E256" s="135"/>
      <c r="F256" s="136">
        <f>SUM(F249:F255)</f>
        <v>254650.61</v>
      </c>
      <c r="G256" s="32"/>
      <c r="H256" s="32"/>
      <c r="I256" s="33"/>
    </row>
    <row r="257" s="2" customFormat="1" ht="16.5" spans="1:9">
      <c r="A257" s="123"/>
      <c r="B257" s="126" t="s">
        <v>426</v>
      </c>
      <c r="C257" s="71"/>
      <c r="D257" s="71"/>
      <c r="E257" s="72"/>
      <c r="F257" s="41">
        <f>F256+F246+F205+F202+F197</f>
        <v>169786511.4</v>
      </c>
      <c r="G257" s="32"/>
      <c r="H257" s="32"/>
      <c r="I257" s="33"/>
    </row>
    <row r="258" spans="1:9">
      <c r="A258" s="137"/>
      <c r="B258" s="138" t="s">
        <v>427</v>
      </c>
      <c r="C258" s="139"/>
      <c r="D258" s="139"/>
      <c r="E258" s="77"/>
      <c r="F258" s="122"/>
      <c r="G258" s="32"/>
      <c r="H258" s="32"/>
      <c r="I258" s="33"/>
    </row>
    <row r="259" spans="1:9">
      <c r="A259" s="29" t="s">
        <v>428</v>
      </c>
      <c r="B259" s="30" t="s">
        <v>429</v>
      </c>
      <c r="C259" s="25" t="s">
        <v>73</v>
      </c>
      <c r="D259" s="25">
        <v>13</v>
      </c>
      <c r="E259" s="31">
        <v>1302.02</v>
      </c>
      <c r="F259" s="36">
        <f t="shared" si="19"/>
        <v>16926.26</v>
      </c>
      <c r="G259" s="32"/>
      <c r="H259" s="32"/>
      <c r="I259" s="33"/>
    </row>
    <row r="260" spans="1:9">
      <c r="A260" s="29" t="s">
        <v>430</v>
      </c>
      <c r="B260" s="30" t="s">
        <v>431</v>
      </c>
      <c r="C260" s="25" t="s">
        <v>39</v>
      </c>
      <c r="D260" s="25">
        <v>23</v>
      </c>
      <c r="E260" s="31">
        <v>4815.5</v>
      </c>
      <c r="F260" s="36">
        <f t="shared" si="19"/>
        <v>110756.5</v>
      </c>
      <c r="G260" s="32"/>
      <c r="H260" s="32"/>
      <c r="I260" s="33"/>
    </row>
    <row r="261" spans="1:9">
      <c r="A261" s="29" t="s">
        <v>432</v>
      </c>
      <c r="B261" s="30" t="s">
        <v>433</v>
      </c>
      <c r="C261" s="25" t="s">
        <v>162</v>
      </c>
      <c r="D261" s="25">
        <v>13</v>
      </c>
      <c r="E261" s="31">
        <v>30945.02</v>
      </c>
      <c r="F261" s="36">
        <f t="shared" si="19"/>
        <v>402285.26</v>
      </c>
      <c r="G261" s="32"/>
      <c r="H261" s="32"/>
      <c r="I261" s="33"/>
    </row>
    <row r="262" spans="1:9">
      <c r="A262" s="29" t="s">
        <v>434</v>
      </c>
      <c r="B262" s="27" t="s">
        <v>435</v>
      </c>
      <c r="C262" s="25" t="s">
        <v>39</v>
      </c>
      <c r="D262" s="25">
        <v>2</v>
      </c>
      <c r="E262" s="31">
        <v>27099.25</v>
      </c>
      <c r="F262" s="36">
        <f t="shared" si="19"/>
        <v>54198.5</v>
      </c>
      <c r="G262" s="32"/>
      <c r="H262" s="32"/>
      <c r="I262" s="33"/>
    </row>
    <row r="263" spans="1:9">
      <c r="A263" s="29" t="s">
        <v>436</v>
      </c>
      <c r="B263" s="30" t="s">
        <v>437</v>
      </c>
      <c r="C263" s="25" t="s">
        <v>162</v>
      </c>
      <c r="D263" s="25" t="s">
        <v>438</v>
      </c>
      <c r="E263" s="31">
        <v>125515.47</v>
      </c>
      <c r="F263" s="36">
        <f t="shared" si="19"/>
        <v>1882732.05</v>
      </c>
      <c r="G263" s="32"/>
      <c r="H263" s="32"/>
      <c r="I263" s="33"/>
    </row>
    <row r="264" spans="1:9">
      <c r="A264" s="29" t="s">
        <v>439</v>
      </c>
      <c r="B264" s="30" t="s">
        <v>440</v>
      </c>
      <c r="C264" s="25" t="s">
        <v>162</v>
      </c>
      <c r="D264" s="25" t="s">
        <v>441</v>
      </c>
      <c r="E264" s="31">
        <v>22785.94</v>
      </c>
      <c r="F264" s="36">
        <f t="shared" si="19"/>
        <v>273431.28</v>
      </c>
      <c r="G264" s="32"/>
      <c r="H264" s="32"/>
      <c r="I264" s="33"/>
    </row>
    <row r="265" spans="1:9">
      <c r="A265" s="29" t="s">
        <v>442</v>
      </c>
      <c r="B265" s="30" t="s">
        <v>443</v>
      </c>
      <c r="C265" s="25" t="s">
        <v>162</v>
      </c>
      <c r="D265" s="25" t="s">
        <v>12</v>
      </c>
      <c r="E265" s="31">
        <v>24971.36</v>
      </c>
      <c r="F265" s="36">
        <f t="shared" si="19"/>
        <v>74914.08</v>
      </c>
      <c r="G265" s="32"/>
      <c r="H265" s="32"/>
      <c r="I265" s="33"/>
    </row>
    <row r="266" spans="1:9">
      <c r="A266" s="29" t="s">
        <v>444</v>
      </c>
      <c r="B266" s="27" t="s">
        <v>445</v>
      </c>
      <c r="C266" s="25" t="s">
        <v>162</v>
      </c>
      <c r="D266" s="25" t="s">
        <v>206</v>
      </c>
      <c r="E266" s="31">
        <v>37643.98</v>
      </c>
      <c r="F266" s="36">
        <f t="shared" si="19"/>
        <v>677591.64</v>
      </c>
      <c r="G266" s="32"/>
      <c r="H266" s="32"/>
      <c r="I266" s="33"/>
    </row>
    <row r="267" spans="1:9">
      <c r="A267" s="29" t="s">
        <v>446</v>
      </c>
      <c r="B267" s="30" t="s">
        <v>447</v>
      </c>
      <c r="C267" s="25" t="s">
        <v>448</v>
      </c>
      <c r="D267" s="25">
        <v>15</v>
      </c>
      <c r="E267" s="31">
        <v>47000.66</v>
      </c>
      <c r="F267" s="36">
        <f t="shared" si="19"/>
        <v>705009.9</v>
      </c>
      <c r="G267" s="32"/>
      <c r="H267" s="32"/>
      <c r="I267" s="33"/>
    </row>
    <row r="268" spans="1:9">
      <c r="A268" s="29" t="s">
        <v>449</v>
      </c>
      <c r="B268" s="27" t="s">
        <v>450</v>
      </c>
      <c r="C268" s="25" t="s">
        <v>451</v>
      </c>
      <c r="D268" s="25">
        <v>10</v>
      </c>
      <c r="E268" s="31">
        <v>714.68</v>
      </c>
      <c r="F268" s="36">
        <f t="shared" si="19"/>
        <v>7146.8</v>
      </c>
      <c r="G268" s="32"/>
      <c r="H268" s="32"/>
      <c r="I268" s="33"/>
    </row>
    <row r="269" spans="1:9">
      <c r="A269" s="29" t="s">
        <v>452</v>
      </c>
      <c r="B269" s="27" t="s">
        <v>453</v>
      </c>
      <c r="C269" s="25" t="s">
        <v>451</v>
      </c>
      <c r="D269" s="25">
        <v>418</v>
      </c>
      <c r="E269" s="31">
        <v>885.82</v>
      </c>
      <c r="F269" s="36">
        <f t="shared" si="19"/>
        <v>370272.76</v>
      </c>
      <c r="G269" s="32"/>
      <c r="H269" s="32"/>
      <c r="I269" s="33"/>
    </row>
    <row r="270" spans="1:9">
      <c r="A270" s="29" t="s">
        <v>454</v>
      </c>
      <c r="B270" s="27" t="s">
        <v>455</v>
      </c>
      <c r="C270" s="25" t="s">
        <v>451</v>
      </c>
      <c r="D270" s="25">
        <v>47</v>
      </c>
      <c r="E270" s="31">
        <v>522.09</v>
      </c>
      <c r="F270" s="36">
        <f t="shared" si="19"/>
        <v>24538.23</v>
      </c>
      <c r="G270" s="32"/>
      <c r="H270" s="32"/>
      <c r="I270" s="33"/>
    </row>
    <row r="271" ht="16.5" spans="1:9">
      <c r="A271" s="29" t="s">
        <v>456</v>
      </c>
      <c r="B271" s="30" t="s">
        <v>457</v>
      </c>
      <c r="C271" s="25" t="s">
        <v>458</v>
      </c>
      <c r="D271" s="25" t="s">
        <v>11</v>
      </c>
      <c r="E271" s="31">
        <v>562848.22</v>
      </c>
      <c r="F271" s="36">
        <f t="shared" si="19"/>
        <v>562848.22</v>
      </c>
      <c r="G271" s="32"/>
      <c r="H271" s="32"/>
      <c r="I271" s="33"/>
    </row>
    <row r="272" ht="16.5" spans="1:9">
      <c r="A272" s="49"/>
      <c r="B272" s="38" t="s">
        <v>459</v>
      </c>
      <c r="C272" s="50"/>
      <c r="D272" s="50"/>
      <c r="E272" s="140"/>
      <c r="F272" s="41">
        <f>SUM(F259:F271)</f>
        <v>5162651.48</v>
      </c>
      <c r="G272" s="32"/>
      <c r="H272" s="32"/>
      <c r="I272" s="33"/>
    </row>
    <row r="273" spans="1:9">
      <c r="A273" s="105"/>
      <c r="B273" s="141"/>
      <c r="C273" s="59"/>
      <c r="D273" s="59"/>
      <c r="E273" s="31"/>
      <c r="F273" s="36"/>
      <c r="G273" s="32"/>
      <c r="H273" s="32"/>
      <c r="I273" s="33"/>
    </row>
    <row r="274" spans="1:9">
      <c r="A274" s="105"/>
      <c r="B274" s="141" t="s">
        <v>460</v>
      </c>
      <c r="C274" s="59"/>
      <c r="D274" s="59"/>
      <c r="E274" s="31"/>
      <c r="F274" s="36"/>
      <c r="G274" s="32"/>
      <c r="H274" s="32"/>
      <c r="I274" s="33"/>
    </row>
    <row r="275" spans="1:9">
      <c r="A275" s="29" t="s">
        <v>461</v>
      </c>
      <c r="B275" s="30" t="s">
        <v>429</v>
      </c>
      <c r="C275" s="25" t="s">
        <v>162</v>
      </c>
      <c r="D275" s="25">
        <v>6</v>
      </c>
      <c r="E275" s="31">
        <v>1385.52</v>
      </c>
      <c r="F275" s="36">
        <f t="shared" ref="F275:F301" si="20">E275*D275</f>
        <v>8313.12</v>
      </c>
      <c r="G275" s="32"/>
      <c r="H275" s="32"/>
      <c r="I275" s="33"/>
    </row>
    <row r="276" spans="1:9">
      <c r="A276" s="29" t="s">
        <v>462</v>
      </c>
      <c r="B276" s="30" t="s">
        <v>431</v>
      </c>
      <c r="C276" s="25" t="s">
        <v>39</v>
      </c>
      <c r="D276" s="25">
        <v>0.4</v>
      </c>
      <c r="E276" s="31">
        <v>4812.9</v>
      </c>
      <c r="F276" s="36">
        <f t="shared" si="20"/>
        <v>1925.16</v>
      </c>
      <c r="G276" s="32"/>
      <c r="H276" s="32"/>
      <c r="I276" s="33"/>
    </row>
    <row r="277" spans="1:9">
      <c r="A277" s="29" t="s">
        <v>463</v>
      </c>
      <c r="B277" s="30" t="s">
        <v>433</v>
      </c>
      <c r="C277" s="25" t="s">
        <v>162</v>
      </c>
      <c r="D277" s="25">
        <v>6</v>
      </c>
      <c r="E277" s="31">
        <v>30415.42</v>
      </c>
      <c r="F277" s="36">
        <f t="shared" si="20"/>
        <v>182492.52</v>
      </c>
      <c r="G277" s="32"/>
      <c r="H277" s="32"/>
      <c r="I277" s="33"/>
    </row>
    <row r="278" spans="1:9">
      <c r="A278" s="29" t="s">
        <v>464</v>
      </c>
      <c r="B278" s="27" t="s">
        <v>435</v>
      </c>
      <c r="C278" s="25" t="s">
        <v>39</v>
      </c>
      <c r="D278" s="25">
        <v>1.5</v>
      </c>
      <c r="E278" s="31">
        <v>27095.39</v>
      </c>
      <c r="F278" s="36">
        <f t="shared" si="20"/>
        <v>40643.09</v>
      </c>
      <c r="G278" s="32"/>
      <c r="H278" s="32"/>
      <c r="I278" s="33"/>
    </row>
    <row r="279" ht="31.5" spans="1:9">
      <c r="A279" s="29" t="s">
        <v>465</v>
      </c>
      <c r="B279" s="30" t="s">
        <v>466</v>
      </c>
      <c r="C279" s="25" t="s">
        <v>162</v>
      </c>
      <c r="D279" s="25">
        <v>8</v>
      </c>
      <c r="E279" s="31">
        <v>4114.15</v>
      </c>
      <c r="F279" s="36">
        <f t="shared" si="20"/>
        <v>32913.2</v>
      </c>
      <c r="G279" s="32"/>
      <c r="H279" s="32"/>
      <c r="I279" s="33"/>
    </row>
    <row r="280" spans="1:9">
      <c r="A280" s="29" t="s">
        <v>467</v>
      </c>
      <c r="B280" s="30" t="s">
        <v>437</v>
      </c>
      <c r="C280" s="25" t="s">
        <v>162</v>
      </c>
      <c r="D280" s="25">
        <v>8</v>
      </c>
      <c r="E280" s="31">
        <v>121399.92</v>
      </c>
      <c r="F280" s="36">
        <f t="shared" si="20"/>
        <v>971199.36</v>
      </c>
      <c r="G280" s="32"/>
      <c r="H280" s="32"/>
      <c r="I280" s="33"/>
    </row>
    <row r="281" spans="1:9">
      <c r="A281" s="29" t="s">
        <v>468</v>
      </c>
      <c r="B281" s="30" t="s">
        <v>440</v>
      </c>
      <c r="C281" s="25" t="s">
        <v>162</v>
      </c>
      <c r="D281" s="25">
        <v>6</v>
      </c>
      <c r="E281" s="31">
        <v>22785.73</v>
      </c>
      <c r="F281" s="36">
        <f t="shared" si="20"/>
        <v>136714.38</v>
      </c>
      <c r="G281" s="32"/>
      <c r="H281" s="32"/>
      <c r="I281" s="33"/>
    </row>
    <row r="282" spans="1:9">
      <c r="A282" s="29" t="s">
        <v>469</v>
      </c>
      <c r="B282" s="30" t="s">
        <v>443</v>
      </c>
      <c r="C282" s="25" t="s">
        <v>162</v>
      </c>
      <c r="D282" s="25">
        <v>2</v>
      </c>
      <c r="E282" s="31">
        <v>24971.57</v>
      </c>
      <c r="F282" s="36">
        <f t="shared" si="20"/>
        <v>49943.14</v>
      </c>
      <c r="G282" s="32"/>
      <c r="H282" s="32"/>
      <c r="I282" s="33"/>
    </row>
    <row r="283" spans="1:9">
      <c r="A283" s="29" t="s">
        <v>470</v>
      </c>
      <c r="B283" s="27" t="s">
        <v>445</v>
      </c>
      <c r="C283" s="25" t="s">
        <v>162</v>
      </c>
      <c r="D283" s="25">
        <v>10</v>
      </c>
      <c r="E283" s="31">
        <v>36334.53</v>
      </c>
      <c r="F283" s="36">
        <f t="shared" si="20"/>
        <v>363345.3</v>
      </c>
      <c r="G283" s="32"/>
      <c r="H283" s="32"/>
      <c r="I283" s="33"/>
    </row>
    <row r="284" spans="1:9">
      <c r="A284" s="29" t="s">
        <v>471</v>
      </c>
      <c r="B284" s="30" t="s">
        <v>447</v>
      </c>
      <c r="C284" s="25" t="s">
        <v>448</v>
      </c>
      <c r="D284" s="25">
        <v>10</v>
      </c>
      <c r="E284" s="31">
        <v>33194.98</v>
      </c>
      <c r="F284" s="36">
        <f t="shared" si="20"/>
        <v>331949.8</v>
      </c>
      <c r="G284" s="32"/>
      <c r="H284" s="32"/>
      <c r="I284" s="33"/>
    </row>
    <row r="285" spans="1:9">
      <c r="A285" s="29" t="s">
        <v>472</v>
      </c>
      <c r="B285" s="27" t="s">
        <v>450</v>
      </c>
      <c r="C285" s="25" t="s">
        <v>451</v>
      </c>
      <c r="D285" s="25">
        <v>5</v>
      </c>
      <c r="E285" s="31">
        <v>714.68</v>
      </c>
      <c r="F285" s="36">
        <f t="shared" si="20"/>
        <v>3573.4</v>
      </c>
      <c r="G285" s="32"/>
      <c r="H285" s="32"/>
      <c r="I285" s="33"/>
    </row>
    <row r="286" spans="1:9">
      <c r="A286" s="29" t="s">
        <v>473</v>
      </c>
      <c r="B286" s="27" t="s">
        <v>474</v>
      </c>
      <c r="C286" s="25" t="s">
        <v>451</v>
      </c>
      <c r="D286" s="25">
        <v>145</v>
      </c>
      <c r="E286" s="31">
        <v>886.09</v>
      </c>
      <c r="F286" s="36">
        <f t="shared" si="20"/>
        <v>128483.05</v>
      </c>
      <c r="G286" s="32"/>
      <c r="H286" s="32"/>
      <c r="I286" s="33"/>
    </row>
    <row r="287" ht="16.5" spans="1:9">
      <c r="A287" s="29" t="s">
        <v>475</v>
      </c>
      <c r="B287" s="30" t="s">
        <v>457</v>
      </c>
      <c r="C287" s="25" t="s">
        <v>458</v>
      </c>
      <c r="D287" s="25" t="s">
        <v>11</v>
      </c>
      <c r="E287" s="31">
        <v>561807.37</v>
      </c>
      <c r="F287" s="36">
        <f t="shared" si="20"/>
        <v>561807.37</v>
      </c>
      <c r="G287" s="32"/>
      <c r="H287" s="32"/>
      <c r="I287" s="33"/>
    </row>
    <row r="288" ht="16.5" spans="1:9">
      <c r="A288" s="49"/>
      <c r="B288" s="38" t="s">
        <v>476</v>
      </c>
      <c r="C288" s="50"/>
      <c r="D288" s="50"/>
      <c r="E288" s="140"/>
      <c r="F288" s="41">
        <f>SUM(F275:F287)</f>
        <v>2813302.89</v>
      </c>
      <c r="G288" s="32"/>
      <c r="H288" s="32"/>
      <c r="I288" s="33"/>
    </row>
    <row r="289" spans="1:9">
      <c r="A289" s="105"/>
      <c r="B289" s="62"/>
      <c r="C289" s="59"/>
      <c r="D289" s="65"/>
      <c r="E289" s="31"/>
      <c r="F289" s="36"/>
      <c r="G289" s="32"/>
      <c r="H289" s="32"/>
      <c r="I289" s="33"/>
    </row>
    <row r="290" spans="1:9">
      <c r="A290" s="142" t="s">
        <v>477</v>
      </c>
      <c r="B290" s="58"/>
      <c r="C290" s="59"/>
      <c r="D290" s="65"/>
      <c r="E290" s="31"/>
      <c r="F290" s="36"/>
      <c r="G290" s="32"/>
      <c r="H290" s="32"/>
      <c r="I290" s="33"/>
    </row>
    <row r="291" ht="47.25" spans="1:9">
      <c r="A291" s="29" t="s">
        <v>478</v>
      </c>
      <c r="B291" s="62" t="s">
        <v>479</v>
      </c>
      <c r="C291" s="59" t="s">
        <v>81</v>
      </c>
      <c r="D291" s="65">
        <f>1.904</f>
        <v>1.904</v>
      </c>
      <c r="E291" s="31">
        <v>87016.63</v>
      </c>
      <c r="F291" s="36">
        <f t="shared" si="20"/>
        <v>165679.66</v>
      </c>
      <c r="G291" s="32"/>
      <c r="H291" s="32"/>
      <c r="I291" s="33"/>
    </row>
    <row r="292" ht="47.25" spans="1:9">
      <c r="A292" s="29" t="s">
        <v>480</v>
      </c>
      <c r="B292" s="62" t="s">
        <v>481</v>
      </c>
      <c r="C292" s="59" t="s">
        <v>81</v>
      </c>
      <c r="D292" s="65">
        <f>1.904</f>
        <v>1.904</v>
      </c>
      <c r="E292" s="31">
        <v>18928.58</v>
      </c>
      <c r="F292" s="36">
        <f t="shared" si="20"/>
        <v>36040.02</v>
      </c>
      <c r="G292" s="32"/>
      <c r="H292" s="32"/>
      <c r="I292" s="33"/>
    </row>
    <row r="293" ht="48" spans="1:9">
      <c r="A293" s="29" t="s">
        <v>482</v>
      </c>
      <c r="B293" s="62" t="s">
        <v>483</v>
      </c>
      <c r="C293" s="59" t="s">
        <v>81</v>
      </c>
      <c r="D293" s="65">
        <f>1.904</f>
        <v>1.904</v>
      </c>
      <c r="E293" s="31">
        <v>7670.49</v>
      </c>
      <c r="F293" s="36">
        <f t="shared" si="20"/>
        <v>14604.61</v>
      </c>
      <c r="G293" s="32"/>
      <c r="H293" s="32"/>
      <c r="I293" s="33"/>
    </row>
    <row r="294" ht="16.5" spans="1:9">
      <c r="A294" s="49"/>
      <c r="B294" s="38" t="s">
        <v>484</v>
      </c>
      <c r="C294" s="50"/>
      <c r="D294" s="50"/>
      <c r="E294" s="140"/>
      <c r="F294" s="41">
        <f>SUM(F291:F293)</f>
        <v>216324.29</v>
      </c>
      <c r="G294" s="32"/>
      <c r="H294" s="32"/>
      <c r="I294" s="33"/>
    </row>
    <row r="295" spans="1:9">
      <c r="A295" s="143" t="s">
        <v>485</v>
      </c>
      <c r="B295" s="75"/>
      <c r="C295" s="121"/>
      <c r="D295" s="76"/>
      <c r="E295" s="77"/>
      <c r="F295" s="122">
        <f t="shared" si="20"/>
        <v>0</v>
      </c>
      <c r="G295" s="32"/>
      <c r="H295" s="32"/>
      <c r="I295" s="33"/>
    </row>
    <row r="296" ht="47.25" spans="1:9">
      <c r="A296" s="29" t="s">
        <v>486</v>
      </c>
      <c r="B296" s="62" t="s">
        <v>479</v>
      </c>
      <c r="C296" s="59" t="s">
        <v>81</v>
      </c>
      <c r="D296" s="65">
        <f>1.904</f>
        <v>1.904</v>
      </c>
      <c r="E296" s="31">
        <v>87017.22</v>
      </c>
      <c r="F296" s="36">
        <f t="shared" si="20"/>
        <v>165680.79</v>
      </c>
      <c r="G296" s="32"/>
      <c r="H296" s="32"/>
      <c r="I296" s="33"/>
    </row>
    <row r="297" ht="47.25" spans="1:9">
      <c r="A297" s="29" t="s">
        <v>487</v>
      </c>
      <c r="B297" s="62" t="s">
        <v>481</v>
      </c>
      <c r="C297" s="59" t="s">
        <v>81</v>
      </c>
      <c r="D297" s="65">
        <f>1.904</f>
        <v>1.904</v>
      </c>
      <c r="E297" s="31">
        <v>18928.58</v>
      </c>
      <c r="F297" s="36">
        <f t="shared" si="20"/>
        <v>36040.02</v>
      </c>
      <c r="G297" s="32"/>
      <c r="H297" s="32"/>
      <c r="I297" s="33"/>
    </row>
    <row r="298" ht="47.25" spans="1:9">
      <c r="A298" s="29" t="s">
        <v>488</v>
      </c>
      <c r="B298" s="62" t="s">
        <v>483</v>
      </c>
      <c r="C298" s="59" t="s">
        <v>81</v>
      </c>
      <c r="D298" s="65">
        <f>1.904</f>
        <v>1.904</v>
      </c>
      <c r="E298" s="31">
        <v>7670.49</v>
      </c>
      <c r="F298" s="36">
        <f t="shared" si="20"/>
        <v>14604.61</v>
      </c>
      <c r="G298" s="32"/>
      <c r="H298" s="32"/>
      <c r="I298" s="33"/>
    </row>
    <row r="299" ht="31.5" spans="1:9">
      <c r="A299" s="29" t="s">
        <v>489</v>
      </c>
      <c r="B299" s="62" t="s">
        <v>490</v>
      </c>
      <c r="C299" s="59" t="s">
        <v>39</v>
      </c>
      <c r="D299" s="65">
        <v>51.072</v>
      </c>
      <c r="E299" s="31">
        <v>7442.22</v>
      </c>
      <c r="F299" s="36">
        <f t="shared" si="20"/>
        <v>380089.06</v>
      </c>
      <c r="G299" s="32"/>
      <c r="H299" s="32"/>
      <c r="I299" s="33"/>
    </row>
    <row r="300" ht="31.5" spans="1:9">
      <c r="A300" s="29" t="s">
        <v>491</v>
      </c>
      <c r="B300" s="62" t="s">
        <v>492</v>
      </c>
      <c r="C300" s="59" t="s">
        <v>39</v>
      </c>
      <c r="D300" s="65">
        <v>96</v>
      </c>
      <c r="E300" s="31">
        <v>7802.96</v>
      </c>
      <c r="F300" s="36">
        <f t="shared" si="20"/>
        <v>749084.16</v>
      </c>
      <c r="G300" s="32"/>
      <c r="H300" s="32"/>
      <c r="I300" s="33"/>
    </row>
    <row r="301" ht="16.5" spans="1:9">
      <c r="A301" s="29" t="s">
        <v>493</v>
      </c>
      <c r="B301" s="62" t="s">
        <v>494</v>
      </c>
      <c r="C301" s="59" t="s">
        <v>495</v>
      </c>
      <c r="D301" s="65">
        <v>36</v>
      </c>
      <c r="E301" s="31">
        <v>77891.46</v>
      </c>
      <c r="F301" s="36">
        <f t="shared" si="20"/>
        <v>2804092.56</v>
      </c>
      <c r="G301" s="32"/>
      <c r="H301" s="32"/>
      <c r="I301" s="33"/>
    </row>
    <row r="302" ht="16.5" spans="1:9">
      <c r="A302" s="49"/>
      <c r="B302" s="38" t="s">
        <v>496</v>
      </c>
      <c r="C302" s="50"/>
      <c r="D302" s="50"/>
      <c r="E302" s="140"/>
      <c r="F302" s="41">
        <f>SUM(F296:F301)</f>
        <v>4149591.2</v>
      </c>
      <c r="G302" s="32"/>
      <c r="H302" s="32"/>
      <c r="I302" s="33"/>
    </row>
    <row r="303" spans="1:9">
      <c r="A303" s="105"/>
      <c r="B303" s="144" t="s">
        <v>497</v>
      </c>
      <c r="C303" s="59"/>
      <c r="D303" s="65"/>
      <c r="E303" s="31"/>
      <c r="F303" s="104">
        <f>F302+F294+F288+F272+F257+F148+F45</f>
        <v>374024789.09</v>
      </c>
      <c r="G303" s="32"/>
      <c r="H303" s="32"/>
      <c r="I303" s="33"/>
    </row>
    <row r="304" spans="1:9">
      <c r="A304" s="145"/>
      <c r="B304" s="146" t="s">
        <v>498</v>
      </c>
      <c r="C304" s="147"/>
      <c r="D304" s="148"/>
      <c r="E304" s="31"/>
      <c r="F304" s="149">
        <f>6131553.92*1.22</f>
        <v>7480495.78</v>
      </c>
      <c r="G304" s="32"/>
      <c r="H304" s="32"/>
      <c r="I304" s="33"/>
    </row>
    <row r="305" spans="1:7">
      <c r="A305" s="105"/>
      <c r="B305" s="146" t="s">
        <v>499</v>
      </c>
      <c r="C305" s="150"/>
      <c r="D305" s="148"/>
      <c r="E305" s="31"/>
      <c r="F305" s="151">
        <f>F303+F304</f>
        <v>381505284.87</v>
      </c>
      <c r="G305" s="32"/>
    </row>
    <row r="306" spans="1:7">
      <c r="A306" s="105"/>
      <c r="B306" s="146" t="s">
        <v>500</v>
      </c>
      <c r="C306" s="152">
        <v>0.22</v>
      </c>
      <c r="D306" s="148"/>
      <c r="E306" s="31"/>
      <c r="F306" s="151">
        <f>F305</f>
        <v>381505284.87</v>
      </c>
      <c r="G306" s="32"/>
    </row>
  </sheetData>
  <mergeCells count="30">
    <mergeCell ref="E1:F1"/>
    <mergeCell ref="A5:F5"/>
    <mergeCell ref="A7:F7"/>
    <mergeCell ref="A12:B12"/>
    <mergeCell ref="A13:B13"/>
    <mergeCell ref="A17:B17"/>
    <mergeCell ref="A21:B21"/>
    <mergeCell ref="A22:B22"/>
    <mergeCell ref="A35:B35"/>
    <mergeCell ref="A42:B42"/>
    <mergeCell ref="A47:B47"/>
    <mergeCell ref="A149:B149"/>
    <mergeCell ref="A150:B150"/>
    <mergeCell ref="A200:B200"/>
    <mergeCell ref="A203:B203"/>
    <mergeCell ref="A206:B206"/>
    <mergeCell ref="A207:B207"/>
    <mergeCell ref="A216:B216"/>
    <mergeCell ref="A226:B226"/>
    <mergeCell ref="A237:B237"/>
    <mergeCell ref="A241:B241"/>
    <mergeCell ref="A247:B247"/>
    <mergeCell ref="A290:B290"/>
    <mergeCell ref="A295:B295"/>
    <mergeCell ref="A9:A10"/>
    <mergeCell ref="B9:B10"/>
    <mergeCell ref="C9:C10"/>
    <mergeCell ref="D9:D10"/>
    <mergeCell ref="E9:E10"/>
    <mergeCell ref="F9:F10"/>
  </mergeCells>
  <pageMargins left="0.7" right="0.7" top="0.75" bottom="0.75" header="0.3" footer="0.3"/>
  <pageSetup paperSize="9" scale="5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Проект сметы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Melnik</dc:creator>
  <cp:lastModifiedBy>Ponkratova</cp:lastModifiedBy>
  <dcterms:created xsi:type="dcterms:W3CDTF">2022-01-25T04:20:00Z</dcterms:created>
  <cp:lastPrinted>2026-04-23T00:03:00Z</cp:lastPrinted>
  <dcterms:modified xsi:type="dcterms:W3CDTF">2026-04-29T02:22:13Z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B585C1C9014C450BBD2AA3E2C5F5618A_12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