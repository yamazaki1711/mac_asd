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Отдел Планирования\Понкратова С.В\Причальные сооружения на торги\"/>
    </mc:Choice>
  </mc:AlternateContent>
  <xr:revisionPtr revIDLastSave="0" documentId="13_ncr:1_{A405B216-B5D3-432A-866D-83C2CFA33F2D}" xr6:coauthVersionLast="47" xr6:coauthVersionMax="47" xr10:uidLastSave="{00000000-0000-0000-0000-000000000000}"/>
  <bookViews>
    <workbookView xWindow="14565" yWindow="285" windowWidth="14070" windowHeight="14895" xr2:uid="{00000000-000D-0000-FFFF-FFFF00000000}"/>
  </bookViews>
  <sheets>
    <sheet name="Ведомость объемов" sheetId="15" r:id="rId1"/>
  </sheets>
  <definedNames>
    <definedName name="_xlnm.Print_Area" localSheetId="0">'Ведомость объемов'!$A$1:$E$280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9" i="15" l="1"/>
  <c r="E268" i="15"/>
  <c r="E267" i="15"/>
  <c r="E265" i="15"/>
  <c r="E264" i="15"/>
  <c r="E263" i="15"/>
  <c r="E141" i="15"/>
  <c r="E131" i="15"/>
  <c r="E113" i="15"/>
  <c r="E72" i="15"/>
  <c r="E60" i="15"/>
  <c r="E54" i="15"/>
  <c r="E52" i="15"/>
  <c r="E51" i="15"/>
  <c r="E50" i="15"/>
</calcChain>
</file>

<file path=xl/sharedStrings.xml><?xml version="1.0" encoding="utf-8"?>
<sst xmlns="http://schemas.openxmlformats.org/spreadsheetml/2006/main" count="883" uniqueCount="645">
  <si>
    <t>Монтаж двухрожкового кронштейна на опору</t>
  </si>
  <si>
    <t>№ п/п</t>
  </si>
  <si>
    <t>Наименование конструктивных решений (элементов), комплексов (видов) работ</t>
  </si>
  <si>
    <t>1</t>
  </si>
  <si>
    <t>3</t>
  </si>
  <si>
    <t>15</t>
  </si>
  <si>
    <t>т</t>
  </si>
  <si>
    <t>10</t>
  </si>
  <si>
    <t>12</t>
  </si>
  <si>
    <t>18</t>
  </si>
  <si>
    <t>шт.</t>
  </si>
  <si>
    <t>м3</t>
  </si>
  <si>
    <t>п.м</t>
  </si>
  <si>
    <t>Устройство верхнего слоя основания из фракционированного щебня, уложенного по способу заклинки, толщиной 20 см, в т.ч.:</t>
  </si>
  <si>
    <t>Устройство нижнего слоя основания из щебеночно-песчаной смеси С5, толщиной 29 см</t>
  </si>
  <si>
    <t>Длина тротуара</t>
  </si>
  <si>
    <t>шт</t>
  </si>
  <si>
    <t>м2</t>
  </si>
  <si>
    <t>Устройство подготовки из щебеночно-песчаной смеси С5, толщиной 10 см</t>
  </si>
  <si>
    <t>п.м.</t>
  </si>
  <si>
    <t>щиток А-700, масса - 3,16 кг (1.10)</t>
  </si>
  <si>
    <t>щиток А-700, масса - 3,16 кг (2.4)</t>
  </si>
  <si>
    <t>щиток D-600, масса - 4,21 кг (3.1)</t>
  </si>
  <si>
    <t>щиток D-600, масса - 4,21 кг (4.1.4;4.3)</t>
  </si>
  <si>
    <t>щиток 600x900, масса - 8,04 кг (5.16)</t>
  </si>
  <si>
    <t>щиток Bx600, масса - 5,36 кг (5.15.1; 5.15.4.1; 5.15.6; 5.15.7.1)</t>
  </si>
  <si>
    <t>щиток Bx700, масса - 7,29 кг (5.19.1)</t>
  </si>
  <si>
    <t xml:space="preserve">Монтаж железобетонного автобусного павильона с установкой скамьи, урны </t>
  </si>
  <si>
    <t>Сборка и монтаж ЩУО</t>
  </si>
  <si>
    <t>Монтаж однорожкового кронштейна на опору</t>
  </si>
  <si>
    <t>Монтаж светильника на опору</t>
  </si>
  <si>
    <t>Прокладка СИП-2 3х25+1х25</t>
  </si>
  <si>
    <t>Прокладка СИП-2 1х25+1х25</t>
  </si>
  <si>
    <t>Прокладка СИП-4 4х25 в щите и  по конструкциям</t>
  </si>
  <si>
    <t>комплект</t>
  </si>
  <si>
    <t>Глава 1. Подготовка территории строительства</t>
  </si>
  <si>
    <t>комплекс</t>
  </si>
  <si>
    <t xml:space="preserve">Устройство бетонной подготовки </t>
  </si>
  <si>
    <t>Устройство монолитного железобетонного массива</t>
  </si>
  <si>
    <t>Устройство колесоотбойников пирса</t>
  </si>
  <si>
    <t>Монтаж каркаса поддерживающего КП-1 из арматуры</t>
  </si>
  <si>
    <t>Армирование оголовка пирса</t>
  </si>
  <si>
    <t>Омоноличивание оголовока пирса</t>
  </si>
  <si>
    <t>Возведение верхнего строения пирса</t>
  </si>
  <si>
    <t>Возведение верхнего строения причала</t>
  </si>
  <si>
    <t>Установка стального перильного ограждения</t>
  </si>
  <si>
    <t>Омоноличивание верхнего строения причала</t>
  </si>
  <si>
    <t>Устройство колесоотбойников</t>
  </si>
  <si>
    <t>Навеска отбойных устройств</t>
  </si>
  <si>
    <t xml:space="preserve">Монтаж стальных скоб-трапов </t>
  </si>
  <si>
    <t xml:space="preserve">Установка светодиодных сигнальных огоней для причалов </t>
  </si>
  <si>
    <t xml:space="preserve"> Барьерное ограждение</t>
  </si>
  <si>
    <t>Дорожные знаки</t>
  </si>
  <si>
    <r>
      <t>м</t>
    </r>
    <r>
      <rPr>
        <vertAlign val="superscript"/>
        <sz val="12"/>
        <rFont val="Times New Roman"/>
        <family val="1"/>
        <charset val="204"/>
      </rPr>
      <t>3</t>
    </r>
  </si>
  <si>
    <t>Устройство горизонтальной разметки краской со стеклошариками</t>
  </si>
  <si>
    <t>Устройство площадной разметки краской со стеклошариками</t>
  </si>
  <si>
    <t>Монтаж на опоры линейной арматуры для подвеса СИП</t>
  </si>
  <si>
    <t>Составил</t>
  </si>
  <si>
    <t>Строительство причальных сооружений через протоку Озерная в Усть-Камчатском районе Камчатского края</t>
  </si>
  <si>
    <t>УТВЕРЖДАЮ</t>
  </si>
  <si>
    <t>Начальник КГКУ "Камчатуправтодор"</t>
  </si>
  <si>
    <t>Номера сметных расчетов (смет) и подиций в сметных расчетах (сметах), относящиеся к соответсвующим конструктивным решениям (элементам), комплексам (видам) работ</t>
  </si>
  <si>
    <t>Ед. идм.</t>
  </si>
  <si>
    <t>Кол-во</t>
  </si>
  <si>
    <t>2</t>
  </si>
  <si>
    <t>4</t>
  </si>
  <si>
    <t>5</t>
  </si>
  <si>
    <t>ЛСР №01-01, п.1-6</t>
  </si>
  <si>
    <t>Демонтаж существующего деревянного причала (правый берег) с погрузкой и транспортировкой на расстояние до 9 км</t>
  </si>
  <si>
    <t>ЛСР №01-01, п.7-12</t>
  </si>
  <si>
    <t>Демонтаж существующего пирса (правый берег) с погрузкой и транспортировкой на расстояние до 9 км</t>
  </si>
  <si>
    <t>ЛСР №01-02 п.1</t>
  </si>
  <si>
    <t>ЛСР №01-02 п.2</t>
  </si>
  <si>
    <t>ЛСР №01-02 п.3</t>
  </si>
  <si>
    <t>ЛСР №01-02 п.4</t>
  </si>
  <si>
    <t>Монтаж анкерной опоры в виде ростверка</t>
  </si>
  <si>
    <t>Откачка воды из трюма лихтера</t>
  </si>
  <si>
    <t>ЛСР №01-02  п.13</t>
  </si>
  <si>
    <t>ЛСР №01-02  п.14</t>
  </si>
  <si>
    <t>ЛСР №01-02  п.15</t>
  </si>
  <si>
    <t>ЛСР №01-02  п.16</t>
  </si>
  <si>
    <t>Перевозка автосамосвалами металлолома на расстояние до 10 км</t>
  </si>
  <si>
    <t>ЛСР №01-02  п.17</t>
  </si>
  <si>
    <t>Очистка корпуса плашкоута от грунта экскаватором</t>
  </si>
  <si>
    <t>ЛСР №01-03, п.1-2</t>
  </si>
  <si>
    <t>Демонтаж дорожных знаков на металлических стойках с транспортировкой на полигон ТБО на расстояние до 9 км</t>
  </si>
  <si>
    <t>ЛСР №02-01-01, п. 43-46</t>
  </si>
  <si>
    <r>
      <t>м</t>
    </r>
    <r>
      <rPr>
        <vertAlign val="superscript"/>
        <sz val="12"/>
        <rFont val="Times New Roman"/>
        <family val="1"/>
        <charset val="204"/>
      </rPr>
      <t>2</t>
    </r>
  </si>
  <si>
    <t>ЛСР №02-01-01, п. 47-48</t>
  </si>
  <si>
    <t>ЛСР №02-01-01, п. 49-50</t>
  </si>
  <si>
    <t>ЛСР №02-01-01, п. 51</t>
  </si>
  <si>
    <t>16</t>
  </si>
  <si>
    <t>ЛСР №02-01-01, п. 72</t>
  </si>
  <si>
    <t>Устройство антисейсмических швов</t>
  </si>
  <si>
    <t>м</t>
  </si>
  <si>
    <t xml:space="preserve">ЛСР №02-01-01, п. 56, </t>
  </si>
  <si>
    <t>0,46</t>
  </si>
  <si>
    <t>ЛСР №02-01-01, п. 65-68</t>
  </si>
  <si>
    <t>8,1</t>
  </si>
  <si>
    <t>237</t>
  </si>
  <si>
    <t>ЛСР №02-01-01, п. 40</t>
  </si>
  <si>
    <t>4,2</t>
  </si>
  <si>
    <r>
      <rPr>
        <b/>
        <i/>
        <sz val="12"/>
        <rFont val="Times New Roman"/>
        <family val="1"/>
        <charset val="204"/>
      </rPr>
      <t>Поддерживающий каркас</t>
    </r>
  </si>
  <si>
    <t>55</t>
  </si>
  <si>
    <t>ЛСР №02-01-01, п. 32-33</t>
  </si>
  <si>
    <t>11</t>
  </si>
  <si>
    <t>ЛСР №02-01-01, п. 37-39</t>
  </si>
  <si>
    <t>ЛСР №02-01-01, п. 73-74</t>
  </si>
  <si>
    <t>328</t>
  </si>
  <si>
    <r>
      <rPr>
        <b/>
        <i/>
        <sz val="12"/>
        <rFont val="Times New Roman"/>
        <family val="1"/>
        <charset val="204"/>
      </rPr>
      <t>Элементы обустройства</t>
    </r>
  </si>
  <si>
    <t>ЛСР №02-01-01, п. 41-42</t>
  </si>
  <si>
    <t>ЛСР №02-01-01, п. 26</t>
  </si>
  <si>
    <t>ЛСР №02-01-01, п. 28-30, 69, 70</t>
  </si>
  <si>
    <t>1249</t>
  </si>
  <si>
    <t>Раздел 2.3. Перенос автобусного павильона для пассажиров. Правый берег</t>
  </si>
  <si>
    <t>Раздел 2.4. Подъездная дорога. Правый берег</t>
  </si>
  <si>
    <t xml:space="preserve">Раздел 2.4.1 Восстановление покрытия </t>
  </si>
  <si>
    <t xml:space="preserve">Замена пучинистого основания </t>
  </si>
  <si>
    <t>130</t>
  </si>
  <si>
    <t>Разработка грунта 1 группы, y=1,70 т/м3, экскаватором с емкостью ковша 1,0 м3 с последующей погрузкой в автосамосвалы и транспортировкой до 9 км</t>
  </si>
  <si>
    <r>
      <rPr>
        <b/>
        <i/>
        <sz val="12"/>
        <rFont val="Times New Roman"/>
        <family val="1"/>
        <charset val="204"/>
      </rPr>
      <t>Устройство новой дорожной на сопряжении с причальным сооружением</t>
    </r>
  </si>
  <si>
    <t>191</t>
  </si>
  <si>
    <t>Устройство верхнего слоя основания из фракционированного щебня, уложенного по способу заклинки, толщиной 20 см</t>
  </si>
  <si>
    <r>
      <rPr>
        <b/>
        <i/>
        <sz val="12"/>
        <rFont val="Times New Roman"/>
        <family val="1"/>
        <charset val="204"/>
      </rPr>
      <t>Устройство новой дорожной одежды на остановочной площадке автобусной остановки</t>
    </r>
  </si>
  <si>
    <t>46</t>
  </si>
  <si>
    <t>17</t>
  </si>
  <si>
    <r>
      <rPr>
        <b/>
        <i/>
        <sz val="12"/>
        <rFont val="Times New Roman"/>
        <family val="1"/>
        <charset val="204"/>
      </rPr>
      <t>Устройство тротуара</t>
    </r>
  </si>
  <si>
    <t>ЛСР №02-01-07, п. 25-26</t>
  </si>
  <si>
    <t>36</t>
  </si>
  <si>
    <t>Раздел 2.4.2. Укрепление откосов габионами</t>
  </si>
  <si>
    <t>Монтаж щитков</t>
  </si>
  <si>
    <t>Знаки предупреждающие:</t>
  </si>
  <si>
    <t>Знаки приоритета:</t>
  </si>
  <si>
    <t>Запрещающие знаки:</t>
  </si>
  <si>
    <t>Предписывающие знаки:</t>
  </si>
  <si>
    <t>Знаки особых предписаний:</t>
  </si>
  <si>
    <t>ЛСР №02-01-07, п. 62-63</t>
  </si>
  <si>
    <t xml:space="preserve"> Устройство горизонтальной разметки </t>
  </si>
  <si>
    <t>Устройство площадной разметки</t>
  </si>
  <si>
    <t>Глава 3. Причальное соружение (левый берег).</t>
  </si>
  <si>
    <t>Погружение свай, бетонирование свай, погружение шпунта</t>
  </si>
  <si>
    <t>Сваи из стальных труб d=630 мм, толщина стенки 12 мм</t>
  </si>
  <si>
    <t>Монтаж наголовников свай НС-1, НС-2, НС-3</t>
  </si>
  <si>
    <t>Устройство верхнего строения причала</t>
  </si>
  <si>
    <t>Омоноличивание верхнего строения  причала</t>
  </si>
  <si>
    <t>Установка закладных деталей верхнего строения причала (Гильзы Г-1, Зд-1, Зд-2)</t>
  </si>
  <si>
    <t>Армирование колесоотбойного бруса на верхнем строении причала</t>
  </si>
  <si>
    <t>Устройство монолитных колесоотбойников на верхнем строении причала</t>
  </si>
  <si>
    <t>Обустройство причала и пирса</t>
  </si>
  <si>
    <t>Установка отбойных устройств причальных сооружений из резиновых труб</t>
  </si>
  <si>
    <t>Установка скоб-траб</t>
  </si>
  <si>
    <t>Устройство металлического перильного ограждения</t>
  </si>
  <si>
    <t>Установка швартовых тумб</t>
  </si>
  <si>
    <t>Установка шлагбаумов</t>
  </si>
  <si>
    <t>Устройство железобетонного массива</t>
  </si>
  <si>
    <t>Устройство бетонной подготовки под железобетонный массив</t>
  </si>
  <si>
    <t xml:space="preserve">Устройство фундаментных плит железобетонных </t>
  </si>
  <si>
    <t>Укрепление надводной и подводной частей откоса</t>
  </si>
  <si>
    <t>Укрепление откоса камнем по слою щебеночной подготовки (в районе причалов)</t>
  </si>
  <si>
    <t>Гидроизоляция свай и открытых бетонных поверхностей причала</t>
  </si>
  <si>
    <t>Установка пароизоляционного слоя из пленки полиэтиленовой</t>
  </si>
  <si>
    <t>Монтаж защитного кожуха на сваи</t>
  </si>
  <si>
    <t>Покрытие видимых бетонных поверхностей бетонной смолой</t>
  </si>
  <si>
    <t>Установка закладных деталей</t>
  </si>
  <si>
    <t>Устройство монолитного железобетонного оголовка пирса</t>
  </si>
  <si>
    <t>Устройство монолитных колесоотбойных брусов на пирсе</t>
  </si>
  <si>
    <t>Устройство тумбы швартовой</t>
  </si>
  <si>
    <t>Монтаж антисейсмических швов</t>
  </si>
  <si>
    <t>Укрепление откоса камнем по слою щебеночной подготовки (в районе пирса)</t>
  </si>
  <si>
    <t>Монтаж светодиодных сигнальных огней для причалов красных</t>
  </si>
  <si>
    <t>Разработка грунта из-под воды в баржи грейфером грузоподъемнотсью 5 т с транспортировкой грунта на расстояние до 5 км</t>
  </si>
  <si>
    <t xml:space="preserve">Планировка откосов земляного полотна </t>
  </si>
  <si>
    <t>Укрепление откоса насыпи монолитным бетоном</t>
  </si>
  <si>
    <t>Устройство новой дорожной одежды</t>
  </si>
  <si>
    <t>Устройство слоя покрытия из щебеночно-песчаной смеси С1, толщиной 30 см</t>
  </si>
  <si>
    <t>Земляные работы</t>
  </si>
  <si>
    <t>Планировка верха и откосов земляного полотна</t>
  </si>
  <si>
    <t>Планировка откосов выемки и кюветов механизированным способом</t>
  </si>
  <si>
    <t>Разработка грунта 1 группы экскаватором с емкостью ковша 1 м3 с погрузкой в автосамосвалы и транспортировкой на полигон ТБО на расстояние до 10 км (корыто под дорожную одежду, выемка под кюветы)</t>
  </si>
  <si>
    <t>Планировочные работы</t>
  </si>
  <si>
    <t xml:space="preserve">Планировка верха и откосов земляного полотна </t>
  </si>
  <si>
    <t>Устройстов новой дорожной одежды</t>
  </si>
  <si>
    <t>Устройство слоя покрытия из гравийно-песчаной смеси С1, толщиной 20 см</t>
  </si>
  <si>
    <t>Монтаж щитков (А-700). Знаки предупреждающие.</t>
  </si>
  <si>
    <t>Монтаж щитков (D-600). Запрещающие знаки.</t>
  </si>
  <si>
    <t>Монтаж щитка 600х900. Знаки особых предписаний.</t>
  </si>
  <si>
    <t>Монтаж щитка В700. Знаки особых предписаний.</t>
  </si>
  <si>
    <t>Монтаж щитка В600. Информационные знаки.</t>
  </si>
  <si>
    <t>ЛСР №04-01, п. 31, 42-43</t>
  </si>
  <si>
    <t>ЛСР №04-01, п. 37-38</t>
  </si>
  <si>
    <t>ЛСР №04-01, п. 35-36</t>
  </si>
  <si>
    <t>ЛСР №04-01, п. 39-40</t>
  </si>
  <si>
    <t>ЛСР №04-01, п. 41</t>
  </si>
  <si>
    <t>Развозка конструкций и материалов по трассе: опоры наружного освещения</t>
  </si>
  <si>
    <t>ЛСР №04-01, п. 47</t>
  </si>
  <si>
    <t>ЛСР №04-01, п. 48</t>
  </si>
  <si>
    <t>ЛСР №04-01, п. 49-64</t>
  </si>
  <si>
    <t>опор</t>
  </si>
  <si>
    <t xml:space="preserve">ЛСР №04-01, п.1-30 </t>
  </si>
  <si>
    <t>Прокладка СИП-2 3х25+1х54,6+2х16</t>
  </si>
  <si>
    <t>Транспортировка железнодорожным  транспортом на расстояние 7274 км бесшовных обсадных труб из стали наружным диаметром 219мм толщина стенки 8,9мм</t>
  </si>
  <si>
    <t>Транспортировка морским транспортом бесшовных обсадных труб из стали наружным диаметром 219мм толщина стенки 8,9мм</t>
  </si>
  <si>
    <t>О.А. Мельник</t>
  </si>
  <si>
    <t xml:space="preserve">Доставка материалов через протоку Озерная </t>
  </si>
  <si>
    <t>рейс</t>
  </si>
  <si>
    <t>Транспортировка автотранспортом  в п. Усть-Камчатск на расстояние 715 км  щебня из природного камня (левый берег)</t>
  </si>
  <si>
    <t>Транспортировка автотранспортом  в п. Усть-Камчатск на расстояние 715 км  бесшовных обсадных труб из стали наружным диаметром 219мм толщина стенки 8,9мм</t>
  </si>
  <si>
    <t>Транспортировка автотранспортом  в п. Усть-Камчатск на расстояние 754 км  камня булыжного (левый берег)</t>
  </si>
  <si>
    <t>Заполнение свай бетоном</t>
  </si>
  <si>
    <t>Арматурные каркасы</t>
  </si>
  <si>
    <t>Обваловка свай пирса камнем</t>
  </si>
  <si>
    <t>Устройство наголовника свай НС-1, НС-2, НС-3</t>
  </si>
  <si>
    <t>Устройство связи СВ-1, СВ-4, СВ-5 на пирсе (стальная конструкция)</t>
  </si>
  <si>
    <t>Монтаж связей СВ-1, СВ-4, СВ-5 на пирсе</t>
  </si>
  <si>
    <t>Монтаж связей СВ-1, СВ-2, СВ-3</t>
  </si>
  <si>
    <t>Пирс</t>
  </si>
  <si>
    <t xml:space="preserve">Расчет №1 </t>
  </si>
  <si>
    <t>Восстановление оси трассы  (правый берег)</t>
  </si>
  <si>
    <t>Восстановление оси трассы  (левый берег)</t>
  </si>
  <si>
    <t>км</t>
  </si>
  <si>
    <t xml:space="preserve">Расчет №2 </t>
  </si>
  <si>
    <t>Раздел 1.2. Демонтаж конструкций причального сооружения. Правый берег</t>
  </si>
  <si>
    <t>Раздел 1.1. Восстановление оси трассы</t>
  </si>
  <si>
    <t>Раздел 1.3. Демонтаж конструкций причала левого берега.</t>
  </si>
  <si>
    <t>Раздел 1.3.1 Временный пирс (судно-лихтер)</t>
  </si>
  <si>
    <t>Раздел 1.3.2 Временный причал (плашкоут)</t>
  </si>
  <si>
    <t>Раздел 1.4. Демонтаж существущего обустройства</t>
  </si>
  <si>
    <t>Разработка крупнообломочного грунта 4 группы y=2,26 т/м3 экскаватором емкостью ковша 1,0 м3 с погрузкой и транспортировкой на расстояние до 43 км в основание дорожной одежды из карьера (км 381 а/д Мильково-Ключи-Усть-Камчатск)</t>
  </si>
  <si>
    <t>Раздел 3.1 Конструктивные элементы</t>
  </si>
  <si>
    <t>Причал</t>
  </si>
  <si>
    <t>ЛСР №02-01-01, п. 6</t>
  </si>
  <si>
    <t>Установка арматурного каркаса</t>
  </si>
  <si>
    <t xml:space="preserve">Установка арматурных каркасов </t>
  </si>
  <si>
    <t>Заполнение свай  бетоном</t>
  </si>
  <si>
    <t xml:space="preserve">ЛСР 09-02-01 п. 5, 6; 
</t>
  </si>
  <si>
    <t xml:space="preserve">ЛСР 09-02-01 п. 9; 
</t>
  </si>
  <si>
    <t xml:space="preserve">ЛСР 09-02-01 п. 1, 3; 
</t>
  </si>
  <si>
    <t xml:space="preserve">
 ЛСР 09-03-01 п. 5, 6</t>
  </si>
  <si>
    <t xml:space="preserve"> 
 ЛСР 09-03-01 п. 9</t>
  </si>
  <si>
    <t xml:space="preserve">
 ЛСР 09-03-01 п. 1, 3</t>
  </si>
  <si>
    <t xml:space="preserve">
 ЛСР 09-03-01 п. 1,4</t>
  </si>
  <si>
    <t xml:space="preserve">
 ЛСР 09-03-01 п. 1, 2</t>
  </si>
  <si>
    <t xml:space="preserve">
 ЛСР 09-03-01 п. 10</t>
  </si>
  <si>
    <t>ЛСР №02-01-01, п. 3, ЛСР 09-02-01 п. 1</t>
  </si>
  <si>
    <t>ЛСР №02-01-01, п. 7, ЛСР 09-02-01 п. 1</t>
  </si>
  <si>
    <t>ЛСР №02-01-01, п. 8-10, ЛСР 09-02-01 п. 1</t>
  </si>
  <si>
    <t>ЛСР №02-01-01, п. 4-5, ЛСР 09-02-01 п. 1</t>
  </si>
  <si>
    <t>ЛСР №02-01-01, п. 11, ЛСР 09-02-01 п. 1</t>
  </si>
  <si>
    <t>ЛСР №02-01-01, п. 12-13, ЛСР 09-02-01 п. 1</t>
  </si>
  <si>
    <t>ЛСР №02-01-01, п. 52-53, ЛСР 09-02-01 п. 1</t>
  </si>
  <si>
    <t>ЛСР №02-01-01, п. 61-63, ЛСР 09-02-01 п. 1</t>
  </si>
  <si>
    <t>ЛСР №02-01-01, п. 64, ЛСР 09-02-01 п. 1</t>
  </si>
  <si>
    <t>ЛСР №02-01-01, п. 19-22, ЛСР 09-02-01 п. 1</t>
  </si>
  <si>
    <t>ЛСР №02-01-01, п. 16, ЛСР 09-02-01 п. 1</t>
  </si>
  <si>
    <t>ЛСР №02-01-01, п. 34-37, ЛСР 09-02-01 п. 1</t>
  </si>
  <si>
    <t>ЛСР №02-01-01, п. 27, 23-24, ЛСР 09-02-01 п. 1</t>
  </si>
  <si>
    <t>ЛСР №02-01-01, п. 25, ЛСР 09-02-01 п. 1</t>
  </si>
  <si>
    <t>ЛСР №02-01-07, п. 27-29, ЛСР 09-02-01 п. 1</t>
  </si>
  <si>
    <t>ЛСР №02-01-07, п. 30-32, ЛСР 09-02-01 п. 1</t>
  </si>
  <si>
    <t xml:space="preserve">ЛСР №02-01-07, п. 55, ЛСР 09-02-01 п. 1 </t>
  </si>
  <si>
    <t>ЛСР №02-01-07, п. 56, ЛСР 09-02-01 п. 1</t>
  </si>
  <si>
    <t>ЛСР №02-01-07, п. 57, ЛСР 09-02-01 п. 1</t>
  </si>
  <si>
    <t>ЛСР №02-01-07, п. 58, ЛСР 09-02-01 п. 1</t>
  </si>
  <si>
    <t>ЛСР №02-01-07, п. 59, ЛСР 09-02-01 п. 1</t>
  </si>
  <si>
    <t>ЛСР №02-01-07, п. 60, ЛСР 09-02-01 п. 1</t>
  </si>
  <si>
    <t>ЛСР №02-01-07, п. 61, ЛСР 09-02-01 п. 1</t>
  </si>
  <si>
    <t>ЛСР №02-01-02  п. 8, 9, 10, ЛСР 09-03-01 п. 1</t>
  </si>
  <si>
    <t>ЛСР №02-01-02  п. 65-68, ЛСР 09-03-01 п. 1</t>
  </si>
  <si>
    <t>ЛСР №02-02-03, п. 1-31, ЛСР 09-03-01 п. 1</t>
  </si>
  <si>
    <t>ЛСР №04-01, п. 32-34, ЛСР 09-03-01 п. 1</t>
  </si>
  <si>
    <t>ЛСР №04-01, п. 49-53, 56, ЛСР 09-03-01 п. 1</t>
  </si>
  <si>
    <t>ЛСР №04-01, п. 49-54, ЛСР 09-03-01 п. 1</t>
  </si>
  <si>
    <t>ЛСР №04-01, п. 49-53, 55, ЛСР 09-03-01 п. 1</t>
  </si>
  <si>
    <t xml:space="preserve">Установка сигнальных огней на причале и на пирсе  </t>
  </si>
  <si>
    <t xml:space="preserve">Раздел 3.2. Дноуглубительные работы </t>
  </si>
  <si>
    <t>Раздел 3.3. Монтаж ж/б  павильона для пассажиров</t>
  </si>
  <si>
    <t>Раздел 3.4.2. Подъездная дорога к площадке</t>
  </si>
  <si>
    <t>Раздел 3.4.3. Съезд с площадки</t>
  </si>
  <si>
    <t>Раздел 3.4.4. Устройство остановочной площадки</t>
  </si>
  <si>
    <t>Раздел 3.4.5. Устройство бетонных лотков</t>
  </si>
  <si>
    <t>Раздел 3.5. Обустройство</t>
  </si>
  <si>
    <t xml:space="preserve">Раздел 2.2. Дноуглубительные работы </t>
  </si>
  <si>
    <t>Глава 2. Причальное сооружение  (правый берег)</t>
  </si>
  <si>
    <t>Раздел 2.1. Конструктивные элементы (правый берег)</t>
  </si>
  <si>
    <t>Раздел 2.5 Обустройство</t>
  </si>
  <si>
    <t>Глава 4. Наружное освещение (правый берег)</t>
  </si>
  <si>
    <t>Глава 5. Наружное освещение (левый берег)</t>
  </si>
  <si>
    <t>Глава 6. Доставка материалов (правый берег)</t>
  </si>
  <si>
    <t>Глава 7. Доставка материалов (левый берег)</t>
  </si>
  <si>
    <t>ЛСР №02-01-01, п. 14, 15 17-18, ЛСР 09-02-01 п. 1</t>
  </si>
  <si>
    <t>Омоноличивание верхнего строения пирса  (В25)</t>
  </si>
  <si>
    <t>ЛСР №02-01-01, п. 54, 55, 57,58, 59, 60, ЛСР 09-02-01 п. 1</t>
  </si>
  <si>
    <t>01.01.1</t>
  </si>
  <si>
    <t>01.01.2</t>
  </si>
  <si>
    <t>01.02.1</t>
  </si>
  <si>
    <t>01.02.2</t>
  </si>
  <si>
    <t>01.03.1</t>
  </si>
  <si>
    <t>01.03.2</t>
  </si>
  <si>
    <t>01.03.3</t>
  </si>
  <si>
    <t>01.03.4</t>
  </si>
  <si>
    <t>01.03.5</t>
  </si>
  <si>
    <t>01.03.6</t>
  </si>
  <si>
    <t>01.03.7</t>
  </si>
  <si>
    <t>01.03.8</t>
  </si>
  <si>
    <t>01.03.10</t>
  </si>
  <si>
    <t>01.03.11</t>
  </si>
  <si>
    <t>01.03.12</t>
  </si>
  <si>
    <t>01.03.13</t>
  </si>
  <si>
    <t>01.03.14</t>
  </si>
  <si>
    <t>01.03.15</t>
  </si>
  <si>
    <t>01.04.1</t>
  </si>
  <si>
    <t>02.01.1</t>
  </si>
  <si>
    <t>02.01.2</t>
  </si>
  <si>
    <t>02.01.3</t>
  </si>
  <si>
    <t>02.01.4</t>
  </si>
  <si>
    <t>02.01.5</t>
  </si>
  <si>
    <t>02.01.6</t>
  </si>
  <si>
    <t>02.01.7</t>
  </si>
  <si>
    <t>02.01.8</t>
  </si>
  <si>
    <t>02.01.9</t>
  </si>
  <si>
    <t>02.01.11</t>
  </si>
  <si>
    <t>02.01.13</t>
  </si>
  <si>
    <t>02.01.15</t>
  </si>
  <si>
    <t>02.01.17</t>
  </si>
  <si>
    <t>02.01.18</t>
  </si>
  <si>
    <t>02.01.19</t>
  </si>
  <si>
    <t>02.01.20</t>
  </si>
  <si>
    <t>02.01.21</t>
  </si>
  <si>
    <t>02.01.22</t>
  </si>
  <si>
    <t>02.01.23</t>
  </si>
  <si>
    <t>02.01.24</t>
  </si>
  <si>
    <t>02.01.25</t>
  </si>
  <si>
    <t>02.01.29</t>
  </si>
  <si>
    <t>02.01.30</t>
  </si>
  <si>
    <t>02.01.31</t>
  </si>
  <si>
    <t>02.01.32</t>
  </si>
  <si>
    <t>02.01.33</t>
  </si>
  <si>
    <t>02.01.34</t>
  </si>
  <si>
    <t>02.01.35</t>
  </si>
  <si>
    <t>02.01.36</t>
  </si>
  <si>
    <t>02.01.37</t>
  </si>
  <si>
    <t>02.01.38</t>
  </si>
  <si>
    <t>02.01.39</t>
  </si>
  <si>
    <t>02.02.1</t>
  </si>
  <si>
    <t>02.03.1</t>
  </si>
  <si>
    <t>02.03.2</t>
  </si>
  <si>
    <t>02.03.3</t>
  </si>
  <si>
    <t>02.04.1</t>
  </si>
  <si>
    <t>02.04.2</t>
  </si>
  <si>
    <t>02.04.3</t>
  </si>
  <si>
    <t>02.04.4</t>
  </si>
  <si>
    <t>02.04.5</t>
  </si>
  <si>
    <t>02.04.6</t>
  </si>
  <si>
    <t>02.04.7</t>
  </si>
  <si>
    <t>02.04.8</t>
  </si>
  <si>
    <t>02.04.9</t>
  </si>
  <si>
    <t>02.04.10</t>
  </si>
  <si>
    <t>02.04.11</t>
  </si>
  <si>
    <t>02.04.12</t>
  </si>
  <si>
    <t>02.04.13</t>
  </si>
  <si>
    <t>02.04.14</t>
  </si>
  <si>
    <t>02.04.15</t>
  </si>
  <si>
    <t>02.04.16</t>
  </si>
  <si>
    <t>02.04.17</t>
  </si>
  <si>
    <t>02.04.18</t>
  </si>
  <si>
    <t>02.04.19</t>
  </si>
  <si>
    <t>02.04.20</t>
  </si>
  <si>
    <t>02.04.21</t>
  </si>
  <si>
    <t>02.04.22</t>
  </si>
  <si>
    <t>02.04.23</t>
  </si>
  <si>
    <t>02.04.24</t>
  </si>
  <si>
    <t>02.04.25</t>
  </si>
  <si>
    <t>02.04.26</t>
  </si>
  <si>
    <t>02.04.27</t>
  </si>
  <si>
    <t>02.04.28</t>
  </si>
  <si>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</si>
  <si>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</si>
  <si>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</si>
  <si>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</si>
  <si>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</si>
  <si>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</si>
  <si>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</si>
  <si>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</si>
  <si>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</si>
  <si>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03.01.10</t>
  </si>
  <si>
    <t>03.01.11</t>
  </si>
  <si>
    <t>03.01.12</t>
  </si>
  <si>
    <t>03.01.13</t>
  </si>
  <si>
    <t>03.01.14</t>
  </si>
  <si>
    <t>03.01.15</t>
  </si>
  <si>
    <t>03.01.16</t>
  </si>
  <si>
    <t>03.01.17</t>
  </si>
  <si>
    <t>03.01.18</t>
  </si>
  <si>
    <t>03.01.19</t>
  </si>
  <si>
    <t>03.01.20</t>
  </si>
  <si>
    <t>03.01.21</t>
  </si>
  <si>
    <t>03.01.22</t>
  </si>
  <si>
    <t>03.01.23</t>
  </si>
  <si>
    <t>03.01.24</t>
  </si>
  <si>
    <t>03.01.25</t>
  </si>
  <si>
    <t>03.01.26</t>
  </si>
  <si>
    <t>03.01.27</t>
  </si>
  <si>
    <t>03.01.28</t>
  </si>
  <si>
    <t>03.01.29</t>
  </si>
  <si>
    <t>03.01.30</t>
  </si>
  <si>
    <t>03.01.31</t>
  </si>
  <si>
    <t>03.01.32</t>
  </si>
  <si>
    <t>03.01.33</t>
  </si>
  <si>
    <t>03.01.34</t>
  </si>
  <si>
    <t>03.01.35</t>
  </si>
  <si>
    <t>03.01.36</t>
  </si>
  <si>
    <t>03.02.1</t>
  </si>
  <si>
    <t>03.03.1</t>
  </si>
  <si>
    <t>03.04.1</t>
  </si>
  <si>
    <t>03.04.2</t>
  </si>
  <si>
    <t>03.04.3</t>
  </si>
  <si>
    <t>03.04.4</t>
  </si>
  <si>
    <t>03.04.5</t>
  </si>
  <si>
    <t>03.04.6</t>
  </si>
  <si>
    <t>03.04.7</t>
  </si>
  <si>
    <t>03.04.8</t>
  </si>
  <si>
    <t>03.04.9</t>
  </si>
  <si>
    <t>03.04.10</t>
  </si>
  <si>
    <t>03.04.11</t>
  </si>
  <si>
    <t>03.04.12</t>
  </si>
  <si>
    <t>03.04.13</t>
  </si>
  <si>
    <t>03.04.14</t>
  </si>
  <si>
    <t>03.04.15</t>
  </si>
  <si>
    <t>03.04.16</t>
  </si>
  <si>
    <t>03.04.17</t>
  </si>
  <si>
    <t>03.04.18</t>
  </si>
  <si>
    <t>03.04.19</t>
  </si>
  <si>
    <t>03.04.20</t>
  </si>
  <si>
    <t>03.04.21</t>
  </si>
  <si>
    <t>03.04.22</t>
  </si>
  <si>
    <t>03.04.23</t>
  </si>
  <si>
    <t>03.04.24</t>
  </si>
  <si>
    <t>03.04.25</t>
  </si>
  <si>
    <t>03.05.1</t>
  </si>
  <si>
    <t>03.05.2</t>
  </si>
  <si>
    <t>03.05.3</t>
  </si>
  <si>
    <t>03.05.4</t>
  </si>
  <si>
    <t>03.05.5</t>
  </si>
  <si>
    <t>03.05.6</t>
  </si>
  <si>
    <t>03.05.7</t>
  </si>
  <si>
    <t>04.01.1</t>
  </si>
  <si>
    <t>04.01.2</t>
  </si>
  <si>
    <t>04.01.3</t>
  </si>
  <si>
    <t>04.01.4</t>
  </si>
  <si>
    <t>04.01.5</t>
  </si>
  <si>
    <t>04.01.6</t>
  </si>
  <si>
    <t>04.01.7</t>
  </si>
  <si>
    <t>04.01.8</t>
  </si>
  <si>
    <t>04.01.9</t>
  </si>
  <si>
    <t>04.01.10</t>
  </si>
  <si>
    <t>04.01.11</t>
  </si>
  <si>
    <t>04.01.12</t>
  </si>
  <si>
    <t>04.01.13</t>
  </si>
  <si>
    <t>05.01.1</t>
  </si>
  <si>
    <t>05.01.2</t>
  </si>
  <si>
    <t>05.01.3</t>
  </si>
  <si>
    <t>05.01.4</t>
  </si>
  <si>
    <t>05.01.5</t>
  </si>
  <si>
    <t>05.01.6</t>
  </si>
  <si>
    <t>05.01.7</t>
  </si>
  <si>
    <t>05.01.8</t>
  </si>
  <si>
    <t>05.01.10</t>
  </si>
  <si>
    <t>05.01.11</t>
  </si>
  <si>
    <t>05.01.12</t>
  </si>
  <si>
    <t>05.01.13</t>
  </si>
  <si>
    <t>05.01.14</t>
  </si>
  <si>
    <t>06.01.1</t>
  </si>
  <si>
    <t>06.01.2</t>
  </si>
  <si>
    <t>06.01.3</t>
  </si>
  <si>
    <t>07.01.1</t>
  </si>
  <si>
    <t>07.01.2</t>
  </si>
  <si>
    <t>07.01.3</t>
  </si>
  <si>
    <t>07.01.4</t>
  </si>
  <si>
    <t>07.01.5</t>
  </si>
  <si>
    <t>07.01.6</t>
  </si>
  <si>
    <t xml:space="preserve">ЛСР №02-02-01  п. 1 </t>
  </si>
  <si>
    <t xml:space="preserve">ЛСР №02-02-01  п. 2 </t>
  </si>
  <si>
    <t>ЛСР №02-02-01  п. 3, ЛСР 09-03-01 п. 1</t>
  </si>
  <si>
    <t>ЛСР №02-02-01  п. 6</t>
  </si>
  <si>
    <t>ЛСР №02-02-01  п. 4, 5, ЛСР 09-03-01 п. 1</t>
  </si>
  <si>
    <t>ЛСР №02-02-01  п. 7, ЛСР 09-03-01 п. 1</t>
  </si>
  <si>
    <t>ЛСР №02-02-01  п. 11, ЛСР 09-03-01 п. 1</t>
  </si>
  <si>
    <t>ЛСР №02-02-01  п. 12, ЛСР 09-03-01 п. 1</t>
  </si>
  <si>
    <t>ЛСР №02-02-01  п. 14-18, ЛСР 09-03-01 п. 1</t>
  </si>
  <si>
    <t>ЛСР №02-02-01  п. 19-20</t>
  </si>
  <si>
    <t>ЛСР №02-02-01   п.22</t>
  </si>
  <si>
    <t>ЛСР №02-02-01 п. 21, 23-24, ЛСР 09-03-01 п. 1</t>
  </si>
  <si>
    <t>ЛСР №02-02-01  п. 25, ЛСР 09-03-01 п. 1</t>
  </si>
  <si>
    <t>ЛСР №02-02-01  п. 26</t>
  </si>
  <si>
    <t>ЛСР №02-02-01  п. 27, ЛСР 09-03-01 п. 1</t>
  </si>
  <si>
    <t>ЛСР №02-02-01  п. 28-30</t>
  </si>
  <si>
    <t>ЛСР №02-02-01  п. 41-42</t>
  </si>
  <si>
    <t>ЛСР №02-02-01  п. 31, 32</t>
  </si>
  <si>
    <t>ЛСР №02-02-01  п. 33-36, ЛСР 09-03-01 п. 1</t>
  </si>
  <si>
    <t>ЛСР №02-02-01  п.37-39</t>
  </si>
  <si>
    <t>ЛСР №02-02-01  п. 40</t>
  </si>
  <si>
    <t>ЛСР №02-02-01  п. 43-46</t>
  </si>
  <si>
    <t>ЛСР №02-02-01  п. 47-48</t>
  </si>
  <si>
    <t>ЛСР №02-02-01  п. 49-50</t>
  </si>
  <si>
    <t xml:space="preserve">ЛСР №02-02-01  п. 51 </t>
  </si>
  <si>
    <t>ЛСР №02-02-01  п. 52-53, ЛСР 09-03-01 п. 1</t>
  </si>
  <si>
    <t>ЛСР №02-02-01  п. 53-58, ЛСР 09-03-01 п. 1</t>
  </si>
  <si>
    <t>ЛСР №02-02-01  п. 59-60, ЛСР 09-03-01 п. 1</t>
  </si>
  <si>
    <t>ЛСР №02-02-01  п. 61-64, ЛСР 09-03-01 п. 1</t>
  </si>
  <si>
    <t>ЛСР №02-02-01  п. 69-71</t>
  </si>
  <si>
    <t>ЛСР №02-02-01  п. 72</t>
  </si>
  <si>
    <t>ЛСР №02-02-01  п. 73-74</t>
  </si>
  <si>
    <t>ЛСР №02-02-01  п. 75-76</t>
  </si>
  <si>
    <t>ЛСР №02-02-04  п. 1</t>
  </si>
  <si>
    <t xml:space="preserve">Срезка надстроек, возвышающихся над уровнем воды </t>
  </si>
  <si>
    <t>Очистка трюма судна-лихтера от грунта</t>
  </si>
  <si>
    <t>Выравнивание берега до пляжного откоса</t>
  </si>
  <si>
    <t>Забивка свай фундамента анкерной опоры</t>
  </si>
  <si>
    <t>Откачка воды из корпуса судна-лихтера передвижным насосом</t>
  </si>
  <si>
    <t>Вытаскивание корпуса судна-лихтера на берег</t>
  </si>
  <si>
    <t>Демонтаж анкерных опор в виде ростверка</t>
  </si>
  <si>
    <t>Демонтаж  свай</t>
  </si>
  <si>
    <t>Откачка воды из корпуса плашкоута насосами</t>
  </si>
  <si>
    <t xml:space="preserve">Вытаскивание корпуса плашкоута на берег </t>
  </si>
  <si>
    <t xml:space="preserve">Погружение вертикальных свай С-1 </t>
  </si>
  <si>
    <t xml:space="preserve">Погружение вертикальных свай С-2 </t>
  </si>
  <si>
    <t xml:space="preserve">Погружение наклонных свай С-3 </t>
  </si>
  <si>
    <t xml:space="preserve">Погружение шпунтов </t>
  </si>
  <si>
    <t>Нанесение вручную праймера на стальную надвобную поверхность сваи (шпунта)</t>
  </si>
  <si>
    <t>Нанесение обматыванием по спирали ленты на надводную поверхность стальной сваи</t>
  </si>
  <si>
    <t xml:space="preserve">Монтаж кожуха на надводную поверхность стальной сваи </t>
  </si>
  <si>
    <t xml:space="preserve">Нанесение мастики на подготовленную стальную поверхность над водой </t>
  </si>
  <si>
    <t>Устройство связи СВ-1, СВ-2, СВ-3 на причале (стальная конструкция)</t>
  </si>
  <si>
    <t>Омоноличивание верхнего строения пирса</t>
  </si>
  <si>
    <t>Укрепление подпричального откоса камнем</t>
  </si>
  <si>
    <t>Монтаж шлагбаума</t>
  </si>
  <si>
    <t xml:space="preserve">Дноуглубительные работы </t>
  </si>
  <si>
    <t>Демонтаж существующего автопавильона с погрузкой  и транспортировкой на временную площадку складирования</t>
  </si>
  <si>
    <t>Погрузка и доставка элементов существующего автопавильона от временной площадки складирования до места работ</t>
  </si>
  <si>
    <t xml:space="preserve">Уплотнение грунта </t>
  </si>
  <si>
    <t xml:space="preserve">Устройство покрытия цементобетонного толщиной 10 см </t>
  </si>
  <si>
    <t>Устройство покрытия цементобетонного толщиной 10 см</t>
  </si>
  <si>
    <t xml:space="preserve">Устройство бордюра </t>
  </si>
  <si>
    <t>Устройство покрытия из цементобетона, толщиной 5 см</t>
  </si>
  <si>
    <t xml:space="preserve">Установка габионов </t>
  </si>
  <si>
    <t xml:space="preserve">Разработка котлован для установки габионов </t>
  </si>
  <si>
    <t>Укрепление откоса матрацами Рено</t>
  </si>
  <si>
    <t xml:space="preserve">Установка барьерного ограждения  </t>
  </si>
  <si>
    <t>Устройство присыпных берм</t>
  </si>
  <si>
    <t xml:space="preserve">Установка металлических стоек с омоноличиванием стоек </t>
  </si>
  <si>
    <t xml:space="preserve">Погружение вертикальных свай  С-2 </t>
  </si>
  <si>
    <t>Выемка под дорожную одежду, выемка под лотки</t>
  </si>
  <si>
    <t xml:space="preserve">Разработка грунта с перемещением в насыпь до 10 м </t>
  </si>
  <si>
    <t>Уплотнение грунта</t>
  </si>
  <si>
    <t>Выемка под дорожную одежду, выемку под лотки</t>
  </si>
  <si>
    <t>Перемещение грунта  до 30 м из отвала в насыпь подъездной дороги</t>
  </si>
  <si>
    <t xml:space="preserve">Разработка грунта 1 группы экскаватором с погрузкой в автосамосвалы и транспортировкой на полигон ТБО на расстояние до 10 км </t>
  </si>
  <si>
    <t xml:space="preserve">Перемещение грунта 2 группы  до 30 м из отвала в насыпь </t>
  </si>
  <si>
    <t xml:space="preserve">Установка бетонных лотков </t>
  </si>
  <si>
    <t xml:space="preserve">Установка бортового камня </t>
  </si>
  <si>
    <t xml:space="preserve">Установка плит </t>
  </si>
  <si>
    <t>Установка металлических стоек</t>
  </si>
  <si>
    <t>Установка фундаментного блока</t>
  </si>
  <si>
    <t>Заполнение бетоном</t>
  </si>
  <si>
    <t>ЛСР №04-01, п. 32-34, 41 ЛСР 09-03-01 п. 1</t>
  </si>
  <si>
    <t>Установка металлических опор наружного освещения</t>
  </si>
  <si>
    <t>ЛСР №04-01, п. 44-46, 57-58 ЛСР 09-03-01 п. 1</t>
  </si>
  <si>
    <t xml:space="preserve">Устройство основания под фундаменты </t>
  </si>
  <si>
    <t xml:space="preserve">Бурение ям </t>
  </si>
  <si>
    <t>ЛСР №04-01, п. 44-46, п. 57-58 ЛСР 09-03-01 п. 1</t>
  </si>
  <si>
    <t>ЛСР №01-02 п.5, п.6</t>
  </si>
  <si>
    <t>ЛСР №01-02 п.7-9</t>
  </si>
  <si>
    <t>ЛСР №01-02  п.10</t>
  </si>
  <si>
    <t>ЛСР №01-02  п.11-12</t>
  </si>
  <si>
    <t xml:space="preserve">ЛСР №01-02  п.20 </t>
  </si>
  <si>
    <t>ЛСР №01-02  п.18-19</t>
  </si>
  <si>
    <t>ЛСР №02-01-01, п. 1</t>
  </si>
  <si>
    <t>ЛСР №02-01-01, п. 2</t>
  </si>
  <si>
    <t>ЛСР №02-01-01, п. 75-76</t>
  </si>
  <si>
    <t>ЛСР №02-01-02, п. 1</t>
  </si>
  <si>
    <t>ЛСР №02-01-03, п. 1-6</t>
  </si>
  <si>
    <t>ЛСР №02-01-03, п. 7-8</t>
  </si>
  <si>
    <t>ЛСР №02-01-03, п. 9-29, ЛСР 09-02-01 п. 1</t>
  </si>
  <si>
    <t>ЛСР №02-01-04, п. 1</t>
  </si>
  <si>
    <t xml:space="preserve">Фрезеровка существующего асфальтобетона с погрузкой в автосамосвалы и транспортировкой до 9 км </t>
  </si>
  <si>
    <t>ЛСР №02-01-04, п. 2, 4</t>
  </si>
  <si>
    <t>ЛСР №02-01-04, п. 3</t>
  </si>
  <si>
    <t>ЛСР №02-01-04, п. 5-6</t>
  </si>
  <si>
    <t>ЛСР №02-01-04, п. 11-17, ЛСР 09-02-01 п. 1</t>
  </si>
  <si>
    <t>ЛСР №02-01-04, п. 9-10, ЛСР 09-02-01 п. 1</t>
  </si>
  <si>
    <t>ЛСР №02-01-04, п. 7-8</t>
  </si>
  <si>
    <t>ЛСР №02-01-04, п. 22-24, ЛСР 09-02-01 п. 1</t>
  </si>
  <si>
    <t>ЛСР №02-01-04, п. 20-21, ЛСР 09-02-01 п. 1</t>
  </si>
  <si>
    <t>ЛСР №02-01-04, п. 18-19</t>
  </si>
  <si>
    <t>ЛСР №02-01-04, п. 33-36, ЛСР 09-02-01 п. 1</t>
  </si>
  <si>
    <t>ЛСР №02-01-04, п. 37-38, ЛСР 09-02-01 п. 1</t>
  </si>
  <si>
    <t>ЛСР №02-01-04, п. 39-42</t>
  </si>
  <si>
    <t>ЛСР №02-01-04, п. 43-44, ЛСР 09-02-01 п. 1</t>
  </si>
  <si>
    <t>ЛСР №02-01-04, п. 45-49</t>
  </si>
  <si>
    <t>ЛСР №02-01-04, п. 50-54, ЛСР 09-02-01 п. 1</t>
  </si>
  <si>
    <t xml:space="preserve">Окраска свай и анкерных плит </t>
  </si>
  <si>
    <t>ЛСР №02-02-02  п. 1</t>
  </si>
  <si>
    <t>ЛСР №02-02-04  п. 2, 3</t>
  </si>
  <si>
    <t>ЛСР №02-02-04 п. 4, 5</t>
  </si>
  <si>
    <t>ЛСР №02-02-04  п. 6</t>
  </si>
  <si>
    <t>ЛСР №02-02-04 п. 7, 8, 9, 10, 11, 12, 13, ЛСР 09-03-01 п. 1</t>
  </si>
  <si>
    <t>ЛСР №02-02-04  п. 14, 15, 16</t>
  </si>
  <si>
    <t>Раздел 3.4.1. Площадка к причальному сооружению</t>
  </si>
  <si>
    <t>Раздел 3.4. Подъездная дорога (левый берег)</t>
  </si>
  <si>
    <t>Устройство подготовки под бетонные лотки я h=0,1 м</t>
  </si>
  <si>
    <t>ЛСР №02-02-04  п. 17</t>
  </si>
  <si>
    <t>ЛСР №02-02-04  п. 18, 19</t>
  </si>
  <si>
    <t>ЛСР №002-02-04  п. 20, 21</t>
  </si>
  <si>
    <t>ЛСР №02-02-04  п. 22, 23</t>
  </si>
  <si>
    <t>ЛСР №02-02-04  п. 24</t>
  </si>
  <si>
    <t>ЛСР №02-02-04  п. 25</t>
  </si>
  <si>
    <t>ЛСР №02-02-04  п. 26, 27, 28</t>
  </si>
  <si>
    <t>ЛСР №02-02-04  п. 29</t>
  </si>
  <si>
    <t>ЛСР №02-02-04 п. 30, 31</t>
  </si>
  <si>
    <t>ЛСР №02-02-04 п. 32, 33</t>
  </si>
  <si>
    <t>ЛСР №02-02-04  п. 34, 35</t>
  </si>
  <si>
    <t>ЛСР №02-02-04 п.  36</t>
  </si>
  <si>
    <t>ЛСР №02-02-04  п.  38</t>
  </si>
  <si>
    <t>ЛСР №02-02-04  п.  39, 40, 41</t>
  </si>
  <si>
    <t>ЛСР №02-02-04  п.  42, 43, 44</t>
  </si>
  <si>
    <t>ЛСР №02-02-04  п.  45, 46, ЛСР 09-03-01 п. 1</t>
  </si>
  <si>
    <t>ЛСР №02-02-04  п.  47, 48, ЛСР 09-03-01 п. 1</t>
  </si>
  <si>
    <t>ЛСР №02-02-04  п.  49, п. 50</t>
  </si>
  <si>
    <t>ЛСР №02-02-04  п. 51, 52, ЛСР 09-03-01 п. 1</t>
  </si>
  <si>
    <t>ЛСР №02-02-04  п. 53-56</t>
  </si>
  <si>
    <t>ЛСР №02-02-04  п. 57,58, 59, 60, 61, 62, ЛСР 09-03-01 п. 1</t>
  </si>
  <si>
    <t>ЛСР №02-02-04  п. 63, ЛСР 09-03-01 п. 1</t>
  </si>
  <si>
    <t>ЛСР №02-02-04  п. 64, ЛСР 09-03-01 п. 1</t>
  </si>
  <si>
    <t>ЛСР №02-02-04  п. 65, ЛСР 09-03-01 п. 1</t>
  </si>
  <si>
    <t>ЛСР №02-02-04  п. 66, ЛСР 09-03-01 п. 1</t>
  </si>
  <si>
    <t>ЛСР №02-02-04  п. 67, ЛСР 09-03-01 п. 1</t>
  </si>
  <si>
    <t>______________В.С. Щегловский</t>
  </si>
  <si>
    <t>Ведомость объемов конструктивных решений (элементов) и комплексов (видов) работ, оборудования</t>
  </si>
  <si>
    <t>(наименование объекта)</t>
  </si>
  <si>
    <t>«___»______________2026 г.</t>
  </si>
  <si>
    <t xml:space="preserve">Заместитель начальника КГКУ "Камчатуправтодор"                                                              </t>
  </si>
  <si>
    <t>01.03.9</t>
  </si>
  <si>
    <t>02.01.12</t>
  </si>
  <si>
    <t>02.01.14</t>
  </si>
  <si>
    <t>02.01.16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</si>
</sst>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2"/>
      <name val="Times New Roman Cyr"/>
      <charset val="204"/>
    </font>
    <font>
      <sz val="11"/>
      <color theme="1"/>
      <name val="Calibri"/>
      <family val="2"/>
      <scheme val="minor"/>
    </font>
    <font>
      <sz val="12"/>
      <name val="Times New Roman Cyr"/>
      <family val="1"/>
      <charset val="204"/>
    </font>
    <font>
      <sz val="12"/>
      <name val="Arial"/>
      <family val="2"/>
      <charset val="204"/>
    </font>
    <font>
      <sz val="12"/>
      <color theme="0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1"/>
    <xf numFmtId="0" fontId="11" fillId="0" borderId="1"/>
    <xf numFmtId="0" fontId="3" fillId="0" borderId="1"/>
    <xf numFmtId="0" fontId="9" fillId="0" borderId="1"/>
    <xf numFmtId="0" fontId="13" fillId="0" borderId="1"/>
  </cellStyleXfs>
  <cellXfs count="72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5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 wrapText="1"/>
    </xf>
    <xf numFmtId="2" fontId="2" fillId="2" borderId="2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2" fontId="6" fillId="2" borderId="2" xfId="0" applyNumberFormat="1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2" fontId="7" fillId="0" borderId="2" xfId="0" applyNumberFormat="1" applyFont="1" applyFill="1" applyBorder="1" applyAlignment="1">
      <alignment vertical="center" wrapText="1"/>
    </xf>
    <xf numFmtId="2" fontId="7" fillId="2" borderId="2" xfId="0" applyNumberFormat="1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2" fontId="7" fillId="2" borderId="2" xfId="0" applyNumberFormat="1" applyFont="1" applyFill="1" applyBorder="1" applyAlignment="1">
      <alignment horizontal="left" vertical="center" wrapText="1"/>
    </xf>
    <xf numFmtId="0" fontId="15" fillId="0" borderId="0" xfId="0" applyFont="1" applyFill="1"/>
    <xf numFmtId="0" fontId="15" fillId="0" borderId="2" xfId="0" applyFont="1" applyBorder="1"/>
    <xf numFmtId="49" fontId="2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/>
    <xf numFmtId="49" fontId="2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2" fontId="10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vertical="center" wrapText="1"/>
    </xf>
    <xf numFmtId="2" fontId="4" fillId="0" borderId="2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top"/>
    </xf>
    <xf numFmtId="2" fontId="4" fillId="2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right" vertical="center" wrapText="1"/>
    </xf>
    <xf numFmtId="0" fontId="12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right" vertical="center"/>
    </xf>
    <xf numFmtId="2" fontId="4" fillId="0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6">
    <cellStyle name="Обычный" xfId="0" builtinId="0"/>
    <cellStyle name="Обычный 2" xfId="4" xr:uid="{00000000-0005-0000-0000-000001000000}"/>
    <cellStyle name="Обычный 2 3" xfId="5" xr:uid="{00000000-0005-0000-0000-000002000000}"/>
    <cellStyle name="Обычный 39" xfId="2" xr:uid="{00000000-0005-0000-0000-000003000000}"/>
    <cellStyle name="Обычный 5" xfId="3" xr:uid="{00000000-0005-0000-0000-000004000000}"/>
    <cellStyle name="Обычный 6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view="pageBreakPreview" topLeftCell="A262" zoomScale="90" zoomScaleNormal="70" zoomScaleSheetLayoutView="90" workbookViewId="0">
      <selection activeCell="D279" sqref="D279"/>
    </sheetView>
  </sheetViews>
  <sheetFormatPr defaultRowHeight="15.75" x14ac:dyDescent="0.2"/>
  <cols>
    <col min="1" max="1" width="11.7109375" style="10" customWidth="1"/>
    <col min="2" max="2" width="27.28515625" style="10" customWidth="1"/>
    <col min="3" max="3" width="64.28515625" style="10" customWidth="1"/>
    <col min="4" max="4" width="12.85546875" style="11" customWidth="1"/>
    <col min="5" max="5" width="11.42578125" style="11" customWidth="1"/>
    <col min="6" max="6" width="9.140625" style="12"/>
    <col min="7" max="7" width="9" style="12" customWidth="1"/>
    <col min="8" max="16384" width="9.140625" style="12"/>
  </cols>
  <sheetData>
    <row r="1" spans="1:5" ht="28.5" customHeight="1" x14ac:dyDescent="0.2">
      <c r="A1" s="42"/>
      <c r="B1" s="42"/>
      <c r="C1" s="43"/>
      <c r="D1" s="60" t="s">
        <v>59</v>
      </c>
      <c r="E1" s="60"/>
    </row>
    <row r="2" spans="1:5" ht="23.25" customHeight="1" x14ac:dyDescent="0.2">
      <c r="A2" s="44"/>
      <c r="B2" s="44"/>
      <c r="C2" s="61" t="s">
        <v>60</v>
      </c>
      <c r="D2" s="61"/>
      <c r="E2" s="61"/>
    </row>
    <row r="3" spans="1:5" ht="30.75" customHeight="1" x14ac:dyDescent="0.25">
      <c r="A3" s="45"/>
      <c r="B3" s="45"/>
      <c r="C3" s="62" t="s">
        <v>636</v>
      </c>
      <c r="D3" s="62"/>
      <c r="E3" s="62"/>
    </row>
    <row r="4" spans="1:5" ht="48" customHeight="1" x14ac:dyDescent="0.2">
      <c r="A4" s="46"/>
      <c r="B4" s="46"/>
      <c r="C4" s="60" t="s">
        <v>639</v>
      </c>
      <c r="D4" s="60"/>
      <c r="E4" s="60"/>
    </row>
    <row r="5" spans="1:5" x14ac:dyDescent="0.2">
      <c r="A5" s="47"/>
      <c r="B5" s="48"/>
      <c r="C5" s="48"/>
      <c r="D5" s="48"/>
      <c r="E5" s="48"/>
    </row>
    <row r="6" spans="1:5" x14ac:dyDescent="0.2">
      <c r="A6" s="63" t="s">
        <v>637</v>
      </c>
      <c r="B6" s="63"/>
      <c r="C6" s="63"/>
      <c r="D6" s="63"/>
      <c r="E6" s="63"/>
    </row>
    <row r="7" spans="1:5" ht="25.5" customHeight="1" x14ac:dyDescent="0.2">
      <c r="A7" s="54" t="s">
        <v>58</v>
      </c>
      <c r="B7" s="54"/>
      <c r="C7" s="54"/>
      <c r="D7" s="54"/>
      <c r="E7" s="54"/>
    </row>
    <row r="8" spans="1:5" ht="25.5" customHeight="1" x14ac:dyDescent="0.2">
      <c r="A8" s="55" t="s">
        <v>638</v>
      </c>
      <c r="B8" s="55"/>
      <c r="C8" s="55"/>
      <c r="D8" s="55"/>
      <c r="E8" s="55"/>
    </row>
    <row r="9" spans="1:5" ht="47.25" customHeight="1" x14ac:dyDescent="0.2">
      <c r="A9" s="57" t="s">
        <v>1</v>
      </c>
      <c r="B9" s="57" t="s">
        <v>61</v>
      </c>
      <c r="C9" s="57" t="s">
        <v>2</v>
      </c>
      <c r="D9" s="57" t="s">
        <v>62</v>
      </c>
      <c r="E9" s="57" t="s">
        <v>63</v>
      </c>
    </row>
    <row r="10" spans="1:5" ht="87.75" customHeight="1" x14ac:dyDescent="0.2">
      <c r="A10" s="57"/>
      <c r="B10" s="57"/>
      <c r="C10" s="57"/>
      <c r="D10" s="57"/>
      <c r="E10" s="57"/>
    </row>
    <row r="11" spans="1:5" ht="15.75" customHeight="1" x14ac:dyDescent="0.2">
      <c r="A11" s="41" t="s">
        <v>3</v>
      </c>
      <c r="B11" s="41" t="s">
        <v>64</v>
      </c>
      <c r="C11" s="41" t="s">
        <v>4</v>
      </c>
      <c r="D11" s="41" t="s">
        <v>65</v>
      </c>
      <c r="E11" s="41" t="s">
        <v>66</v>
      </c>
    </row>
    <row r="12" spans="1:5" x14ac:dyDescent="0.2">
      <c r="A12" s="58" t="s">
        <v>35</v>
      </c>
      <c r="B12" s="58"/>
      <c r="C12" s="58"/>
      <c r="D12" s="1"/>
      <c r="E12" s="1"/>
    </row>
    <row r="13" spans="1:5" x14ac:dyDescent="0.2">
      <c r="A13" s="59" t="s">
        <v>222</v>
      </c>
      <c r="B13" s="59"/>
      <c r="C13" s="59"/>
      <c r="D13" s="1"/>
      <c r="E13" s="1"/>
    </row>
    <row r="14" spans="1:5" x14ac:dyDescent="0.2">
      <c r="A14" s="39" t="s">
        <v>292</v>
      </c>
      <c r="B14" s="8" t="s">
        <v>216</v>
      </c>
      <c r="C14" s="8" t="s">
        <v>217</v>
      </c>
      <c r="D14" s="1" t="s">
        <v>219</v>
      </c>
      <c r="E14" s="1">
        <v>0.33500000000000002</v>
      </c>
    </row>
    <row r="15" spans="1:5" x14ac:dyDescent="0.2">
      <c r="A15" s="39" t="s">
        <v>293</v>
      </c>
      <c r="B15" s="8" t="s">
        <v>220</v>
      </c>
      <c r="C15" s="8" t="s">
        <v>218</v>
      </c>
      <c r="D15" s="1" t="s">
        <v>219</v>
      </c>
      <c r="E15" s="1">
        <v>0.9</v>
      </c>
    </row>
    <row r="16" spans="1:5" ht="15.75" customHeight="1" x14ac:dyDescent="0.2">
      <c r="A16" s="59" t="s">
        <v>221</v>
      </c>
      <c r="B16" s="59"/>
      <c r="C16" s="59"/>
      <c r="D16" s="8"/>
      <c r="E16" s="8"/>
    </row>
    <row r="17" spans="1:5" ht="31.5" x14ac:dyDescent="0.2">
      <c r="A17" s="39" t="s">
        <v>294</v>
      </c>
      <c r="B17" s="9" t="s">
        <v>67</v>
      </c>
      <c r="C17" s="8" t="s">
        <v>68</v>
      </c>
      <c r="D17" s="1" t="s">
        <v>36</v>
      </c>
      <c r="E17" s="1">
        <v>1</v>
      </c>
    </row>
    <row r="18" spans="1:5" ht="31.5" x14ac:dyDescent="0.2">
      <c r="A18" s="39" t="s">
        <v>295</v>
      </c>
      <c r="B18" s="9" t="s">
        <v>69</v>
      </c>
      <c r="C18" s="8" t="s">
        <v>70</v>
      </c>
      <c r="D18" s="1" t="s">
        <v>36</v>
      </c>
      <c r="E18" s="1">
        <v>1</v>
      </c>
    </row>
    <row r="19" spans="1:5" x14ac:dyDescent="0.2">
      <c r="A19" s="56" t="s">
        <v>223</v>
      </c>
      <c r="B19" s="56"/>
      <c r="C19" s="56"/>
      <c r="D19" s="51"/>
      <c r="E19" s="51"/>
    </row>
    <row r="20" spans="1:5" x14ac:dyDescent="0.2">
      <c r="A20" s="67" t="s">
        <v>224</v>
      </c>
      <c r="B20" s="67"/>
      <c r="C20" s="67"/>
      <c r="D20" s="13"/>
      <c r="E20" s="13"/>
    </row>
    <row r="21" spans="1:5" x14ac:dyDescent="0.2">
      <c r="A21" s="39" t="s">
        <v>296</v>
      </c>
      <c r="B21" s="13" t="s">
        <v>71</v>
      </c>
      <c r="C21" s="14" t="s">
        <v>514</v>
      </c>
      <c r="D21" s="13" t="s">
        <v>94</v>
      </c>
      <c r="E21" s="15">
        <v>750</v>
      </c>
    </row>
    <row r="22" spans="1:5" ht="31.5" x14ac:dyDescent="0.2">
      <c r="A22" s="39" t="s">
        <v>297</v>
      </c>
      <c r="B22" s="13" t="s">
        <v>72</v>
      </c>
      <c r="C22" s="14" t="s">
        <v>518</v>
      </c>
      <c r="D22" s="16" t="s">
        <v>11</v>
      </c>
      <c r="E22" s="13">
        <v>100</v>
      </c>
    </row>
    <row r="23" spans="1:5" x14ac:dyDescent="0.2">
      <c r="A23" s="39" t="s">
        <v>298</v>
      </c>
      <c r="B23" s="13" t="s">
        <v>73</v>
      </c>
      <c r="C23" s="17" t="s">
        <v>515</v>
      </c>
      <c r="D23" s="16" t="s">
        <v>11</v>
      </c>
      <c r="E23" s="16">
        <v>100</v>
      </c>
    </row>
    <row r="24" spans="1:5" x14ac:dyDescent="0.2">
      <c r="A24" s="39" t="s">
        <v>299</v>
      </c>
      <c r="B24" s="13" t="s">
        <v>74</v>
      </c>
      <c r="C24" s="17" t="s">
        <v>516</v>
      </c>
      <c r="D24" s="16" t="s">
        <v>11</v>
      </c>
      <c r="E24" s="16">
        <v>200</v>
      </c>
    </row>
    <row r="25" spans="1:5" x14ac:dyDescent="0.2">
      <c r="A25" s="39" t="s">
        <v>300</v>
      </c>
      <c r="B25" s="13" t="s">
        <v>570</v>
      </c>
      <c r="C25" s="17" t="s">
        <v>517</v>
      </c>
      <c r="D25" s="16" t="s">
        <v>6</v>
      </c>
      <c r="E25" s="16">
        <v>6.57</v>
      </c>
    </row>
    <row r="26" spans="1:5" x14ac:dyDescent="0.2">
      <c r="A26" s="39" t="s">
        <v>301</v>
      </c>
      <c r="B26" s="13" t="s">
        <v>571</v>
      </c>
      <c r="C26" s="17" t="s">
        <v>75</v>
      </c>
      <c r="D26" s="16" t="s">
        <v>11</v>
      </c>
      <c r="E26" s="16">
        <v>12</v>
      </c>
    </row>
    <row r="27" spans="1:5" ht="22.5" customHeight="1" x14ac:dyDescent="0.2">
      <c r="A27" s="39" t="s">
        <v>302</v>
      </c>
      <c r="B27" s="13" t="s">
        <v>572</v>
      </c>
      <c r="C27" s="18" t="s">
        <v>76</v>
      </c>
      <c r="D27" s="16" t="s">
        <v>11</v>
      </c>
      <c r="E27" s="16">
        <v>200</v>
      </c>
    </row>
    <row r="28" spans="1:5" x14ac:dyDescent="0.2">
      <c r="A28" s="39" t="s">
        <v>303</v>
      </c>
      <c r="B28" s="13" t="s">
        <v>573</v>
      </c>
      <c r="C28" s="17" t="s">
        <v>519</v>
      </c>
      <c r="D28" s="16" t="s">
        <v>6</v>
      </c>
      <c r="E28" s="16">
        <v>100</v>
      </c>
    </row>
    <row r="29" spans="1:5" x14ac:dyDescent="0.2">
      <c r="A29" s="39" t="s">
        <v>641</v>
      </c>
      <c r="B29" s="13" t="s">
        <v>77</v>
      </c>
      <c r="C29" s="17" t="s">
        <v>520</v>
      </c>
      <c r="D29" s="16" t="s">
        <v>11</v>
      </c>
      <c r="E29" s="16">
        <v>12</v>
      </c>
    </row>
    <row r="30" spans="1:5" x14ac:dyDescent="0.2">
      <c r="A30" s="39" t="s">
        <v>304</v>
      </c>
      <c r="B30" s="13" t="s">
        <v>78</v>
      </c>
      <c r="C30" s="17" t="s">
        <v>521</v>
      </c>
      <c r="D30" s="16" t="s">
        <v>6</v>
      </c>
      <c r="E30" s="16">
        <v>6.57</v>
      </c>
    </row>
    <row r="31" spans="1:5" ht="31.5" x14ac:dyDescent="0.2">
      <c r="A31" s="39" t="s">
        <v>305</v>
      </c>
      <c r="B31" s="13" t="s">
        <v>79</v>
      </c>
      <c r="C31" s="14" t="s">
        <v>81</v>
      </c>
      <c r="D31" s="13" t="s">
        <v>6</v>
      </c>
      <c r="E31" s="13">
        <v>150</v>
      </c>
    </row>
    <row r="32" spans="1:5" x14ac:dyDescent="0.2">
      <c r="A32" s="67" t="s">
        <v>225</v>
      </c>
      <c r="B32" s="67"/>
      <c r="C32" s="67"/>
      <c r="D32" s="16"/>
      <c r="E32" s="16"/>
    </row>
    <row r="33" spans="1:5" x14ac:dyDescent="0.2">
      <c r="A33" s="39" t="s">
        <v>306</v>
      </c>
      <c r="B33" s="13" t="s">
        <v>80</v>
      </c>
      <c r="C33" s="17" t="s">
        <v>83</v>
      </c>
      <c r="D33" s="16" t="s">
        <v>11</v>
      </c>
      <c r="E33" s="16">
        <v>200</v>
      </c>
    </row>
    <row r="34" spans="1:5" x14ac:dyDescent="0.2">
      <c r="A34" s="39" t="s">
        <v>307</v>
      </c>
      <c r="B34" s="13" t="s">
        <v>82</v>
      </c>
      <c r="C34" s="17" t="s">
        <v>522</v>
      </c>
      <c r="D34" s="16" t="s">
        <v>6</v>
      </c>
      <c r="E34" s="16">
        <v>100</v>
      </c>
    </row>
    <row r="35" spans="1:5" x14ac:dyDescent="0.2">
      <c r="A35" s="39" t="s">
        <v>308</v>
      </c>
      <c r="B35" s="13" t="s">
        <v>575</v>
      </c>
      <c r="C35" s="17" t="s">
        <v>523</v>
      </c>
      <c r="D35" s="16" t="s">
        <v>6</v>
      </c>
      <c r="E35" s="16">
        <v>50</v>
      </c>
    </row>
    <row r="36" spans="1:5" ht="31.5" x14ac:dyDescent="0.2">
      <c r="A36" s="39" t="s">
        <v>309</v>
      </c>
      <c r="B36" s="13" t="s">
        <v>574</v>
      </c>
      <c r="C36" s="14" t="s">
        <v>81</v>
      </c>
      <c r="D36" s="13" t="s">
        <v>6</v>
      </c>
      <c r="E36" s="13">
        <v>87</v>
      </c>
    </row>
    <row r="37" spans="1:5" ht="15.75" customHeight="1" x14ac:dyDescent="0.2">
      <c r="A37" s="68" t="s">
        <v>226</v>
      </c>
      <c r="B37" s="68"/>
      <c r="C37" s="68"/>
      <c r="D37" s="8"/>
      <c r="E37" s="8"/>
    </row>
    <row r="38" spans="1:5" ht="31.5" x14ac:dyDescent="0.2">
      <c r="A38" s="39" t="s">
        <v>310</v>
      </c>
      <c r="B38" s="9" t="s">
        <v>84</v>
      </c>
      <c r="C38" s="8" t="s">
        <v>85</v>
      </c>
      <c r="D38" s="1" t="s">
        <v>16</v>
      </c>
      <c r="E38" s="1">
        <v>4</v>
      </c>
    </row>
    <row r="39" spans="1:5" x14ac:dyDescent="0.2">
      <c r="A39" s="5" t="s">
        <v>282</v>
      </c>
      <c r="B39" s="5"/>
      <c r="C39" s="5"/>
      <c r="D39" s="9"/>
      <c r="E39" s="9"/>
    </row>
    <row r="40" spans="1:5" ht="15.75" customHeight="1" x14ac:dyDescent="0.2">
      <c r="A40" s="59" t="s">
        <v>283</v>
      </c>
      <c r="B40" s="59"/>
      <c r="C40" s="59"/>
      <c r="D40" s="8"/>
      <c r="E40" s="8"/>
    </row>
    <row r="41" spans="1:5" ht="15.75" customHeight="1" x14ac:dyDescent="0.2">
      <c r="A41" s="40"/>
      <c r="B41" s="40"/>
      <c r="C41" s="6" t="s">
        <v>229</v>
      </c>
      <c r="D41" s="8"/>
      <c r="E41" s="8"/>
    </row>
    <row r="42" spans="1:5" s="10" customFormat="1" x14ac:dyDescent="0.2">
      <c r="A42" s="39" t="s">
        <v>311</v>
      </c>
      <c r="B42" s="8" t="s">
        <v>576</v>
      </c>
      <c r="C42" s="8" t="s">
        <v>524</v>
      </c>
      <c r="D42" s="1" t="s">
        <v>6</v>
      </c>
      <c r="E42" s="1">
        <v>23.81</v>
      </c>
    </row>
    <row r="43" spans="1:5" s="10" customFormat="1" x14ac:dyDescent="0.2">
      <c r="A43" s="39" t="s">
        <v>312</v>
      </c>
      <c r="B43" s="8" t="s">
        <v>576</v>
      </c>
      <c r="C43" s="8" t="s">
        <v>525</v>
      </c>
      <c r="D43" s="1" t="s">
        <v>6</v>
      </c>
      <c r="E43" s="1">
        <v>76.73</v>
      </c>
    </row>
    <row r="44" spans="1:5" s="10" customFormat="1" x14ac:dyDescent="0.2">
      <c r="A44" s="39" t="s">
        <v>313</v>
      </c>
      <c r="B44" s="8" t="s">
        <v>577</v>
      </c>
      <c r="C44" s="8" t="s">
        <v>526</v>
      </c>
      <c r="D44" s="1" t="s">
        <v>6</v>
      </c>
      <c r="E44" s="1">
        <v>76.73</v>
      </c>
    </row>
    <row r="45" spans="1:5" s="10" customFormat="1" ht="31.5" x14ac:dyDescent="0.2">
      <c r="A45" s="39" t="s">
        <v>314</v>
      </c>
      <c r="B45" s="8" t="s">
        <v>243</v>
      </c>
      <c r="C45" s="8" t="s">
        <v>141</v>
      </c>
      <c r="D45" s="1" t="s">
        <v>6</v>
      </c>
      <c r="E45" s="1">
        <v>179</v>
      </c>
    </row>
    <row r="46" spans="1:5" s="10" customFormat="1" x14ac:dyDescent="0.2">
      <c r="A46" s="39" t="s">
        <v>315</v>
      </c>
      <c r="B46" s="8" t="s">
        <v>230</v>
      </c>
      <c r="C46" s="8" t="s">
        <v>231</v>
      </c>
      <c r="D46" s="1" t="s">
        <v>16</v>
      </c>
      <c r="E46" s="1">
        <v>67</v>
      </c>
    </row>
    <row r="47" spans="1:5" s="10" customFormat="1" ht="31.5" x14ac:dyDescent="0.2">
      <c r="A47" s="39" t="s">
        <v>316</v>
      </c>
      <c r="B47" s="8" t="s">
        <v>244</v>
      </c>
      <c r="C47" s="8" t="s">
        <v>209</v>
      </c>
      <c r="D47" s="1" t="s">
        <v>6</v>
      </c>
      <c r="E47" s="1">
        <v>19.27</v>
      </c>
    </row>
    <row r="48" spans="1:5" s="10" customFormat="1" ht="31.5" x14ac:dyDescent="0.2">
      <c r="A48" s="39" t="s">
        <v>317</v>
      </c>
      <c r="B48" s="8" t="s">
        <v>245</v>
      </c>
      <c r="C48" s="8" t="s">
        <v>208</v>
      </c>
      <c r="D48" s="1" t="s">
        <v>11</v>
      </c>
      <c r="E48" s="1">
        <v>155.44</v>
      </c>
    </row>
    <row r="49" spans="1:5" s="10" customFormat="1" ht="31.5" x14ac:dyDescent="0.2">
      <c r="A49" s="39" t="s">
        <v>318</v>
      </c>
      <c r="B49" s="8" t="s">
        <v>246</v>
      </c>
      <c r="C49" s="8" t="s">
        <v>527</v>
      </c>
      <c r="D49" s="1" t="s">
        <v>6</v>
      </c>
      <c r="E49" s="1">
        <v>59.7</v>
      </c>
    </row>
    <row r="50" spans="1:5" s="10" customFormat="1" ht="31.5" x14ac:dyDescent="0.2">
      <c r="A50" s="39" t="s">
        <v>319</v>
      </c>
      <c r="B50" s="8" t="s">
        <v>86</v>
      </c>
      <c r="C50" s="8" t="s">
        <v>528</v>
      </c>
      <c r="D50" s="1" t="s">
        <v>87</v>
      </c>
      <c r="E50" s="1">
        <f>201+165</f>
        <v>366</v>
      </c>
    </row>
    <row r="51" spans="1:5" s="10" customFormat="1" ht="31.5" x14ac:dyDescent="0.2">
      <c r="A51" s="39" t="s">
        <v>320</v>
      </c>
      <c r="B51" s="8" t="s">
        <v>88</v>
      </c>
      <c r="C51" s="8" t="s">
        <v>529</v>
      </c>
      <c r="D51" s="1" t="s">
        <v>87</v>
      </c>
      <c r="E51" s="1">
        <f>126+113</f>
        <v>239</v>
      </c>
    </row>
    <row r="52" spans="1:5" s="10" customFormat="1" ht="18.75" x14ac:dyDescent="0.2">
      <c r="A52" s="39" t="s">
        <v>642</v>
      </c>
      <c r="B52" s="8" t="s">
        <v>89</v>
      </c>
      <c r="C52" s="8" t="s">
        <v>530</v>
      </c>
      <c r="D52" s="1" t="s">
        <v>87</v>
      </c>
      <c r="E52" s="1">
        <f>126+113</f>
        <v>239</v>
      </c>
    </row>
    <row r="53" spans="1:5" s="10" customFormat="1" ht="31.5" x14ac:dyDescent="0.2">
      <c r="A53" s="39" t="s">
        <v>321</v>
      </c>
      <c r="B53" s="8" t="s">
        <v>90</v>
      </c>
      <c r="C53" s="8" t="s">
        <v>531</v>
      </c>
      <c r="D53" s="1" t="s">
        <v>87</v>
      </c>
      <c r="E53" s="1">
        <v>108.2</v>
      </c>
    </row>
    <row r="54" spans="1:5" s="10" customFormat="1" ht="31.5" x14ac:dyDescent="0.2">
      <c r="A54" s="39" t="s">
        <v>643</v>
      </c>
      <c r="B54" s="8" t="s">
        <v>247</v>
      </c>
      <c r="C54" s="9" t="s">
        <v>211</v>
      </c>
      <c r="D54" s="1" t="s">
        <v>6</v>
      </c>
      <c r="E54" s="1">
        <f>1.67+0.9+0.24</f>
        <v>2.81</v>
      </c>
    </row>
    <row r="55" spans="1:5" s="10" customFormat="1" ht="31.5" x14ac:dyDescent="0.2">
      <c r="A55" s="39" t="s">
        <v>322</v>
      </c>
      <c r="B55" s="8" t="s">
        <v>248</v>
      </c>
      <c r="C55" s="8" t="s">
        <v>532</v>
      </c>
      <c r="D55" s="1" t="s">
        <v>6</v>
      </c>
      <c r="E55" s="1">
        <v>4.6327999999999996</v>
      </c>
    </row>
    <row r="56" spans="1:5" s="10" customFormat="1" x14ac:dyDescent="0.2">
      <c r="A56" s="9"/>
      <c r="B56" s="9"/>
      <c r="C56" s="40" t="s">
        <v>43</v>
      </c>
      <c r="D56" s="1"/>
      <c r="E56" s="1"/>
    </row>
    <row r="57" spans="1:5" s="10" customFormat="1" ht="31.5" x14ac:dyDescent="0.2">
      <c r="A57" s="39" t="s">
        <v>644</v>
      </c>
      <c r="B57" s="8" t="s">
        <v>249</v>
      </c>
      <c r="C57" s="8" t="s">
        <v>212</v>
      </c>
      <c r="D57" s="1" t="s">
        <v>6</v>
      </c>
      <c r="E57" s="1">
        <v>6.0148999999999999</v>
      </c>
    </row>
    <row r="58" spans="1:5" ht="31.5" x14ac:dyDescent="0.2">
      <c r="A58" s="39" t="s">
        <v>323</v>
      </c>
      <c r="B58" s="8" t="s">
        <v>250</v>
      </c>
      <c r="C58" s="9" t="s">
        <v>42</v>
      </c>
      <c r="D58" s="1" t="s">
        <v>53</v>
      </c>
      <c r="E58" s="1" t="s">
        <v>91</v>
      </c>
    </row>
    <row r="59" spans="1:5" x14ac:dyDescent="0.2">
      <c r="A59" s="39" t="s">
        <v>324</v>
      </c>
      <c r="B59" s="8" t="s">
        <v>92</v>
      </c>
      <c r="C59" s="9" t="s">
        <v>93</v>
      </c>
      <c r="D59" s="1" t="s">
        <v>94</v>
      </c>
      <c r="E59" s="1">
        <v>5.2</v>
      </c>
    </row>
    <row r="60" spans="1:5" ht="31.5" x14ac:dyDescent="0.2">
      <c r="A60" s="39" t="s">
        <v>325</v>
      </c>
      <c r="B60" s="8" t="s">
        <v>251</v>
      </c>
      <c r="C60" s="9" t="s">
        <v>41</v>
      </c>
      <c r="D60" s="1" t="s">
        <v>6</v>
      </c>
      <c r="E60" s="1">
        <f>2.5+1.4+0.14</f>
        <v>4.04</v>
      </c>
    </row>
    <row r="61" spans="1:5" x14ac:dyDescent="0.2">
      <c r="A61" s="39" t="s">
        <v>326</v>
      </c>
      <c r="B61" s="8" t="s">
        <v>95</v>
      </c>
      <c r="C61" s="8" t="s">
        <v>40</v>
      </c>
      <c r="D61" s="1" t="s">
        <v>6</v>
      </c>
      <c r="E61" s="1" t="s">
        <v>96</v>
      </c>
    </row>
    <row r="62" spans="1:5" s="35" customFormat="1" ht="47.25" x14ac:dyDescent="0.2">
      <c r="A62" s="39" t="s">
        <v>327</v>
      </c>
      <c r="B62" s="8" t="s">
        <v>291</v>
      </c>
      <c r="C62" s="8" t="s">
        <v>533</v>
      </c>
      <c r="D62" s="1" t="s">
        <v>53</v>
      </c>
      <c r="E62" s="1">
        <v>90</v>
      </c>
    </row>
    <row r="63" spans="1:5" ht="18.75" x14ac:dyDescent="0.2">
      <c r="A63" s="39" t="s">
        <v>328</v>
      </c>
      <c r="B63" s="8" t="s">
        <v>97</v>
      </c>
      <c r="C63" s="8" t="s">
        <v>39</v>
      </c>
      <c r="D63" s="1" t="s">
        <v>53</v>
      </c>
      <c r="E63" s="1" t="s">
        <v>98</v>
      </c>
    </row>
    <row r="64" spans="1:5" x14ac:dyDescent="0.2">
      <c r="A64" s="36"/>
      <c r="B64" s="9"/>
      <c r="C64" s="5" t="s">
        <v>44</v>
      </c>
      <c r="D64" s="1"/>
      <c r="E64" s="1"/>
    </row>
    <row r="65" spans="1:5" ht="31.5" x14ac:dyDescent="0.2">
      <c r="A65" s="39" t="s">
        <v>329</v>
      </c>
      <c r="B65" s="8" t="s">
        <v>289</v>
      </c>
      <c r="C65" s="8" t="s">
        <v>46</v>
      </c>
      <c r="D65" s="1" t="s">
        <v>53</v>
      </c>
      <c r="E65" s="1" t="s">
        <v>99</v>
      </c>
    </row>
    <row r="66" spans="1:5" x14ac:dyDescent="0.2">
      <c r="A66" s="39" t="s">
        <v>330</v>
      </c>
      <c r="B66" s="8" t="s">
        <v>100</v>
      </c>
      <c r="C66" s="8" t="s">
        <v>93</v>
      </c>
      <c r="D66" s="1" t="s">
        <v>94</v>
      </c>
      <c r="E66" s="1">
        <v>29.2</v>
      </c>
    </row>
    <row r="67" spans="1:5" ht="31.5" x14ac:dyDescent="0.2">
      <c r="A67" s="39" t="s">
        <v>331</v>
      </c>
      <c r="B67" s="8" t="s">
        <v>252</v>
      </c>
      <c r="C67" s="8" t="s">
        <v>47</v>
      </c>
      <c r="D67" s="1" t="s">
        <v>53</v>
      </c>
      <c r="E67" s="1" t="s">
        <v>101</v>
      </c>
    </row>
    <row r="68" spans="1:5" x14ac:dyDescent="0.2">
      <c r="A68" s="36"/>
      <c r="B68" s="9"/>
      <c r="C68" s="9" t="s">
        <v>102</v>
      </c>
      <c r="D68" s="1"/>
      <c r="E68" s="1"/>
    </row>
    <row r="69" spans="1:5" ht="31.5" x14ac:dyDescent="0.2">
      <c r="A69" s="39" t="s">
        <v>332</v>
      </c>
      <c r="B69" s="8" t="s">
        <v>253</v>
      </c>
      <c r="C69" s="8" t="s">
        <v>40</v>
      </c>
      <c r="D69" s="1" t="s">
        <v>6</v>
      </c>
      <c r="E69" s="1" t="s">
        <v>96</v>
      </c>
    </row>
    <row r="70" spans="1:5" ht="31.5" x14ac:dyDescent="0.2">
      <c r="A70" s="39" t="s">
        <v>333</v>
      </c>
      <c r="B70" s="8" t="s">
        <v>254</v>
      </c>
      <c r="C70" s="9" t="s">
        <v>38</v>
      </c>
      <c r="D70" s="1" t="s">
        <v>53</v>
      </c>
      <c r="E70" s="1" t="s">
        <v>103</v>
      </c>
    </row>
    <row r="71" spans="1:5" ht="18.75" x14ac:dyDescent="0.2">
      <c r="A71" s="39" t="s">
        <v>334</v>
      </c>
      <c r="B71" s="8" t="s">
        <v>104</v>
      </c>
      <c r="C71" s="9" t="s">
        <v>37</v>
      </c>
      <c r="D71" s="1" t="s">
        <v>53</v>
      </c>
      <c r="E71" s="1" t="s">
        <v>105</v>
      </c>
    </row>
    <row r="72" spans="1:5" ht="18.75" x14ac:dyDescent="0.2">
      <c r="A72" s="39" t="s">
        <v>335</v>
      </c>
      <c r="B72" s="8" t="s">
        <v>106</v>
      </c>
      <c r="C72" s="8" t="s">
        <v>534</v>
      </c>
      <c r="D72" s="1" t="s">
        <v>53</v>
      </c>
      <c r="E72" s="1">
        <f>352+470</f>
        <v>822</v>
      </c>
    </row>
    <row r="73" spans="1:5" ht="18.75" x14ac:dyDescent="0.2">
      <c r="A73" s="39" t="s">
        <v>336</v>
      </c>
      <c r="B73" s="8" t="s">
        <v>107</v>
      </c>
      <c r="C73" s="9" t="s">
        <v>210</v>
      </c>
      <c r="D73" s="1" t="s">
        <v>53</v>
      </c>
      <c r="E73" s="1" t="s">
        <v>108</v>
      </c>
    </row>
    <row r="74" spans="1:5" x14ac:dyDescent="0.2">
      <c r="A74" s="36"/>
      <c r="B74" s="9"/>
      <c r="C74" s="9" t="s">
        <v>109</v>
      </c>
      <c r="D74" s="1"/>
      <c r="E74" s="1"/>
    </row>
    <row r="75" spans="1:5" x14ac:dyDescent="0.2">
      <c r="A75" s="39" t="s">
        <v>337</v>
      </c>
      <c r="B75" s="8" t="s">
        <v>110</v>
      </c>
      <c r="C75" s="8" t="s">
        <v>535</v>
      </c>
      <c r="D75" s="4" t="s">
        <v>16</v>
      </c>
      <c r="E75" s="4">
        <v>6</v>
      </c>
    </row>
    <row r="76" spans="1:5" ht="31.5" x14ac:dyDescent="0.2">
      <c r="A76" s="39" t="s">
        <v>338</v>
      </c>
      <c r="B76" s="8" t="s">
        <v>255</v>
      </c>
      <c r="C76" s="9" t="s">
        <v>45</v>
      </c>
      <c r="D76" s="1" t="s">
        <v>94</v>
      </c>
      <c r="E76" s="1">
        <v>75.599999999999994</v>
      </c>
    </row>
    <row r="77" spans="1:5" ht="31.5" x14ac:dyDescent="0.2">
      <c r="A77" s="39" t="s">
        <v>339</v>
      </c>
      <c r="B77" s="8" t="s">
        <v>256</v>
      </c>
      <c r="C77" s="8" t="s">
        <v>48</v>
      </c>
      <c r="D77" s="4" t="s">
        <v>6</v>
      </c>
      <c r="E77" s="4">
        <v>4.5999999999999996</v>
      </c>
    </row>
    <row r="78" spans="1:5" x14ac:dyDescent="0.2">
      <c r="A78" s="39" t="s">
        <v>340</v>
      </c>
      <c r="B78" s="8" t="s">
        <v>111</v>
      </c>
      <c r="C78" s="9" t="s">
        <v>49</v>
      </c>
      <c r="D78" s="4" t="s">
        <v>6</v>
      </c>
      <c r="E78" s="4">
        <v>7.1999999999999995E-2</v>
      </c>
    </row>
    <row r="79" spans="1:5" ht="31.5" x14ac:dyDescent="0.2">
      <c r="A79" s="39" t="s">
        <v>341</v>
      </c>
      <c r="B79" s="8" t="s">
        <v>112</v>
      </c>
      <c r="C79" s="9" t="s">
        <v>152</v>
      </c>
      <c r="D79" s="4" t="s">
        <v>16</v>
      </c>
      <c r="E79" s="4">
        <v>4</v>
      </c>
    </row>
    <row r="80" spans="1:5" x14ac:dyDescent="0.2">
      <c r="A80" s="39" t="s">
        <v>342</v>
      </c>
      <c r="B80" s="8" t="s">
        <v>578</v>
      </c>
      <c r="C80" s="8" t="s">
        <v>50</v>
      </c>
      <c r="D80" s="1" t="s">
        <v>10</v>
      </c>
      <c r="E80" s="1" t="s">
        <v>66</v>
      </c>
    </row>
    <row r="81" spans="1:5" x14ac:dyDescent="0.2">
      <c r="A81" s="5" t="s">
        <v>281</v>
      </c>
      <c r="B81" s="9"/>
      <c r="C81" s="9"/>
      <c r="D81" s="9"/>
      <c r="E81" s="9"/>
    </row>
    <row r="82" spans="1:5" ht="18.75" x14ac:dyDescent="0.2">
      <c r="A82" s="39" t="s">
        <v>343</v>
      </c>
      <c r="B82" s="8" t="s">
        <v>579</v>
      </c>
      <c r="C82" s="8" t="s">
        <v>536</v>
      </c>
      <c r="D82" s="1" t="s">
        <v>53</v>
      </c>
      <c r="E82" s="1" t="s">
        <v>113</v>
      </c>
    </row>
    <row r="83" spans="1:5" x14ac:dyDescent="0.2">
      <c r="A83" s="5" t="s">
        <v>114</v>
      </c>
      <c r="B83" s="9"/>
      <c r="C83" s="9"/>
      <c r="D83" s="9"/>
      <c r="E83" s="9"/>
    </row>
    <row r="84" spans="1:5" ht="31.5" x14ac:dyDescent="0.2">
      <c r="A84" s="39" t="s">
        <v>344</v>
      </c>
      <c r="B84" s="9" t="s">
        <v>580</v>
      </c>
      <c r="C84" s="8" t="s">
        <v>537</v>
      </c>
      <c r="D84" s="4" t="s">
        <v>16</v>
      </c>
      <c r="E84" s="4">
        <v>1</v>
      </c>
    </row>
    <row r="85" spans="1:5" ht="47.25" x14ac:dyDescent="0.2">
      <c r="A85" s="39" t="s">
        <v>345</v>
      </c>
      <c r="B85" s="9" t="s">
        <v>581</v>
      </c>
      <c r="C85" s="8" t="s">
        <v>538</v>
      </c>
      <c r="D85" s="4" t="s">
        <v>16</v>
      </c>
      <c r="E85" s="4">
        <v>1</v>
      </c>
    </row>
    <row r="86" spans="1:5" ht="31.5" x14ac:dyDescent="0.2">
      <c r="A86" s="39" t="s">
        <v>346</v>
      </c>
      <c r="B86" s="8" t="s">
        <v>582</v>
      </c>
      <c r="C86" s="8" t="s">
        <v>27</v>
      </c>
      <c r="D86" s="1" t="s">
        <v>16</v>
      </c>
      <c r="E86" s="1">
        <v>1</v>
      </c>
    </row>
    <row r="87" spans="1:5" s="10" customFormat="1" x14ac:dyDescent="0.2">
      <c r="A87" s="5" t="s">
        <v>115</v>
      </c>
      <c r="B87" s="9"/>
      <c r="C87" s="9"/>
      <c r="D87" s="9"/>
      <c r="E87" s="9"/>
    </row>
    <row r="88" spans="1:5" s="10" customFormat="1" x14ac:dyDescent="0.2">
      <c r="A88" s="5" t="s">
        <v>116</v>
      </c>
      <c r="B88" s="9"/>
      <c r="C88" s="9"/>
      <c r="D88" s="9"/>
      <c r="E88" s="9"/>
    </row>
    <row r="89" spans="1:5" s="10" customFormat="1" x14ac:dyDescent="0.2">
      <c r="A89" s="9"/>
      <c r="B89" s="9"/>
      <c r="C89" s="6" t="s">
        <v>117</v>
      </c>
      <c r="D89" s="1"/>
      <c r="E89" s="1"/>
    </row>
    <row r="90" spans="1:5" s="10" customFormat="1" ht="31.5" x14ac:dyDescent="0.2">
      <c r="A90" s="39" t="s">
        <v>347</v>
      </c>
      <c r="B90" s="9" t="s">
        <v>583</v>
      </c>
      <c r="C90" s="8" t="s">
        <v>584</v>
      </c>
      <c r="D90" s="1" t="s">
        <v>87</v>
      </c>
      <c r="E90" s="1" t="s">
        <v>118</v>
      </c>
    </row>
    <row r="91" spans="1:5" s="10" customFormat="1" ht="47.25" x14ac:dyDescent="0.2">
      <c r="A91" s="39" t="s">
        <v>348</v>
      </c>
      <c r="B91" s="9" t="s">
        <v>585</v>
      </c>
      <c r="C91" s="8" t="s">
        <v>119</v>
      </c>
      <c r="D91" s="1" t="s">
        <v>53</v>
      </c>
      <c r="E91" s="1">
        <v>505</v>
      </c>
    </row>
    <row r="92" spans="1:5" s="10" customFormat="1" ht="78.75" x14ac:dyDescent="0.2">
      <c r="A92" s="39" t="s">
        <v>349</v>
      </c>
      <c r="B92" s="9" t="s">
        <v>586</v>
      </c>
      <c r="C92" s="8" t="s">
        <v>227</v>
      </c>
      <c r="D92" s="1" t="s">
        <v>53</v>
      </c>
      <c r="E92" s="1">
        <v>505</v>
      </c>
    </row>
    <row r="93" spans="1:5" s="10" customFormat="1" ht="18.75" x14ac:dyDescent="0.2">
      <c r="A93" s="39" t="s">
        <v>350</v>
      </c>
      <c r="B93" s="9" t="s">
        <v>587</v>
      </c>
      <c r="C93" s="8" t="s">
        <v>539</v>
      </c>
      <c r="D93" s="1" t="s">
        <v>53</v>
      </c>
      <c r="E93" s="1">
        <v>505</v>
      </c>
    </row>
    <row r="94" spans="1:5" s="10" customFormat="1" ht="31.5" x14ac:dyDescent="0.2">
      <c r="A94" s="36"/>
      <c r="B94" s="29"/>
      <c r="C94" s="7" t="s">
        <v>120</v>
      </c>
      <c r="D94" s="29"/>
      <c r="E94" s="29"/>
    </row>
    <row r="95" spans="1:5" s="10" customFormat="1" ht="31.5" x14ac:dyDescent="0.2">
      <c r="A95" s="39" t="s">
        <v>351</v>
      </c>
      <c r="B95" s="8" t="s">
        <v>588</v>
      </c>
      <c r="C95" s="8" t="s">
        <v>540</v>
      </c>
      <c r="D95" s="1" t="s">
        <v>87</v>
      </c>
      <c r="E95" s="1" t="s">
        <v>121</v>
      </c>
    </row>
    <row r="96" spans="1:5" s="10" customFormat="1" ht="31.5" x14ac:dyDescent="0.2">
      <c r="A96" s="39" t="s">
        <v>352</v>
      </c>
      <c r="B96" s="8" t="s">
        <v>589</v>
      </c>
      <c r="C96" s="8" t="s">
        <v>122</v>
      </c>
      <c r="D96" s="1" t="s">
        <v>87</v>
      </c>
      <c r="E96" s="1" t="s">
        <v>121</v>
      </c>
    </row>
    <row r="97" spans="1:5" s="10" customFormat="1" ht="31.5" x14ac:dyDescent="0.2">
      <c r="A97" s="39" t="s">
        <v>353</v>
      </c>
      <c r="B97" s="9" t="s">
        <v>590</v>
      </c>
      <c r="C97" s="8" t="s">
        <v>14</v>
      </c>
      <c r="D97" s="1" t="s">
        <v>53</v>
      </c>
      <c r="E97" s="1">
        <v>71.900000000000006</v>
      </c>
    </row>
    <row r="98" spans="1:5" s="10" customFormat="1" ht="31.5" x14ac:dyDescent="0.2">
      <c r="A98" s="36"/>
      <c r="B98" s="29"/>
      <c r="C98" s="7" t="s">
        <v>123</v>
      </c>
      <c r="D98" s="29"/>
      <c r="E98" s="29"/>
    </row>
    <row r="99" spans="1:5" s="10" customFormat="1" ht="31.5" x14ac:dyDescent="0.2">
      <c r="A99" s="39" t="s">
        <v>354</v>
      </c>
      <c r="B99" s="8" t="s">
        <v>591</v>
      </c>
      <c r="C99" s="8" t="s">
        <v>541</v>
      </c>
      <c r="D99" s="1" t="s">
        <v>87</v>
      </c>
      <c r="E99" s="1" t="s">
        <v>124</v>
      </c>
    </row>
    <row r="100" spans="1:5" s="10" customFormat="1" ht="47.25" x14ac:dyDescent="0.2">
      <c r="A100" s="39" t="s">
        <v>355</v>
      </c>
      <c r="B100" s="8" t="s">
        <v>592</v>
      </c>
      <c r="C100" s="8" t="s">
        <v>13</v>
      </c>
      <c r="D100" s="1" t="s">
        <v>87</v>
      </c>
      <c r="E100" s="1" t="s">
        <v>124</v>
      </c>
    </row>
    <row r="101" spans="1:5" s="10" customFormat="1" ht="31.5" x14ac:dyDescent="0.2">
      <c r="A101" s="39" t="s">
        <v>356</v>
      </c>
      <c r="B101" s="8" t="s">
        <v>593</v>
      </c>
      <c r="C101" s="8" t="s">
        <v>14</v>
      </c>
      <c r="D101" s="1" t="s">
        <v>53</v>
      </c>
      <c r="E101" s="1">
        <v>16.27</v>
      </c>
    </row>
    <row r="102" spans="1:5" s="10" customFormat="1" x14ac:dyDescent="0.2">
      <c r="A102" s="36"/>
      <c r="B102" s="2"/>
      <c r="C102" s="2" t="s">
        <v>126</v>
      </c>
      <c r="D102" s="2"/>
      <c r="E102" s="2"/>
    </row>
    <row r="103" spans="1:5" s="10" customFormat="1" x14ac:dyDescent="0.2">
      <c r="A103" s="9"/>
      <c r="B103" s="9"/>
      <c r="C103" s="9" t="s">
        <v>15</v>
      </c>
      <c r="D103" s="1" t="s">
        <v>94</v>
      </c>
      <c r="E103" s="1" t="s">
        <v>9</v>
      </c>
    </row>
    <row r="104" spans="1:5" s="10" customFormat="1" ht="31.5" x14ac:dyDescent="0.2">
      <c r="A104" s="39" t="s">
        <v>357</v>
      </c>
      <c r="B104" s="8" t="s">
        <v>127</v>
      </c>
      <c r="C104" s="8" t="s">
        <v>18</v>
      </c>
      <c r="D104" s="1" t="s">
        <v>53</v>
      </c>
      <c r="E104" s="1">
        <v>4.3899999999999997</v>
      </c>
    </row>
    <row r="105" spans="1:5" s="10" customFormat="1" ht="31.5" x14ac:dyDescent="0.2">
      <c r="A105" s="39" t="s">
        <v>358</v>
      </c>
      <c r="B105" s="8" t="s">
        <v>257</v>
      </c>
      <c r="C105" s="8" t="s">
        <v>542</v>
      </c>
      <c r="D105" s="1" t="s">
        <v>12</v>
      </c>
      <c r="E105" s="1" t="s">
        <v>128</v>
      </c>
    </row>
    <row r="106" spans="1:5" s="10" customFormat="1" ht="31.5" x14ac:dyDescent="0.2">
      <c r="A106" s="39" t="s">
        <v>359</v>
      </c>
      <c r="B106" s="8" t="s">
        <v>258</v>
      </c>
      <c r="C106" s="8" t="s">
        <v>543</v>
      </c>
      <c r="D106" s="1" t="s">
        <v>87</v>
      </c>
      <c r="E106" s="1" t="s">
        <v>128</v>
      </c>
    </row>
    <row r="107" spans="1:5" s="10" customFormat="1" x14ac:dyDescent="0.2">
      <c r="A107" s="5" t="s">
        <v>129</v>
      </c>
      <c r="B107" s="9"/>
      <c r="C107" s="9"/>
      <c r="D107" s="9"/>
      <c r="E107" s="9"/>
    </row>
    <row r="108" spans="1:5" s="10" customFormat="1" ht="31.5" x14ac:dyDescent="0.2">
      <c r="A108" s="39" t="s">
        <v>360</v>
      </c>
      <c r="B108" s="8" t="s">
        <v>594</v>
      </c>
      <c r="C108" s="8" t="s">
        <v>546</v>
      </c>
      <c r="D108" s="1" t="s">
        <v>16</v>
      </c>
      <c r="E108" s="1" t="s">
        <v>125</v>
      </c>
    </row>
    <row r="109" spans="1:5" s="10" customFormat="1" ht="31.5" x14ac:dyDescent="0.2">
      <c r="A109" s="39" t="s">
        <v>361</v>
      </c>
      <c r="B109" s="8" t="s">
        <v>595</v>
      </c>
      <c r="C109" s="8" t="s">
        <v>545</v>
      </c>
      <c r="D109" s="1" t="s">
        <v>53</v>
      </c>
      <c r="E109" s="1" t="s">
        <v>125</v>
      </c>
    </row>
    <row r="110" spans="1:5" s="10" customFormat="1" x14ac:dyDescent="0.2">
      <c r="A110" s="39" t="s">
        <v>362</v>
      </c>
      <c r="B110" s="8" t="s">
        <v>596</v>
      </c>
      <c r="C110" s="8" t="s">
        <v>544</v>
      </c>
      <c r="D110" s="1" t="s">
        <v>16</v>
      </c>
      <c r="E110" s="1" t="s">
        <v>105</v>
      </c>
    </row>
    <row r="111" spans="1:5" s="10" customFormat="1" x14ac:dyDescent="0.2">
      <c r="A111" s="5" t="s">
        <v>284</v>
      </c>
      <c r="B111" s="9"/>
      <c r="C111" s="9"/>
      <c r="D111" s="1"/>
      <c r="E111" s="1"/>
    </row>
    <row r="112" spans="1:5" s="10" customFormat="1" x14ac:dyDescent="0.2">
      <c r="A112" s="9"/>
      <c r="B112" s="9"/>
      <c r="C112" s="5" t="s">
        <v>51</v>
      </c>
      <c r="D112" s="1"/>
      <c r="E112" s="1"/>
    </row>
    <row r="113" spans="1:5" s="10" customFormat="1" ht="31.5" x14ac:dyDescent="0.2">
      <c r="A113" s="39" t="s">
        <v>363</v>
      </c>
      <c r="B113" s="8" t="s">
        <v>597</v>
      </c>
      <c r="C113" s="8" t="s">
        <v>547</v>
      </c>
      <c r="D113" s="1" t="s">
        <v>19</v>
      </c>
      <c r="E113" s="1">
        <f>124+24+24</f>
        <v>172</v>
      </c>
    </row>
    <row r="114" spans="1:5" s="10" customFormat="1" x14ac:dyDescent="0.2">
      <c r="A114" s="36"/>
      <c r="B114" s="9"/>
      <c r="C114" s="5" t="s">
        <v>52</v>
      </c>
      <c r="D114" s="1"/>
      <c r="E114" s="1"/>
    </row>
    <row r="115" spans="1:5" s="10" customFormat="1" ht="18.75" x14ac:dyDescent="0.2">
      <c r="A115" s="39" t="s">
        <v>364</v>
      </c>
      <c r="B115" s="8" t="s">
        <v>598</v>
      </c>
      <c r="C115" s="8" t="s">
        <v>548</v>
      </c>
      <c r="D115" s="1" t="s">
        <v>53</v>
      </c>
      <c r="E115" s="1" t="s">
        <v>7</v>
      </c>
    </row>
    <row r="116" spans="1:5" s="10" customFormat="1" ht="31.5" x14ac:dyDescent="0.2">
      <c r="A116" s="39" t="s">
        <v>365</v>
      </c>
      <c r="B116" s="8" t="s">
        <v>599</v>
      </c>
      <c r="C116" s="8" t="s">
        <v>549</v>
      </c>
      <c r="D116" s="1" t="s">
        <v>10</v>
      </c>
      <c r="E116" s="1">
        <v>11</v>
      </c>
    </row>
    <row r="117" spans="1:5" s="10" customFormat="1" x14ac:dyDescent="0.2">
      <c r="A117" s="36"/>
      <c r="B117" s="2"/>
      <c r="C117" s="3" t="s">
        <v>130</v>
      </c>
      <c r="D117" s="1"/>
      <c r="E117" s="1"/>
    </row>
    <row r="118" spans="1:5" s="10" customFormat="1" x14ac:dyDescent="0.2">
      <c r="A118" s="2"/>
      <c r="B118" s="2"/>
      <c r="C118" s="2" t="s">
        <v>131</v>
      </c>
      <c r="D118" s="1"/>
      <c r="E118" s="1"/>
    </row>
    <row r="119" spans="1:5" s="10" customFormat="1" ht="31.5" x14ac:dyDescent="0.2">
      <c r="A119" s="39" t="s">
        <v>366</v>
      </c>
      <c r="B119" s="8" t="s">
        <v>259</v>
      </c>
      <c r="C119" s="2" t="s">
        <v>20</v>
      </c>
      <c r="D119" s="1" t="s">
        <v>10</v>
      </c>
      <c r="E119" s="1">
        <v>1</v>
      </c>
    </row>
    <row r="120" spans="1:5" s="10" customFormat="1" x14ac:dyDescent="0.2">
      <c r="A120" s="36"/>
      <c r="B120" s="2"/>
      <c r="C120" s="9" t="s">
        <v>132</v>
      </c>
      <c r="D120" s="1"/>
      <c r="E120" s="1"/>
    </row>
    <row r="121" spans="1:5" s="10" customFormat="1" ht="31.5" x14ac:dyDescent="0.2">
      <c r="A121" s="39" t="s">
        <v>367</v>
      </c>
      <c r="B121" s="8" t="s">
        <v>260</v>
      </c>
      <c r="C121" s="9" t="s">
        <v>21</v>
      </c>
      <c r="D121" s="1" t="s">
        <v>10</v>
      </c>
      <c r="E121" s="1">
        <v>1</v>
      </c>
    </row>
    <row r="122" spans="1:5" s="10" customFormat="1" x14ac:dyDescent="0.2">
      <c r="A122" s="36"/>
      <c r="B122" s="2"/>
      <c r="C122" s="9" t="s">
        <v>133</v>
      </c>
      <c r="D122" s="1"/>
      <c r="E122" s="1"/>
    </row>
    <row r="123" spans="1:5" s="10" customFormat="1" ht="31.5" x14ac:dyDescent="0.2">
      <c r="A123" s="39" t="s">
        <v>368</v>
      </c>
      <c r="B123" s="8" t="s">
        <v>261</v>
      </c>
      <c r="C123" s="9" t="s">
        <v>22</v>
      </c>
      <c r="D123" s="1" t="s">
        <v>10</v>
      </c>
      <c r="E123" s="1">
        <v>2</v>
      </c>
    </row>
    <row r="124" spans="1:5" s="10" customFormat="1" x14ac:dyDescent="0.2">
      <c r="A124" s="36"/>
      <c r="B124" s="2"/>
      <c r="C124" s="9" t="s">
        <v>134</v>
      </c>
      <c r="D124" s="1"/>
      <c r="E124" s="1"/>
    </row>
    <row r="125" spans="1:5" s="10" customFormat="1" ht="31.5" x14ac:dyDescent="0.2">
      <c r="A125" s="39" t="s">
        <v>369</v>
      </c>
      <c r="B125" s="8" t="s">
        <v>262</v>
      </c>
      <c r="C125" s="9" t="s">
        <v>23</v>
      </c>
      <c r="D125" s="1" t="s">
        <v>10</v>
      </c>
      <c r="E125" s="1">
        <v>2</v>
      </c>
    </row>
    <row r="126" spans="1:5" s="10" customFormat="1" x14ac:dyDescent="0.2">
      <c r="A126" s="36"/>
      <c r="B126" s="2"/>
      <c r="C126" s="2" t="s">
        <v>135</v>
      </c>
      <c r="D126" s="1"/>
      <c r="E126" s="1"/>
    </row>
    <row r="127" spans="1:5" s="10" customFormat="1" ht="31.5" x14ac:dyDescent="0.2">
      <c r="A127" s="39" t="s">
        <v>370</v>
      </c>
      <c r="B127" s="8" t="s">
        <v>263</v>
      </c>
      <c r="C127" s="9" t="s">
        <v>24</v>
      </c>
      <c r="D127" s="1" t="s">
        <v>10</v>
      </c>
      <c r="E127" s="1">
        <v>2</v>
      </c>
    </row>
    <row r="128" spans="1:5" s="10" customFormat="1" ht="31.5" x14ac:dyDescent="0.2">
      <c r="A128" s="39" t="s">
        <v>371</v>
      </c>
      <c r="B128" s="8" t="s">
        <v>264</v>
      </c>
      <c r="C128" s="8" t="s">
        <v>25</v>
      </c>
      <c r="D128" s="1" t="s">
        <v>10</v>
      </c>
      <c r="E128" s="1">
        <v>4</v>
      </c>
    </row>
    <row r="129" spans="1:5" s="10" customFormat="1" ht="31.5" x14ac:dyDescent="0.2">
      <c r="A129" s="39" t="s">
        <v>372</v>
      </c>
      <c r="B129" s="8" t="s">
        <v>265</v>
      </c>
      <c r="C129" s="9" t="s">
        <v>26</v>
      </c>
      <c r="D129" s="1" t="s">
        <v>10</v>
      </c>
      <c r="E129" s="1">
        <v>2</v>
      </c>
    </row>
    <row r="130" spans="1:5" s="10" customFormat="1" ht="31.5" x14ac:dyDescent="0.2">
      <c r="A130" s="36"/>
      <c r="B130" s="9"/>
      <c r="C130" s="7" t="s">
        <v>54</v>
      </c>
      <c r="D130" s="2"/>
      <c r="E130" s="1"/>
    </row>
    <row r="131" spans="1:5" s="10" customFormat="1" x14ac:dyDescent="0.2">
      <c r="A131" s="39" t="s">
        <v>373</v>
      </c>
      <c r="B131" s="8" t="s">
        <v>136</v>
      </c>
      <c r="C131" s="9" t="s">
        <v>137</v>
      </c>
      <c r="D131" s="71" t="s">
        <v>19</v>
      </c>
      <c r="E131" s="1">
        <f>998+186+38</f>
        <v>1222</v>
      </c>
    </row>
    <row r="132" spans="1:5" s="10" customFormat="1" ht="31.5" x14ac:dyDescent="0.2">
      <c r="A132" s="36"/>
      <c r="B132" s="2"/>
      <c r="C132" s="7" t="s">
        <v>55</v>
      </c>
      <c r="D132" s="2"/>
      <c r="E132" s="1"/>
    </row>
    <row r="133" spans="1:5" s="10" customFormat="1" x14ac:dyDescent="0.2">
      <c r="A133" s="39" t="s">
        <v>374</v>
      </c>
      <c r="B133" s="8" t="s">
        <v>136</v>
      </c>
      <c r="C133" s="9" t="s">
        <v>138</v>
      </c>
      <c r="D133" s="1" t="s">
        <v>17</v>
      </c>
      <c r="E133" s="1">
        <v>91</v>
      </c>
    </row>
    <row r="134" spans="1:5" s="10" customFormat="1" x14ac:dyDescent="0.2">
      <c r="A134" s="56" t="s">
        <v>139</v>
      </c>
      <c r="B134" s="56"/>
      <c r="C134" s="56"/>
      <c r="D134" s="13"/>
      <c r="E134" s="13"/>
    </row>
    <row r="135" spans="1:5" s="10" customFormat="1" x14ac:dyDescent="0.2">
      <c r="A135" s="69" t="s">
        <v>228</v>
      </c>
      <c r="B135" s="69"/>
      <c r="C135" s="69"/>
      <c r="D135" s="13"/>
      <c r="E135" s="13"/>
    </row>
    <row r="136" spans="1:5" s="10" customFormat="1" x14ac:dyDescent="0.25">
      <c r="A136" s="19"/>
      <c r="B136" s="20"/>
      <c r="C136" s="31" t="s">
        <v>229</v>
      </c>
      <c r="D136" s="13"/>
      <c r="E136" s="13"/>
    </row>
    <row r="137" spans="1:5" s="10" customFormat="1" x14ac:dyDescent="0.25">
      <c r="A137" s="19"/>
      <c r="B137" s="20"/>
      <c r="C137" s="21" t="s">
        <v>140</v>
      </c>
      <c r="D137" s="13"/>
      <c r="E137" s="13"/>
    </row>
    <row r="138" spans="1:5" s="10" customFormat="1" x14ac:dyDescent="0.2">
      <c r="A138" s="39" t="s">
        <v>375</v>
      </c>
      <c r="B138" s="13" t="s">
        <v>480</v>
      </c>
      <c r="C138" s="14" t="s">
        <v>524</v>
      </c>
      <c r="D138" s="13" t="s">
        <v>6</v>
      </c>
      <c r="E138" s="13">
        <v>19.71</v>
      </c>
    </row>
    <row r="139" spans="1:5" s="10" customFormat="1" x14ac:dyDescent="0.2">
      <c r="A139" s="39" t="s">
        <v>376</v>
      </c>
      <c r="B139" s="13" t="s">
        <v>480</v>
      </c>
      <c r="C139" s="14" t="s">
        <v>550</v>
      </c>
      <c r="D139" s="13" t="s">
        <v>6</v>
      </c>
      <c r="E139" s="13">
        <v>63.51</v>
      </c>
    </row>
    <row r="140" spans="1:5" s="10" customFormat="1" x14ac:dyDescent="0.2">
      <c r="A140" s="39" t="s">
        <v>377</v>
      </c>
      <c r="B140" s="13" t="s">
        <v>481</v>
      </c>
      <c r="C140" s="14" t="s">
        <v>526</v>
      </c>
      <c r="D140" s="13" t="s">
        <v>6</v>
      </c>
      <c r="E140" s="13">
        <v>63.51</v>
      </c>
    </row>
    <row r="141" spans="1:5" s="10" customFormat="1" ht="31.5" x14ac:dyDescent="0.2">
      <c r="A141" s="39" t="s">
        <v>378</v>
      </c>
      <c r="B141" s="13" t="s">
        <v>482</v>
      </c>
      <c r="C141" s="14" t="s">
        <v>141</v>
      </c>
      <c r="D141" s="13" t="s">
        <v>6</v>
      </c>
      <c r="E141" s="22">
        <f>146.73*1.01</f>
        <v>148.19999999999999</v>
      </c>
    </row>
    <row r="142" spans="1:5" s="10" customFormat="1" ht="31.5" x14ac:dyDescent="0.2">
      <c r="A142" s="39" t="s">
        <v>379</v>
      </c>
      <c r="B142" s="13" t="s">
        <v>484</v>
      </c>
      <c r="C142" s="14" t="s">
        <v>527</v>
      </c>
      <c r="D142" s="13" t="s">
        <v>6</v>
      </c>
      <c r="E142" s="13">
        <v>59.7</v>
      </c>
    </row>
    <row r="143" spans="1:5" s="10" customFormat="1" x14ac:dyDescent="0.2">
      <c r="A143" s="39" t="s">
        <v>380</v>
      </c>
      <c r="B143" s="13" t="s">
        <v>483</v>
      </c>
      <c r="C143" s="14" t="s">
        <v>232</v>
      </c>
      <c r="D143" s="13" t="s">
        <v>10</v>
      </c>
      <c r="E143" s="13">
        <v>67</v>
      </c>
    </row>
    <row r="144" spans="1:5" s="10" customFormat="1" ht="31.5" x14ac:dyDescent="0.2">
      <c r="A144" s="39" t="s">
        <v>381</v>
      </c>
      <c r="B144" s="13" t="s">
        <v>485</v>
      </c>
      <c r="C144" s="14" t="s">
        <v>209</v>
      </c>
      <c r="D144" s="13" t="s">
        <v>6</v>
      </c>
      <c r="E144" s="13">
        <v>19.273399999999999</v>
      </c>
    </row>
    <row r="145" spans="1:5" s="10" customFormat="1" ht="31.5" x14ac:dyDescent="0.2">
      <c r="A145" s="39" t="s">
        <v>382</v>
      </c>
      <c r="B145" s="13" t="s">
        <v>266</v>
      </c>
      <c r="C145" s="14" t="s">
        <v>233</v>
      </c>
      <c r="D145" s="13" t="s">
        <v>11</v>
      </c>
      <c r="E145" s="13">
        <v>155.44</v>
      </c>
    </row>
    <row r="146" spans="1:5" s="10" customFormat="1" ht="31.5" x14ac:dyDescent="0.2">
      <c r="A146" s="39" t="s">
        <v>383</v>
      </c>
      <c r="B146" s="13" t="s">
        <v>486</v>
      </c>
      <c r="C146" s="14" t="s">
        <v>142</v>
      </c>
      <c r="D146" s="13" t="s">
        <v>6</v>
      </c>
      <c r="E146" s="13">
        <v>2.81</v>
      </c>
    </row>
    <row r="147" spans="1:5" s="10" customFormat="1" ht="31.5" x14ac:dyDescent="0.2">
      <c r="A147" s="39" t="s">
        <v>384</v>
      </c>
      <c r="B147" s="13" t="s">
        <v>487</v>
      </c>
      <c r="C147" s="14" t="s">
        <v>214</v>
      </c>
      <c r="D147" s="13" t="s">
        <v>6</v>
      </c>
      <c r="E147" s="13">
        <v>4.6327999999999996</v>
      </c>
    </row>
    <row r="148" spans="1:5" s="10" customFormat="1" x14ac:dyDescent="0.2">
      <c r="A148" s="36"/>
      <c r="B148" s="13"/>
      <c r="C148" s="23" t="s">
        <v>143</v>
      </c>
      <c r="D148" s="13"/>
      <c r="E148" s="13"/>
    </row>
    <row r="149" spans="1:5" s="10" customFormat="1" ht="31.5" x14ac:dyDescent="0.2">
      <c r="A149" s="39" t="s">
        <v>385</v>
      </c>
      <c r="B149" s="13" t="s">
        <v>488</v>
      </c>
      <c r="C149" s="14" t="s">
        <v>144</v>
      </c>
      <c r="D149" s="13" t="s">
        <v>11</v>
      </c>
      <c r="E149" s="13">
        <v>237</v>
      </c>
    </row>
    <row r="150" spans="1:5" s="10" customFormat="1" ht="31.5" x14ac:dyDescent="0.2">
      <c r="A150" s="39" t="s">
        <v>386</v>
      </c>
      <c r="B150" s="13" t="s">
        <v>489</v>
      </c>
      <c r="C150" s="14" t="s">
        <v>145</v>
      </c>
      <c r="D150" s="13" t="s">
        <v>6</v>
      </c>
      <c r="E150" s="13">
        <v>8.9789999999999995E-2</v>
      </c>
    </row>
    <row r="151" spans="1:5" s="10" customFormat="1" ht="31.5" x14ac:dyDescent="0.2">
      <c r="A151" s="39" t="s">
        <v>387</v>
      </c>
      <c r="B151" s="13" t="s">
        <v>490</v>
      </c>
      <c r="C151" s="14" t="s">
        <v>146</v>
      </c>
      <c r="D151" s="13" t="s">
        <v>6</v>
      </c>
      <c r="E151" s="13">
        <v>0.54479999999999995</v>
      </c>
    </row>
    <row r="152" spans="1:5" s="10" customFormat="1" ht="31.5" x14ac:dyDescent="0.2">
      <c r="A152" s="39" t="s">
        <v>388</v>
      </c>
      <c r="B152" s="13" t="s">
        <v>491</v>
      </c>
      <c r="C152" s="14" t="s">
        <v>147</v>
      </c>
      <c r="D152" s="13" t="s">
        <v>11</v>
      </c>
      <c r="E152" s="13">
        <v>4.2</v>
      </c>
    </row>
    <row r="153" spans="1:5" s="10" customFormat="1" x14ac:dyDescent="0.25">
      <c r="A153" s="36"/>
      <c r="B153" s="20"/>
      <c r="C153" s="23" t="s">
        <v>148</v>
      </c>
      <c r="D153" s="13"/>
      <c r="E153" s="13"/>
    </row>
    <row r="154" spans="1:5" s="10" customFormat="1" ht="31.5" x14ac:dyDescent="0.2">
      <c r="A154" s="39" t="s">
        <v>389</v>
      </c>
      <c r="B154" s="13" t="s">
        <v>492</v>
      </c>
      <c r="C154" s="14" t="s">
        <v>149</v>
      </c>
      <c r="D154" s="13" t="s">
        <v>6</v>
      </c>
      <c r="E154" s="13">
        <v>4.5999999999999996</v>
      </c>
    </row>
    <row r="155" spans="1:5" s="10" customFormat="1" x14ac:dyDescent="0.2">
      <c r="A155" s="39" t="s">
        <v>390</v>
      </c>
      <c r="B155" s="13" t="s">
        <v>493</v>
      </c>
      <c r="C155" s="14" t="s">
        <v>150</v>
      </c>
      <c r="D155" s="13" t="s">
        <v>16</v>
      </c>
      <c r="E155" s="13">
        <v>4</v>
      </c>
    </row>
    <row r="156" spans="1:5" s="10" customFormat="1" ht="31.5" x14ac:dyDescent="0.2">
      <c r="A156" s="39" t="s">
        <v>391</v>
      </c>
      <c r="B156" s="13" t="s">
        <v>494</v>
      </c>
      <c r="C156" s="14" t="s">
        <v>151</v>
      </c>
      <c r="D156" s="13" t="s">
        <v>19</v>
      </c>
      <c r="E156" s="13">
        <v>75.599999999999994</v>
      </c>
    </row>
    <row r="157" spans="1:5" s="10" customFormat="1" x14ac:dyDescent="0.2">
      <c r="A157" s="39" t="s">
        <v>392</v>
      </c>
      <c r="B157" s="13" t="s">
        <v>495</v>
      </c>
      <c r="C157" s="14" t="s">
        <v>152</v>
      </c>
      <c r="D157" s="13" t="s">
        <v>10</v>
      </c>
      <c r="E157" s="13">
        <v>4</v>
      </c>
    </row>
    <row r="158" spans="1:5" s="10" customFormat="1" x14ac:dyDescent="0.2">
      <c r="A158" s="39" t="s">
        <v>393</v>
      </c>
      <c r="B158" s="4" t="s">
        <v>496</v>
      </c>
      <c r="C158" s="14" t="s">
        <v>153</v>
      </c>
      <c r="D158" s="70" t="s">
        <v>34</v>
      </c>
      <c r="E158" s="13">
        <v>6</v>
      </c>
    </row>
    <row r="159" spans="1:5" s="10" customFormat="1" x14ac:dyDescent="0.25">
      <c r="A159" s="36"/>
      <c r="B159" s="20"/>
      <c r="C159" s="23" t="s">
        <v>154</v>
      </c>
      <c r="D159" s="13"/>
      <c r="E159" s="13"/>
    </row>
    <row r="160" spans="1:5" s="10" customFormat="1" ht="31.5" x14ac:dyDescent="0.2">
      <c r="A160" s="39" t="s">
        <v>394</v>
      </c>
      <c r="B160" s="13" t="s">
        <v>497</v>
      </c>
      <c r="C160" s="14" t="s">
        <v>155</v>
      </c>
      <c r="D160" s="13" t="s">
        <v>11</v>
      </c>
      <c r="E160" s="13">
        <v>11</v>
      </c>
    </row>
    <row r="161" spans="1:5" s="10" customFormat="1" ht="31.5" x14ac:dyDescent="0.2">
      <c r="A161" s="39" t="s">
        <v>395</v>
      </c>
      <c r="B161" s="13" t="s">
        <v>498</v>
      </c>
      <c r="C161" s="14" t="s">
        <v>156</v>
      </c>
      <c r="D161" s="13" t="s">
        <v>11</v>
      </c>
      <c r="E161" s="13">
        <v>55</v>
      </c>
    </row>
    <row r="162" spans="1:5" x14ac:dyDescent="0.25">
      <c r="A162" s="36"/>
      <c r="B162" s="20"/>
      <c r="C162" s="23" t="s">
        <v>157</v>
      </c>
      <c r="D162" s="13"/>
      <c r="E162" s="13"/>
    </row>
    <row r="163" spans="1:5" ht="31.5" x14ac:dyDescent="0.2">
      <c r="A163" s="39" t="s">
        <v>396</v>
      </c>
      <c r="B163" s="13" t="s">
        <v>499</v>
      </c>
      <c r="C163" s="14" t="s">
        <v>158</v>
      </c>
      <c r="D163" s="13" t="s">
        <v>11</v>
      </c>
      <c r="E163" s="13">
        <v>822</v>
      </c>
    </row>
    <row r="164" spans="1:5" x14ac:dyDescent="0.2">
      <c r="A164" s="36"/>
      <c r="B164" s="13"/>
      <c r="C164" s="23" t="s">
        <v>93</v>
      </c>
      <c r="D164" s="13"/>
      <c r="E164" s="13"/>
    </row>
    <row r="165" spans="1:5" x14ac:dyDescent="0.2">
      <c r="A165" s="39" t="s">
        <v>397</v>
      </c>
      <c r="B165" s="13" t="s">
        <v>500</v>
      </c>
      <c r="C165" s="14" t="s">
        <v>93</v>
      </c>
      <c r="D165" s="13" t="s">
        <v>19</v>
      </c>
      <c r="E165" s="16">
        <v>29.2</v>
      </c>
    </row>
    <row r="166" spans="1:5" ht="31.5" x14ac:dyDescent="0.2">
      <c r="A166" s="36"/>
      <c r="B166" s="13"/>
      <c r="C166" s="23" t="s">
        <v>159</v>
      </c>
      <c r="D166" s="13"/>
      <c r="E166" s="13"/>
    </row>
    <row r="167" spans="1:5" x14ac:dyDescent="0.2">
      <c r="A167" s="39" t="s">
        <v>398</v>
      </c>
      <c r="B167" s="13" t="s">
        <v>501</v>
      </c>
      <c r="C167" s="14" t="s">
        <v>600</v>
      </c>
      <c r="D167" s="13" t="s">
        <v>6</v>
      </c>
      <c r="E167" s="13">
        <v>29.32</v>
      </c>
    </row>
    <row r="168" spans="1:5" ht="31.5" x14ac:dyDescent="0.2">
      <c r="A168" s="39" t="s">
        <v>399</v>
      </c>
      <c r="B168" s="13" t="s">
        <v>502</v>
      </c>
      <c r="C168" s="14" t="s">
        <v>160</v>
      </c>
      <c r="D168" s="13" t="s">
        <v>17</v>
      </c>
      <c r="E168" s="13">
        <v>239</v>
      </c>
    </row>
    <row r="169" spans="1:5" x14ac:dyDescent="0.2">
      <c r="A169" s="39" t="s">
        <v>400</v>
      </c>
      <c r="B169" s="13" t="s">
        <v>503</v>
      </c>
      <c r="C169" s="14" t="s">
        <v>161</v>
      </c>
      <c r="D169" s="13" t="s">
        <v>17</v>
      </c>
      <c r="E169" s="13">
        <v>239</v>
      </c>
    </row>
    <row r="170" spans="1:5" ht="31.5" x14ac:dyDescent="0.2">
      <c r="A170" s="39" t="s">
        <v>401</v>
      </c>
      <c r="B170" s="13" t="s">
        <v>504</v>
      </c>
      <c r="C170" s="14" t="s">
        <v>162</v>
      </c>
      <c r="D170" s="13" t="s">
        <v>17</v>
      </c>
      <c r="E170" s="13">
        <v>108.2</v>
      </c>
    </row>
    <row r="171" spans="1:5" x14ac:dyDescent="0.2">
      <c r="A171" s="36"/>
      <c r="B171" s="4"/>
      <c r="C171" s="30" t="s">
        <v>215</v>
      </c>
      <c r="D171" s="4"/>
      <c r="E171" s="4"/>
    </row>
    <row r="172" spans="1:5" ht="31.5" x14ac:dyDescent="0.2">
      <c r="A172" s="39" t="s">
        <v>402</v>
      </c>
      <c r="B172" s="13" t="s">
        <v>505</v>
      </c>
      <c r="C172" s="14" t="s">
        <v>213</v>
      </c>
      <c r="D172" s="13" t="s">
        <v>6</v>
      </c>
      <c r="E172" s="16">
        <v>6.0148999999999999</v>
      </c>
    </row>
    <row r="173" spans="1:5" s="35" customFormat="1" ht="31.5" x14ac:dyDescent="0.2">
      <c r="A173" s="39" t="s">
        <v>403</v>
      </c>
      <c r="B173" s="4" t="s">
        <v>506</v>
      </c>
      <c r="C173" s="8" t="s">
        <v>290</v>
      </c>
      <c r="D173" s="4" t="s">
        <v>11</v>
      </c>
      <c r="E173" s="1">
        <v>90</v>
      </c>
    </row>
    <row r="174" spans="1:5" ht="31.5" x14ac:dyDescent="0.2">
      <c r="A174" s="39" t="s">
        <v>404</v>
      </c>
      <c r="B174" s="13" t="s">
        <v>507</v>
      </c>
      <c r="C174" s="14" t="s">
        <v>163</v>
      </c>
      <c r="D174" s="13" t="s">
        <v>6</v>
      </c>
      <c r="E174" s="13">
        <v>0.79139999999999999</v>
      </c>
    </row>
    <row r="175" spans="1:5" ht="31.5" x14ac:dyDescent="0.2">
      <c r="A175" s="39" t="s">
        <v>405</v>
      </c>
      <c r="B175" s="13" t="s">
        <v>508</v>
      </c>
      <c r="C175" s="14" t="s">
        <v>164</v>
      </c>
      <c r="D175" s="13" t="s">
        <v>11</v>
      </c>
      <c r="E175" s="13">
        <v>16</v>
      </c>
    </row>
    <row r="176" spans="1:5" ht="31.5" x14ac:dyDescent="0.2">
      <c r="A176" s="39" t="s">
        <v>406</v>
      </c>
      <c r="B176" s="13" t="s">
        <v>267</v>
      </c>
      <c r="C176" s="14" t="s">
        <v>165</v>
      </c>
      <c r="D176" s="13" t="s">
        <v>11</v>
      </c>
      <c r="E176" s="16">
        <v>8.1</v>
      </c>
    </row>
    <row r="177" spans="1:5" x14ac:dyDescent="0.2">
      <c r="A177" s="39" t="s">
        <v>407</v>
      </c>
      <c r="B177" s="13" t="s">
        <v>509</v>
      </c>
      <c r="C177" s="25" t="s">
        <v>166</v>
      </c>
      <c r="D177" s="13" t="s">
        <v>16</v>
      </c>
      <c r="E177" s="16">
        <v>4</v>
      </c>
    </row>
    <row r="178" spans="1:5" x14ac:dyDescent="0.2">
      <c r="A178" s="39" t="s">
        <v>408</v>
      </c>
      <c r="B178" s="13" t="s">
        <v>510</v>
      </c>
      <c r="C178" s="25" t="s">
        <v>167</v>
      </c>
      <c r="D178" s="13" t="s">
        <v>19</v>
      </c>
      <c r="E178" s="16">
        <v>5.2</v>
      </c>
    </row>
    <row r="179" spans="1:5" ht="31.5" x14ac:dyDescent="0.2">
      <c r="A179" s="39" t="s">
        <v>409</v>
      </c>
      <c r="B179" s="13" t="s">
        <v>511</v>
      </c>
      <c r="C179" s="14" t="s">
        <v>168</v>
      </c>
      <c r="D179" s="13" t="s">
        <v>11</v>
      </c>
      <c r="E179" s="13">
        <v>328</v>
      </c>
    </row>
    <row r="180" spans="1:5" x14ac:dyDescent="0.2">
      <c r="A180" s="36"/>
      <c r="B180" s="13"/>
      <c r="C180" s="34" t="s">
        <v>273</v>
      </c>
      <c r="D180" s="13"/>
      <c r="E180" s="13"/>
    </row>
    <row r="181" spans="1:5" ht="31.5" x14ac:dyDescent="0.2">
      <c r="A181" s="39" t="s">
        <v>410</v>
      </c>
      <c r="B181" s="13" t="s">
        <v>512</v>
      </c>
      <c r="C181" s="14" t="s">
        <v>169</v>
      </c>
      <c r="D181" s="13" t="s">
        <v>16</v>
      </c>
      <c r="E181" s="16">
        <v>5</v>
      </c>
    </row>
    <row r="182" spans="1:5" hidden="1" x14ac:dyDescent="0.2">
      <c r="A182" s="32"/>
      <c r="B182" s="4"/>
      <c r="C182" s="52"/>
      <c r="D182" s="4"/>
      <c r="E182" s="1"/>
    </row>
    <row r="183" spans="1:5" hidden="1" x14ac:dyDescent="0.2">
      <c r="A183" s="32"/>
      <c r="B183" s="4"/>
      <c r="C183" s="52"/>
      <c r="D183" s="4"/>
      <c r="E183" s="1"/>
    </row>
    <row r="184" spans="1:5" x14ac:dyDescent="0.2">
      <c r="A184" s="56" t="s">
        <v>274</v>
      </c>
      <c r="B184" s="56"/>
      <c r="C184" s="56"/>
      <c r="D184" s="13"/>
      <c r="E184" s="16"/>
    </row>
    <row r="185" spans="1:5" ht="47.25" x14ac:dyDescent="0.2">
      <c r="A185" s="39" t="s">
        <v>411</v>
      </c>
      <c r="B185" s="13" t="s">
        <v>601</v>
      </c>
      <c r="C185" s="14" t="s">
        <v>170</v>
      </c>
      <c r="D185" s="13" t="s">
        <v>11</v>
      </c>
      <c r="E185" s="16">
        <v>5740</v>
      </c>
    </row>
    <row r="186" spans="1:5" x14ac:dyDescent="0.2">
      <c r="A186" s="56" t="s">
        <v>275</v>
      </c>
      <c r="B186" s="56"/>
      <c r="C186" s="56"/>
      <c r="D186" s="13"/>
      <c r="E186" s="16"/>
    </row>
    <row r="187" spans="1:5" ht="31.5" x14ac:dyDescent="0.2">
      <c r="A187" s="39" t="s">
        <v>412</v>
      </c>
      <c r="B187" s="8" t="s">
        <v>268</v>
      </c>
      <c r="C187" s="8" t="s">
        <v>27</v>
      </c>
      <c r="D187" s="1" t="s">
        <v>16</v>
      </c>
      <c r="E187" s="1">
        <v>1</v>
      </c>
    </row>
    <row r="188" spans="1:5" x14ac:dyDescent="0.2">
      <c r="A188" s="56" t="s">
        <v>608</v>
      </c>
      <c r="B188" s="56"/>
      <c r="C188" s="56"/>
      <c r="D188" s="13"/>
      <c r="E188" s="13"/>
    </row>
    <row r="189" spans="1:5" x14ac:dyDescent="0.2">
      <c r="A189" s="56" t="s">
        <v>607</v>
      </c>
      <c r="B189" s="56"/>
      <c r="C189" s="56"/>
      <c r="D189" s="13"/>
      <c r="E189" s="13"/>
    </row>
    <row r="190" spans="1:5" x14ac:dyDescent="0.2">
      <c r="A190" s="39" t="s">
        <v>413</v>
      </c>
      <c r="B190" s="13" t="s">
        <v>513</v>
      </c>
      <c r="C190" s="14" t="s">
        <v>551</v>
      </c>
      <c r="D190" s="13" t="s">
        <v>11</v>
      </c>
      <c r="E190" s="13">
        <v>250</v>
      </c>
    </row>
    <row r="191" spans="1:5" x14ac:dyDescent="0.2">
      <c r="A191" s="39" t="s">
        <v>414</v>
      </c>
      <c r="B191" s="13" t="s">
        <v>602</v>
      </c>
      <c r="C191" s="14" t="s">
        <v>552</v>
      </c>
      <c r="D191" s="13" t="s">
        <v>11</v>
      </c>
      <c r="E191" s="13">
        <v>340</v>
      </c>
    </row>
    <row r="192" spans="1:5" x14ac:dyDescent="0.2">
      <c r="A192" s="39" t="s">
        <v>415</v>
      </c>
      <c r="B192" s="13" t="s">
        <v>603</v>
      </c>
      <c r="C192" s="14" t="s">
        <v>553</v>
      </c>
      <c r="D192" s="13" t="s">
        <v>11</v>
      </c>
      <c r="E192" s="13">
        <v>340</v>
      </c>
    </row>
    <row r="193" spans="1:5" x14ac:dyDescent="0.2">
      <c r="A193" s="39" t="s">
        <v>416</v>
      </c>
      <c r="B193" s="13" t="s">
        <v>604</v>
      </c>
      <c r="C193" s="14" t="s">
        <v>171</v>
      </c>
      <c r="D193" s="13" t="s">
        <v>17</v>
      </c>
      <c r="E193" s="13">
        <v>1819</v>
      </c>
    </row>
    <row r="194" spans="1:5" ht="47.25" x14ac:dyDescent="0.2">
      <c r="A194" s="39" t="s">
        <v>417</v>
      </c>
      <c r="B194" s="13" t="s">
        <v>605</v>
      </c>
      <c r="C194" s="14" t="s">
        <v>172</v>
      </c>
      <c r="D194" s="13" t="s">
        <v>17</v>
      </c>
      <c r="E194" s="13">
        <v>88</v>
      </c>
    </row>
    <row r="195" spans="1:5" x14ac:dyDescent="0.2">
      <c r="A195" s="36"/>
      <c r="B195" s="13"/>
      <c r="C195" s="23" t="s">
        <v>173</v>
      </c>
      <c r="D195" s="13"/>
      <c r="E195" s="13"/>
    </row>
    <row r="196" spans="1:5" ht="31.5" x14ac:dyDescent="0.2">
      <c r="A196" s="39" t="s">
        <v>418</v>
      </c>
      <c r="B196" s="13" t="s">
        <v>606</v>
      </c>
      <c r="C196" s="14" t="s">
        <v>174</v>
      </c>
      <c r="D196" s="13" t="s">
        <v>17</v>
      </c>
      <c r="E196" s="13">
        <v>1535</v>
      </c>
    </row>
    <row r="197" spans="1:5" x14ac:dyDescent="0.2">
      <c r="A197" s="56" t="s">
        <v>276</v>
      </c>
      <c r="B197" s="56"/>
      <c r="C197" s="56"/>
      <c r="D197" s="13"/>
      <c r="E197" s="13"/>
    </row>
    <row r="198" spans="1:5" x14ac:dyDescent="0.2">
      <c r="A198" s="19"/>
      <c r="B198" s="13"/>
      <c r="C198" s="23" t="s">
        <v>175</v>
      </c>
      <c r="D198" s="13"/>
      <c r="E198" s="13"/>
    </row>
    <row r="199" spans="1:5" x14ac:dyDescent="0.2">
      <c r="A199" s="39" t="s">
        <v>419</v>
      </c>
      <c r="B199" s="13" t="s">
        <v>610</v>
      </c>
      <c r="C199" s="14" t="s">
        <v>554</v>
      </c>
      <c r="D199" s="13" t="s">
        <v>11</v>
      </c>
      <c r="E199" s="13">
        <v>100</v>
      </c>
    </row>
    <row r="200" spans="1:5" ht="31.5" x14ac:dyDescent="0.2">
      <c r="A200" s="39" t="s">
        <v>420</v>
      </c>
      <c r="B200" s="13" t="s">
        <v>611</v>
      </c>
      <c r="C200" s="14" t="s">
        <v>555</v>
      </c>
      <c r="D200" s="13" t="s">
        <v>11</v>
      </c>
      <c r="E200" s="13">
        <v>10</v>
      </c>
    </row>
    <row r="201" spans="1:5" ht="31.5" x14ac:dyDescent="0.2">
      <c r="A201" s="39" t="s">
        <v>421</v>
      </c>
      <c r="B201" s="13" t="s">
        <v>612</v>
      </c>
      <c r="C201" s="14" t="s">
        <v>539</v>
      </c>
      <c r="D201" s="13" t="s">
        <v>11</v>
      </c>
      <c r="E201" s="13">
        <v>10</v>
      </c>
    </row>
    <row r="202" spans="1:5" ht="47.25" x14ac:dyDescent="0.2">
      <c r="A202" s="39" t="s">
        <v>422</v>
      </c>
      <c r="B202" s="13" t="s">
        <v>613</v>
      </c>
      <c r="C202" s="14" t="s">
        <v>556</v>
      </c>
      <c r="D202" s="13" t="s">
        <v>11</v>
      </c>
      <c r="E202" s="13">
        <v>140</v>
      </c>
    </row>
    <row r="203" spans="1:5" x14ac:dyDescent="0.2">
      <c r="A203" s="39" t="s">
        <v>423</v>
      </c>
      <c r="B203" s="13" t="s">
        <v>614</v>
      </c>
      <c r="C203" s="14" t="s">
        <v>176</v>
      </c>
      <c r="D203" s="13" t="s">
        <v>17</v>
      </c>
      <c r="E203" s="13">
        <v>712</v>
      </c>
    </row>
    <row r="204" spans="1:5" ht="31.5" x14ac:dyDescent="0.2">
      <c r="A204" s="39" t="s">
        <v>424</v>
      </c>
      <c r="B204" s="13" t="s">
        <v>615</v>
      </c>
      <c r="C204" s="14" t="s">
        <v>177</v>
      </c>
      <c r="D204" s="13" t="s">
        <v>17</v>
      </c>
      <c r="E204" s="13">
        <v>203</v>
      </c>
    </row>
    <row r="205" spans="1:5" ht="31.5" x14ac:dyDescent="0.2">
      <c r="A205" s="39" t="s">
        <v>425</v>
      </c>
      <c r="B205" s="13" t="s">
        <v>616</v>
      </c>
      <c r="C205" s="14" t="s">
        <v>174</v>
      </c>
      <c r="D205" s="13" t="s">
        <v>17</v>
      </c>
      <c r="E205" s="13">
        <v>571</v>
      </c>
    </row>
    <row r="206" spans="1:5" x14ac:dyDescent="0.2">
      <c r="A206" s="56" t="s">
        <v>277</v>
      </c>
      <c r="B206" s="56"/>
      <c r="C206" s="56"/>
      <c r="D206" s="13"/>
      <c r="E206" s="13"/>
    </row>
    <row r="207" spans="1:5" x14ac:dyDescent="0.2">
      <c r="A207" s="39" t="s">
        <v>426</v>
      </c>
      <c r="B207" s="13" t="s">
        <v>617</v>
      </c>
      <c r="C207" s="14" t="s">
        <v>551</v>
      </c>
      <c r="D207" s="13" t="s">
        <v>11</v>
      </c>
      <c r="E207" s="13">
        <v>50</v>
      </c>
    </row>
    <row r="208" spans="1:5" x14ac:dyDescent="0.2">
      <c r="A208" s="39" t="s">
        <v>427</v>
      </c>
      <c r="B208" s="13" t="s">
        <v>618</v>
      </c>
      <c r="C208" s="14" t="s">
        <v>557</v>
      </c>
      <c r="D208" s="13" t="s">
        <v>11</v>
      </c>
      <c r="E208" s="13">
        <v>30</v>
      </c>
    </row>
    <row r="209" spans="1:5" x14ac:dyDescent="0.2">
      <c r="A209" s="39" t="s">
        <v>428</v>
      </c>
      <c r="B209" s="13" t="s">
        <v>619</v>
      </c>
      <c r="C209" s="14" t="s">
        <v>553</v>
      </c>
      <c r="D209" s="13" t="s">
        <v>11</v>
      </c>
      <c r="E209" s="13">
        <v>30</v>
      </c>
    </row>
    <row r="210" spans="1:5" ht="63" x14ac:dyDescent="0.2">
      <c r="A210" s="39" t="s">
        <v>429</v>
      </c>
      <c r="B210" s="13" t="s">
        <v>620</v>
      </c>
      <c r="C210" s="14" t="s">
        <v>178</v>
      </c>
      <c r="D210" s="13" t="s">
        <v>11</v>
      </c>
      <c r="E210" s="13">
        <v>15</v>
      </c>
    </row>
    <row r="211" spans="1:5" x14ac:dyDescent="0.2">
      <c r="A211" s="36"/>
      <c r="B211" s="13"/>
      <c r="C211" s="23" t="s">
        <v>179</v>
      </c>
      <c r="D211" s="13"/>
      <c r="E211" s="13"/>
    </row>
    <row r="212" spans="1:5" x14ac:dyDescent="0.2">
      <c r="A212" s="39" t="s">
        <v>430</v>
      </c>
      <c r="B212" s="13" t="s">
        <v>621</v>
      </c>
      <c r="C212" s="14" t="s">
        <v>180</v>
      </c>
      <c r="D212" s="13" t="s">
        <v>17</v>
      </c>
      <c r="E212" s="13">
        <v>388</v>
      </c>
    </row>
    <row r="213" spans="1:5" ht="31.5" x14ac:dyDescent="0.2">
      <c r="A213" s="39" t="s">
        <v>431</v>
      </c>
      <c r="B213" s="13" t="s">
        <v>622</v>
      </c>
      <c r="C213" s="14" t="s">
        <v>177</v>
      </c>
      <c r="D213" s="13" t="s">
        <v>17</v>
      </c>
      <c r="E213" s="13">
        <v>40</v>
      </c>
    </row>
    <row r="214" spans="1:5" x14ac:dyDescent="0.2">
      <c r="A214" s="36"/>
      <c r="B214" s="4"/>
      <c r="C214" s="33" t="s">
        <v>181</v>
      </c>
      <c r="D214" s="4"/>
      <c r="E214" s="4"/>
    </row>
    <row r="215" spans="1:5" ht="31.5" x14ac:dyDescent="0.2">
      <c r="A215" s="39" t="s">
        <v>432</v>
      </c>
      <c r="B215" s="4" t="s">
        <v>623</v>
      </c>
      <c r="C215" s="8" t="s">
        <v>174</v>
      </c>
      <c r="D215" s="4" t="s">
        <v>17</v>
      </c>
      <c r="E215" s="4">
        <v>303</v>
      </c>
    </row>
    <row r="216" spans="1:5" x14ac:dyDescent="0.2">
      <c r="A216" s="66" t="s">
        <v>278</v>
      </c>
      <c r="B216" s="66"/>
      <c r="C216" s="66"/>
      <c r="D216" s="4"/>
      <c r="E216" s="4"/>
    </row>
    <row r="217" spans="1:5" ht="31.5" x14ac:dyDescent="0.2">
      <c r="A217" s="39" t="s">
        <v>433</v>
      </c>
      <c r="B217" s="4" t="s">
        <v>624</v>
      </c>
      <c r="C217" s="8" t="s">
        <v>182</v>
      </c>
      <c r="D217" s="4" t="s">
        <v>17</v>
      </c>
      <c r="E217" s="4">
        <v>20</v>
      </c>
    </row>
    <row r="218" spans="1:5" ht="31.5" x14ac:dyDescent="0.2">
      <c r="A218" s="39" t="s">
        <v>434</v>
      </c>
      <c r="B218" s="4" t="s">
        <v>625</v>
      </c>
      <c r="C218" s="8" t="s">
        <v>559</v>
      </c>
      <c r="D218" s="4" t="s">
        <v>19</v>
      </c>
      <c r="E218" s="4">
        <v>23</v>
      </c>
    </row>
    <row r="219" spans="1:5" x14ac:dyDescent="0.2">
      <c r="A219" s="66" t="s">
        <v>279</v>
      </c>
      <c r="B219" s="66"/>
      <c r="C219" s="66"/>
      <c r="D219" s="4"/>
      <c r="E219" s="4"/>
    </row>
    <row r="220" spans="1:5" ht="31.5" x14ac:dyDescent="0.2">
      <c r="A220" s="39" t="s">
        <v>435</v>
      </c>
      <c r="B220" s="4" t="s">
        <v>626</v>
      </c>
      <c r="C220" s="8" t="s">
        <v>558</v>
      </c>
      <c r="D220" s="4" t="s">
        <v>16</v>
      </c>
      <c r="E220" s="4">
        <v>11</v>
      </c>
    </row>
    <row r="221" spans="1:5" ht="31.5" x14ac:dyDescent="0.2">
      <c r="A221" s="39" t="s">
        <v>436</v>
      </c>
      <c r="B221" s="4" t="s">
        <v>627</v>
      </c>
      <c r="C221" s="8" t="s">
        <v>609</v>
      </c>
      <c r="D221" s="4" t="s">
        <v>11</v>
      </c>
      <c r="E221" s="4">
        <v>3</v>
      </c>
    </row>
    <row r="222" spans="1:5" ht="40.5" customHeight="1" x14ac:dyDescent="0.2">
      <c r="A222" s="39" t="s">
        <v>437</v>
      </c>
      <c r="B222" s="4" t="s">
        <v>628</v>
      </c>
      <c r="C222" s="8" t="s">
        <v>560</v>
      </c>
      <c r="D222" s="4" t="s">
        <v>16</v>
      </c>
      <c r="E222" s="4">
        <v>44</v>
      </c>
    </row>
    <row r="223" spans="1:5" x14ac:dyDescent="0.2">
      <c r="A223" s="66" t="s">
        <v>280</v>
      </c>
      <c r="B223" s="66"/>
      <c r="C223" s="66"/>
      <c r="D223" s="4"/>
      <c r="E223" s="4"/>
    </row>
    <row r="224" spans="1:5" x14ac:dyDescent="0.2">
      <c r="A224" s="32"/>
      <c r="B224" s="4"/>
      <c r="C224" s="40" t="s">
        <v>52</v>
      </c>
      <c r="D224" s="4"/>
      <c r="E224" s="4"/>
    </row>
    <row r="225" spans="1:5" x14ac:dyDescent="0.2">
      <c r="A225" s="39" t="s">
        <v>438</v>
      </c>
      <c r="B225" s="4" t="s">
        <v>629</v>
      </c>
      <c r="C225" s="8" t="s">
        <v>548</v>
      </c>
      <c r="D225" s="4" t="s">
        <v>11</v>
      </c>
      <c r="E225" s="4">
        <v>5</v>
      </c>
    </row>
    <row r="226" spans="1:5" ht="47.25" x14ac:dyDescent="0.2">
      <c r="A226" s="39" t="s">
        <v>439</v>
      </c>
      <c r="B226" s="4" t="s">
        <v>630</v>
      </c>
      <c r="C226" s="8" t="s">
        <v>561</v>
      </c>
      <c r="D226" s="4" t="s">
        <v>16</v>
      </c>
      <c r="E226" s="4">
        <v>7</v>
      </c>
    </row>
    <row r="227" spans="1:5" ht="31.5" x14ac:dyDescent="0.2">
      <c r="A227" s="39" t="s">
        <v>440</v>
      </c>
      <c r="B227" s="4" t="s">
        <v>631</v>
      </c>
      <c r="C227" s="8" t="s">
        <v>183</v>
      </c>
      <c r="D227" s="4" t="s">
        <v>16</v>
      </c>
      <c r="E227" s="4">
        <v>2</v>
      </c>
    </row>
    <row r="228" spans="1:5" ht="31.5" x14ac:dyDescent="0.2">
      <c r="A228" s="39" t="s">
        <v>441</v>
      </c>
      <c r="B228" s="4" t="s">
        <v>632</v>
      </c>
      <c r="C228" s="8" t="s">
        <v>184</v>
      </c>
      <c r="D228" s="4" t="s">
        <v>16</v>
      </c>
      <c r="E228" s="4">
        <v>1</v>
      </c>
    </row>
    <row r="229" spans="1:5" ht="31.5" x14ac:dyDescent="0.2">
      <c r="A229" s="39" t="s">
        <v>442</v>
      </c>
      <c r="B229" s="4" t="s">
        <v>633</v>
      </c>
      <c r="C229" s="8" t="s">
        <v>185</v>
      </c>
      <c r="D229" s="4" t="s">
        <v>16</v>
      </c>
      <c r="E229" s="4">
        <v>2</v>
      </c>
    </row>
    <row r="230" spans="1:5" ht="31.5" x14ac:dyDescent="0.2">
      <c r="A230" s="39" t="s">
        <v>443</v>
      </c>
      <c r="B230" s="4" t="s">
        <v>634</v>
      </c>
      <c r="C230" s="8" t="s">
        <v>186</v>
      </c>
      <c r="D230" s="4" t="s">
        <v>16</v>
      </c>
      <c r="E230" s="1">
        <v>4</v>
      </c>
    </row>
    <row r="231" spans="1:5" ht="31.5" x14ac:dyDescent="0.2">
      <c r="A231" s="39" t="s">
        <v>444</v>
      </c>
      <c r="B231" s="4" t="s">
        <v>635</v>
      </c>
      <c r="C231" s="9" t="s">
        <v>187</v>
      </c>
      <c r="D231" s="4" t="s">
        <v>16</v>
      </c>
      <c r="E231" s="1">
        <v>2</v>
      </c>
    </row>
    <row r="232" spans="1:5" x14ac:dyDescent="0.2">
      <c r="A232" s="32"/>
      <c r="B232" s="4"/>
      <c r="C232" s="53" t="s">
        <v>285</v>
      </c>
      <c r="D232" s="4"/>
      <c r="E232" s="4"/>
    </row>
    <row r="233" spans="1:5" x14ac:dyDescent="0.2">
      <c r="A233" s="39" t="s">
        <v>445</v>
      </c>
      <c r="B233" s="8" t="s">
        <v>188</v>
      </c>
      <c r="C233" s="8" t="s">
        <v>568</v>
      </c>
      <c r="D233" s="1" t="s">
        <v>16</v>
      </c>
      <c r="E233" s="1">
        <v>13</v>
      </c>
    </row>
    <row r="234" spans="1:5" x14ac:dyDescent="0.2">
      <c r="A234" s="39" t="s">
        <v>446</v>
      </c>
      <c r="B234" s="8" t="s">
        <v>189</v>
      </c>
      <c r="C234" s="8" t="s">
        <v>567</v>
      </c>
      <c r="D234" s="1" t="s">
        <v>11</v>
      </c>
      <c r="E234" s="1">
        <v>23</v>
      </c>
    </row>
    <row r="235" spans="1:5" x14ac:dyDescent="0.2">
      <c r="A235" s="39" t="s">
        <v>447</v>
      </c>
      <c r="B235" s="8" t="s">
        <v>190</v>
      </c>
      <c r="C235" s="8" t="s">
        <v>562</v>
      </c>
      <c r="D235" s="1" t="s">
        <v>10</v>
      </c>
      <c r="E235" s="1">
        <v>13</v>
      </c>
    </row>
    <row r="236" spans="1:5" x14ac:dyDescent="0.2">
      <c r="A236" s="39" t="s">
        <v>448</v>
      </c>
      <c r="B236" s="8" t="s">
        <v>191</v>
      </c>
      <c r="C236" s="9" t="s">
        <v>563</v>
      </c>
      <c r="D236" s="1" t="s">
        <v>11</v>
      </c>
      <c r="E236" s="1">
        <v>2</v>
      </c>
    </row>
    <row r="237" spans="1:5" ht="31.5" x14ac:dyDescent="0.2">
      <c r="A237" s="39" t="s">
        <v>449</v>
      </c>
      <c r="B237" s="8" t="s">
        <v>564</v>
      </c>
      <c r="C237" s="8" t="s">
        <v>565</v>
      </c>
      <c r="D237" s="1" t="s">
        <v>10</v>
      </c>
      <c r="E237" s="1" t="s">
        <v>5</v>
      </c>
    </row>
    <row r="238" spans="1:5" x14ac:dyDescent="0.2">
      <c r="A238" s="39" t="s">
        <v>450</v>
      </c>
      <c r="B238" s="8" t="s">
        <v>194</v>
      </c>
      <c r="C238" s="8" t="s">
        <v>29</v>
      </c>
      <c r="D238" s="1" t="s">
        <v>10</v>
      </c>
      <c r="E238" s="1" t="s">
        <v>8</v>
      </c>
    </row>
    <row r="239" spans="1:5" x14ac:dyDescent="0.2">
      <c r="A239" s="39" t="s">
        <v>451</v>
      </c>
      <c r="B239" s="8" t="s">
        <v>195</v>
      </c>
      <c r="C239" s="8" t="s">
        <v>0</v>
      </c>
      <c r="D239" s="1" t="s">
        <v>10</v>
      </c>
      <c r="E239" s="1" t="s">
        <v>4</v>
      </c>
    </row>
    <row r="240" spans="1:5" ht="31.5" x14ac:dyDescent="0.2">
      <c r="A240" s="39" t="s">
        <v>452</v>
      </c>
      <c r="B240" s="8" t="s">
        <v>566</v>
      </c>
      <c r="C240" s="9" t="s">
        <v>30</v>
      </c>
      <c r="D240" s="1" t="s">
        <v>10</v>
      </c>
      <c r="E240" s="1" t="s">
        <v>9</v>
      </c>
    </row>
    <row r="241" spans="1:5" x14ac:dyDescent="0.2">
      <c r="A241" s="39" t="s">
        <v>453</v>
      </c>
      <c r="B241" s="8" t="s">
        <v>196</v>
      </c>
      <c r="C241" s="8" t="s">
        <v>56</v>
      </c>
      <c r="D241" s="1" t="s">
        <v>197</v>
      </c>
      <c r="E241" s="1">
        <v>15</v>
      </c>
    </row>
    <row r="242" spans="1:5" ht="31.5" x14ac:dyDescent="0.2">
      <c r="A242" s="39" t="s">
        <v>454</v>
      </c>
      <c r="B242" s="8" t="s">
        <v>270</v>
      </c>
      <c r="C242" s="9" t="s">
        <v>33</v>
      </c>
      <c r="D242" s="71" t="s">
        <v>19</v>
      </c>
      <c r="E242" s="1">
        <v>10</v>
      </c>
    </row>
    <row r="243" spans="1:5" ht="31.5" x14ac:dyDescent="0.2">
      <c r="A243" s="39" t="s">
        <v>455</v>
      </c>
      <c r="B243" s="8" t="s">
        <v>271</v>
      </c>
      <c r="C243" s="9" t="s">
        <v>31</v>
      </c>
      <c r="D243" s="71" t="s">
        <v>19</v>
      </c>
      <c r="E243" s="1">
        <v>418</v>
      </c>
    </row>
    <row r="244" spans="1:5" ht="31.5" x14ac:dyDescent="0.2">
      <c r="A244" s="39" t="s">
        <v>456</v>
      </c>
      <c r="B244" s="8" t="s">
        <v>272</v>
      </c>
      <c r="C244" s="9" t="s">
        <v>32</v>
      </c>
      <c r="D244" s="71" t="s">
        <v>19</v>
      </c>
      <c r="E244" s="1">
        <v>47</v>
      </c>
    </row>
    <row r="245" spans="1:5" x14ac:dyDescent="0.2">
      <c r="A245" s="39" t="s">
        <v>457</v>
      </c>
      <c r="B245" s="8" t="s">
        <v>198</v>
      </c>
      <c r="C245" s="8" t="s">
        <v>28</v>
      </c>
      <c r="D245" s="1" t="s">
        <v>34</v>
      </c>
      <c r="E245" s="1" t="s">
        <v>3</v>
      </c>
    </row>
    <row r="246" spans="1:5" s="10" customFormat="1" x14ac:dyDescent="0.2">
      <c r="A246" s="19"/>
      <c r="B246" s="13"/>
      <c r="C246" s="24"/>
      <c r="D246" s="13"/>
      <c r="E246" s="13"/>
    </row>
    <row r="247" spans="1:5" s="10" customFormat="1" x14ac:dyDescent="0.2">
      <c r="A247" s="19"/>
      <c r="B247" s="13"/>
      <c r="C247" s="24" t="s">
        <v>286</v>
      </c>
      <c r="D247" s="13"/>
      <c r="E247" s="13"/>
    </row>
    <row r="248" spans="1:5" s="10" customFormat="1" x14ac:dyDescent="0.2">
      <c r="A248" s="39" t="s">
        <v>458</v>
      </c>
      <c r="B248" s="8" t="s">
        <v>188</v>
      </c>
      <c r="C248" s="8" t="s">
        <v>568</v>
      </c>
      <c r="D248" s="1" t="s">
        <v>10</v>
      </c>
      <c r="E248" s="1">
        <v>6</v>
      </c>
    </row>
    <row r="249" spans="1:5" s="10" customFormat="1" x14ac:dyDescent="0.2">
      <c r="A249" s="39" t="s">
        <v>459</v>
      </c>
      <c r="B249" s="8" t="s">
        <v>189</v>
      </c>
      <c r="C249" s="8" t="s">
        <v>567</v>
      </c>
      <c r="D249" s="1" t="s">
        <v>11</v>
      </c>
      <c r="E249" s="1">
        <v>0.4</v>
      </c>
    </row>
    <row r="250" spans="1:5" s="10" customFormat="1" x14ac:dyDescent="0.2">
      <c r="A250" s="39" t="s">
        <v>460</v>
      </c>
      <c r="B250" s="8" t="s">
        <v>190</v>
      </c>
      <c r="C250" s="8" t="s">
        <v>562</v>
      </c>
      <c r="D250" s="1" t="s">
        <v>10</v>
      </c>
      <c r="E250" s="1">
        <v>6</v>
      </c>
    </row>
    <row r="251" spans="1:5" s="10" customFormat="1" x14ac:dyDescent="0.2">
      <c r="A251" s="39" t="s">
        <v>461</v>
      </c>
      <c r="B251" s="8" t="s">
        <v>191</v>
      </c>
      <c r="C251" s="9" t="s">
        <v>563</v>
      </c>
      <c r="D251" s="1" t="s">
        <v>11</v>
      </c>
      <c r="E251" s="1">
        <v>1.5</v>
      </c>
    </row>
    <row r="252" spans="1:5" s="10" customFormat="1" ht="31.5" x14ac:dyDescent="0.2">
      <c r="A252" s="39" t="s">
        <v>462</v>
      </c>
      <c r="B252" s="8" t="s">
        <v>192</v>
      </c>
      <c r="C252" s="8" t="s">
        <v>193</v>
      </c>
      <c r="D252" s="1" t="s">
        <v>10</v>
      </c>
      <c r="E252" s="1">
        <v>8</v>
      </c>
    </row>
    <row r="253" spans="1:5" s="10" customFormat="1" ht="31.5" x14ac:dyDescent="0.2">
      <c r="A253" s="39" t="s">
        <v>463</v>
      </c>
      <c r="B253" s="8" t="s">
        <v>269</v>
      </c>
      <c r="C253" s="8" t="s">
        <v>565</v>
      </c>
      <c r="D253" s="1" t="s">
        <v>10</v>
      </c>
      <c r="E253" s="1">
        <v>8</v>
      </c>
    </row>
    <row r="254" spans="1:5" s="10" customFormat="1" x14ac:dyDescent="0.2">
      <c r="A254" s="39" t="s">
        <v>464</v>
      </c>
      <c r="B254" s="8" t="s">
        <v>194</v>
      </c>
      <c r="C254" s="8" t="s">
        <v>29</v>
      </c>
      <c r="D254" s="1" t="s">
        <v>10</v>
      </c>
      <c r="E254" s="1">
        <v>6</v>
      </c>
    </row>
    <row r="255" spans="1:5" s="10" customFormat="1" x14ac:dyDescent="0.2">
      <c r="A255" s="39" t="s">
        <v>465</v>
      </c>
      <c r="B255" s="8" t="s">
        <v>195</v>
      </c>
      <c r="C255" s="8" t="s">
        <v>0</v>
      </c>
      <c r="D255" s="1" t="s">
        <v>10</v>
      </c>
      <c r="E255" s="1">
        <v>2</v>
      </c>
    </row>
    <row r="256" spans="1:5" s="10" customFormat="1" ht="31.5" x14ac:dyDescent="0.2">
      <c r="A256" s="39" t="s">
        <v>466</v>
      </c>
      <c r="B256" s="8" t="s">
        <v>569</v>
      </c>
      <c r="C256" s="9" t="s">
        <v>30</v>
      </c>
      <c r="D256" s="1" t="s">
        <v>10</v>
      </c>
      <c r="E256" s="1">
        <v>10</v>
      </c>
    </row>
    <row r="257" spans="1:5" s="10" customFormat="1" x14ac:dyDescent="0.2">
      <c r="A257" s="39" t="s">
        <v>467</v>
      </c>
      <c r="B257" s="8" t="s">
        <v>196</v>
      </c>
      <c r="C257" s="8" t="s">
        <v>56</v>
      </c>
      <c r="D257" s="1" t="s">
        <v>197</v>
      </c>
      <c r="E257" s="1">
        <v>10</v>
      </c>
    </row>
    <row r="258" spans="1:5" s="10" customFormat="1" ht="31.5" x14ac:dyDescent="0.2">
      <c r="A258" s="39" t="s">
        <v>468</v>
      </c>
      <c r="B258" s="8" t="s">
        <v>270</v>
      </c>
      <c r="C258" s="9" t="s">
        <v>33</v>
      </c>
      <c r="D258" s="71" t="s">
        <v>19</v>
      </c>
      <c r="E258" s="1">
        <v>5</v>
      </c>
    </row>
    <row r="259" spans="1:5" s="10" customFormat="1" ht="31.5" x14ac:dyDescent="0.2">
      <c r="A259" s="39" t="s">
        <v>469</v>
      </c>
      <c r="B259" s="8" t="s">
        <v>271</v>
      </c>
      <c r="C259" s="9" t="s">
        <v>199</v>
      </c>
      <c r="D259" s="71" t="s">
        <v>19</v>
      </c>
      <c r="E259" s="1">
        <v>145</v>
      </c>
    </row>
    <row r="260" spans="1:5" s="10" customFormat="1" x14ac:dyDescent="0.2">
      <c r="A260" s="39" t="s">
        <v>470</v>
      </c>
      <c r="B260" s="8" t="s">
        <v>198</v>
      </c>
      <c r="C260" s="8" t="s">
        <v>28</v>
      </c>
      <c r="D260" s="1" t="s">
        <v>34</v>
      </c>
      <c r="E260" s="1" t="s">
        <v>3</v>
      </c>
    </row>
    <row r="261" spans="1:5" x14ac:dyDescent="0.2">
      <c r="A261" s="19"/>
      <c r="B261" s="13"/>
      <c r="C261" s="14"/>
      <c r="D261" s="13"/>
      <c r="E261" s="16"/>
    </row>
    <row r="262" spans="1:5" x14ac:dyDescent="0.2">
      <c r="A262" s="67" t="s">
        <v>287</v>
      </c>
      <c r="B262" s="67"/>
      <c r="C262" s="67"/>
      <c r="D262" s="13"/>
      <c r="E262" s="16"/>
    </row>
    <row r="263" spans="1:5" ht="47.25" x14ac:dyDescent="0.25">
      <c r="A263" s="39" t="s">
        <v>471</v>
      </c>
      <c r="B263" s="20" t="s">
        <v>234</v>
      </c>
      <c r="C263" s="14" t="s">
        <v>200</v>
      </c>
      <c r="D263" s="13" t="s">
        <v>6</v>
      </c>
      <c r="E263" s="16">
        <f>1.904</f>
        <v>1.9039999999999999</v>
      </c>
    </row>
    <row r="264" spans="1:5" ht="47.25" x14ac:dyDescent="0.25">
      <c r="A264" s="39" t="s">
        <v>472</v>
      </c>
      <c r="B264" s="20" t="s">
        <v>235</v>
      </c>
      <c r="C264" s="14" t="s">
        <v>201</v>
      </c>
      <c r="D264" s="13" t="s">
        <v>6</v>
      </c>
      <c r="E264" s="16">
        <f>1.904</f>
        <v>1.9039999999999999</v>
      </c>
    </row>
    <row r="265" spans="1:5" ht="47.25" x14ac:dyDescent="0.25">
      <c r="A265" s="39" t="s">
        <v>473</v>
      </c>
      <c r="B265" s="20" t="s">
        <v>236</v>
      </c>
      <c r="C265" s="14" t="s">
        <v>206</v>
      </c>
      <c r="D265" s="13" t="s">
        <v>6</v>
      </c>
      <c r="E265" s="16">
        <f>1.904</f>
        <v>1.9039999999999999</v>
      </c>
    </row>
    <row r="266" spans="1:5" x14ac:dyDescent="0.2">
      <c r="A266" s="67" t="s">
        <v>288</v>
      </c>
      <c r="B266" s="67"/>
      <c r="C266" s="67"/>
      <c r="D266" s="13"/>
      <c r="E266" s="16"/>
    </row>
    <row r="267" spans="1:5" ht="47.25" x14ac:dyDescent="0.2">
      <c r="A267" s="39" t="s">
        <v>474</v>
      </c>
      <c r="B267" s="13" t="s">
        <v>237</v>
      </c>
      <c r="C267" s="14" t="s">
        <v>200</v>
      </c>
      <c r="D267" s="13" t="s">
        <v>6</v>
      </c>
      <c r="E267" s="16">
        <f>1.904</f>
        <v>1.9039999999999999</v>
      </c>
    </row>
    <row r="268" spans="1:5" ht="47.25" x14ac:dyDescent="0.2">
      <c r="A268" s="39" t="s">
        <v>475</v>
      </c>
      <c r="B268" s="13" t="s">
        <v>238</v>
      </c>
      <c r="C268" s="14" t="s">
        <v>201</v>
      </c>
      <c r="D268" s="13" t="s">
        <v>6</v>
      </c>
      <c r="E268" s="16">
        <f>1.904</f>
        <v>1.9039999999999999</v>
      </c>
    </row>
    <row r="269" spans="1:5" ht="47.25" x14ac:dyDescent="0.2">
      <c r="A269" s="39" t="s">
        <v>476</v>
      </c>
      <c r="B269" s="13" t="s">
        <v>239</v>
      </c>
      <c r="C269" s="14" t="s">
        <v>206</v>
      </c>
      <c r="D269" s="13" t="s">
        <v>6</v>
      </c>
      <c r="E269" s="16">
        <f>1.904</f>
        <v>1.9039999999999999</v>
      </c>
    </row>
    <row r="270" spans="1:5" ht="31.5" x14ac:dyDescent="0.2">
      <c r="A270" s="39" t="s">
        <v>477</v>
      </c>
      <c r="B270" s="13" t="s">
        <v>241</v>
      </c>
      <c r="C270" s="14" t="s">
        <v>205</v>
      </c>
      <c r="D270" s="13" t="s">
        <v>11</v>
      </c>
      <c r="E270" s="16">
        <v>51.072000000000003</v>
      </c>
    </row>
    <row r="271" spans="1:5" ht="31.5" x14ac:dyDescent="0.2">
      <c r="A271" s="39" t="s">
        <v>478</v>
      </c>
      <c r="B271" s="13" t="s">
        <v>240</v>
      </c>
      <c r="C271" s="14" t="s">
        <v>207</v>
      </c>
      <c r="D271" s="13" t="s">
        <v>11</v>
      </c>
      <c r="E271" s="16">
        <v>96</v>
      </c>
    </row>
    <row r="272" spans="1:5" ht="31.5" x14ac:dyDescent="0.2">
      <c r="A272" s="39" t="s">
        <v>479</v>
      </c>
      <c r="B272" s="13" t="s">
        <v>242</v>
      </c>
      <c r="C272" s="14" t="s">
        <v>203</v>
      </c>
      <c r="D272" s="13" t="s">
        <v>204</v>
      </c>
      <c r="E272" s="16">
        <v>36</v>
      </c>
    </row>
    <row r="274" spans="1:5" s="38" customFormat="1" x14ac:dyDescent="0.2">
      <c r="A274" s="49" t="s">
        <v>57</v>
      </c>
      <c r="B274" s="64" t="s">
        <v>640</v>
      </c>
      <c r="C274" s="64"/>
      <c r="D274" s="65" t="s">
        <v>202</v>
      </c>
      <c r="E274" s="65"/>
    </row>
    <row r="275" spans="1:5" s="38" customFormat="1" x14ac:dyDescent="0.2">
      <c r="A275" s="49"/>
      <c r="B275" s="49"/>
      <c r="C275" s="49"/>
      <c r="D275" s="50"/>
      <c r="E275" s="50"/>
    </row>
    <row r="276" spans="1:5" s="38" customFormat="1" x14ac:dyDescent="0.2">
      <c r="A276" s="37"/>
      <c r="B276" s="37"/>
    </row>
    <row r="277" spans="1:5" s="38" customFormat="1" x14ac:dyDescent="0.2">
      <c r="A277" s="37"/>
      <c r="B277" s="37"/>
    </row>
    <row r="278" spans="1:5" x14ac:dyDescent="0.25">
      <c r="A278" s="26"/>
      <c r="B278" s="26"/>
      <c r="C278" s="27"/>
      <c r="D278" s="28"/>
      <c r="E278" s="28"/>
    </row>
    <row r="285" spans="1:5" s="10" customFormat="1" x14ac:dyDescent="0.2">
      <c r="D285" s="11"/>
      <c r="E285" s="11"/>
    </row>
    <row r="286" spans="1:5" s="10" customFormat="1" x14ac:dyDescent="0.2">
      <c r="D286" s="11"/>
      <c r="E286" s="11"/>
    </row>
    <row r="287" spans="1:5" s="10" customFormat="1" x14ac:dyDescent="0.2">
      <c r="D287" s="11"/>
      <c r="E287" s="11"/>
    </row>
    <row r="288" spans="1:5" s="10" customFormat="1" x14ac:dyDescent="0.2">
      <c r="D288" s="11"/>
      <c r="E288" s="11"/>
    </row>
  </sheetData>
  <mergeCells count="35">
    <mergeCell ref="A206:C206"/>
    <mergeCell ref="A20:C20"/>
    <mergeCell ref="A184:C184"/>
    <mergeCell ref="A186:C186"/>
    <mergeCell ref="A188:C188"/>
    <mergeCell ref="A189:C189"/>
    <mergeCell ref="A197:C197"/>
    <mergeCell ref="A37:C37"/>
    <mergeCell ref="A40:C40"/>
    <mergeCell ref="A134:C134"/>
    <mergeCell ref="A135:C135"/>
    <mergeCell ref="A32:C32"/>
    <mergeCell ref="B274:C274"/>
    <mergeCell ref="D274:E274"/>
    <mergeCell ref="A216:C216"/>
    <mergeCell ref="A219:C219"/>
    <mergeCell ref="A223:C223"/>
    <mergeCell ref="A262:C262"/>
    <mergeCell ref="A266:C266"/>
    <mergeCell ref="D1:E1"/>
    <mergeCell ref="C2:E2"/>
    <mergeCell ref="C3:E3"/>
    <mergeCell ref="C4:E4"/>
    <mergeCell ref="A6:E6"/>
    <mergeCell ref="A7:E7"/>
    <mergeCell ref="A8:E8"/>
    <mergeCell ref="A19:C19"/>
    <mergeCell ref="A9:A10"/>
    <mergeCell ref="B9:B10"/>
    <mergeCell ref="C9:C10"/>
    <mergeCell ref="D9:D10"/>
    <mergeCell ref="E9:E10"/>
    <mergeCell ref="A12:C12"/>
    <mergeCell ref="A13:C13"/>
    <mergeCell ref="A16:C16"/>
  </mergeCells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Ведомость объемов</vt:lpstr>
      <vt:lpstr>'Ведомость объемов'!Область_печати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Melnik</dc:creator>
  <cp:lastModifiedBy>Solodikova</cp:lastModifiedBy>
  <cp:lastPrinted>2026-04-23T00:03:34Z</cp:lastPrinted>
  <dcterms:created xsi:type="dcterms:W3CDTF">2022-01-25T04:20:47Z</dcterms:created>
  <dcterms:modified xsi:type="dcterms:W3CDTF">2026-04-26T21:52:29Z</dcterms:modified>
</cp:coreProperties>
</file>