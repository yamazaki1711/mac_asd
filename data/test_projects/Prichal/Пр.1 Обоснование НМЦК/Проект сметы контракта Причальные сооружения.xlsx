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 activeTab="5"/>
  </bookViews>
  <sheets>
    <sheet name="Справка" sheetId="5" r:id="rId1"/>
    <sheet name="Затраты" sheetId="6" r:id="rId2"/>
    <sheet name="НМЦК подряд" sheetId="10" r:id="rId3"/>
    <sheet name="ССР " sheetId="2" r:id="rId4"/>
    <sheet name="Расчеты " sheetId="12" r:id="rId5"/>
    <sheet name="Проект сметы " sheetId="14" r:id="rId6"/>
    <sheet name="Ведомость объемов" sheetId="15" r:id="rId7"/>
    <sheet name="НМЦК СК" sheetId="7" r:id="rId8"/>
    <sheet name="НМЦК АН" sheetId="13" r:id="rId9"/>
  </sheets>
  <definedNames>
    <definedName name="_xlnm.Print_Area" localSheetId="6">'Ведомость объемов'!$A$1:$E$280</definedName>
    <definedName name="_xlnm.Print_Area" localSheetId="1">Затраты!$A$1:$J$55</definedName>
    <definedName name="_xlnm.Print_Area" localSheetId="2">'НМЦК подряд'!$A$1:$F$93</definedName>
    <definedName name="_xlnm.Print_Area" localSheetId="7">'НМЦК СК'!$A$1:$Q$73</definedName>
    <definedName name="_xlnm.Print_Area" localSheetId="5">'Проект сметы '!$A$1:$F$316</definedName>
    <definedName name="_xlnm.Print_Area" localSheetId="4">'Расчеты '!$A$1:$G$316</definedName>
    <definedName name="_xlnm.Print_Area" localSheetId="0">Справка!$A$1:$AA$66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<sst xmlns="http://schemas.openxmlformats.org/spreadsheetml/2006/main" count="2950" uniqueCount="976">
  <si>
    <t>РАСЧЕТ</t>
  </si>
  <si>
    <t>стоимости вновь начинаемого объекта дорожных работ   (от 10.04.2026)</t>
  </si>
  <si>
    <t>Государственный заказчик</t>
  </si>
  <si>
    <t>Краевое государственное казенное учреждение "Управление автомобильных дорог Камчатского края"</t>
  </si>
  <si>
    <t xml:space="preserve">Наименование объекта </t>
  </si>
  <si>
    <t>Строительство причальных сооружений через протоку Озерная в Усть-Камчатском районе Камчатского края</t>
  </si>
  <si>
    <t>Стоимость работ в ценах на дату утверждения сметной документации
1 квартал 2022 года</t>
  </si>
  <si>
    <t xml:space="preserve">Выполнение </t>
  </si>
  <si>
    <t>Экономия</t>
  </si>
  <si>
    <t>Стоимость
 остатка работ
 в ценах утверждения ПСД, 
1 квартал 2022 года</t>
  </si>
  <si>
    <t xml:space="preserve">Индекс фактической инфляции </t>
  </si>
  <si>
    <t>Стоимость работ в ценах на дату формирования начальной (максимальной) цены контракта</t>
  </si>
  <si>
    <t>Индекс прогнозной инфляции на период выполнения работ Кинф= Д1*К1+Д2*К2+Д3*К3</t>
  </si>
  <si>
    <t>Начальная (максимальная) цена контракта с учетом индекса прогнозной инфляции на период выполнения работ</t>
  </si>
  <si>
    <t>в том числе по годам</t>
  </si>
  <si>
    <t>Стоимость 
в ценах соответствующих
 лет</t>
  </si>
  <si>
    <t>Подлежит выполнению до конца строительства в ценах соответствующих лет</t>
  </si>
  <si>
    <t>2026
(апрель - декабрь)</t>
  </si>
  <si>
    <t>2027
 (январь-октябрь)</t>
  </si>
  <si>
    <t>Стоимость всего</t>
  </si>
  <si>
    <t xml:space="preserve">в том числе </t>
  </si>
  <si>
    <t>Затраты заказчика</t>
  </si>
  <si>
    <t xml:space="preserve">  индексируемые</t>
  </si>
  <si>
    <t xml:space="preserve">   неиндексируемые</t>
  </si>
  <si>
    <t>Затраты подрядчика</t>
  </si>
  <si>
    <t>В зависимости от года утверждения ПСД и планируемого выполнения работ по годам исполнения государственного контракта таблица может быть откорректирована.</t>
  </si>
  <si>
    <t xml:space="preserve">Дата формирования НМЦК - </t>
  </si>
  <si>
    <t>апрель 2026 года</t>
  </si>
  <si>
    <t>из расчета 30% аванса в 2026г. =</t>
  </si>
  <si>
    <t>Начало строительства - июнь  2026 года</t>
  </si>
  <si>
    <t>Окончание строительства - октябрь 2027 года</t>
  </si>
  <si>
    <t>1. Расчет индексов фактической инфляции с использованием ИПЦ Росстата (Камчатский край):</t>
  </si>
  <si>
    <t>март 2023 / март 2022</t>
  </si>
  <si>
    <t>март 2024 / март 2023</t>
  </si>
  <si>
    <t>2025 =</t>
  </si>
  <si>
    <t>март 2025 / март  2024</t>
  </si>
  <si>
    <t>2026 =</t>
  </si>
  <si>
    <t>2. Расчет индекса прогнозной инфляции (Уточненный прогноз социально-экономического развития Камчатского края на 2026 год и на плановый период 2027 и 2028 годов от 19 ноября 2025, отрасль "Инвестиции в основной капитал"):</t>
  </si>
  <si>
    <t xml:space="preserve">2026 = </t>
  </si>
  <si>
    <t>√</t>
  </si>
  <si>
    <t>=</t>
  </si>
  <si>
    <t>Индекс фактической инфляции</t>
  </si>
  <si>
    <t xml:space="preserve">2027 = </t>
  </si>
  <si>
    <t xml:space="preserve">Доля сметной стоимости, подлежащая выполнению подрядчиком в 2026 году (Дп2) - </t>
  </si>
  <si>
    <t xml:space="preserve">Доля сметной стоимости, подлежащая выполнению заказчиком в 2026 году (Дз2) - </t>
  </si>
  <si>
    <t>Доля сметной стоимости, подлежащая выполнению подрядчиком в 2027 году (Дп3) -</t>
  </si>
  <si>
    <t xml:space="preserve">Доля сметной стоимости, подлежащая выполнению заказчиком в 2027 году (Дз3) - </t>
  </si>
  <si>
    <t>С учетом полученных данных вычисляются прогнозные индексы для каждого периода исполнения контракта:</t>
  </si>
  <si>
    <t xml:space="preserve">К на 2026 год = </t>
  </si>
  <si>
    <r>
      <rPr>
        <sz val="12"/>
        <color theme="1"/>
        <rFont val="Times New Roman"/>
        <charset val="204"/>
      </rPr>
      <t>(1,0063</t>
    </r>
    <r>
      <rPr>
        <vertAlign val="superscript"/>
        <sz val="12"/>
        <color theme="1"/>
        <rFont val="Times New Roman"/>
        <charset val="204"/>
      </rPr>
      <t>9</t>
    </r>
    <r>
      <rPr>
        <sz val="12"/>
        <color theme="1"/>
        <rFont val="Times New Roman"/>
        <charset val="204"/>
      </rPr>
      <t xml:space="preserve">-1) / 2+1 = </t>
    </r>
  </si>
  <si>
    <t xml:space="preserve">К на 2027 год = </t>
  </si>
  <si>
    <r>
      <rPr>
        <sz val="12"/>
        <color theme="1"/>
        <rFont val="Times New Roman"/>
        <charset val="204"/>
      </rPr>
      <t>1,0063</t>
    </r>
    <r>
      <rPr>
        <vertAlign val="superscript"/>
        <sz val="12"/>
        <color theme="1"/>
        <rFont val="Times New Roman"/>
        <charset val="204"/>
      </rPr>
      <t>9</t>
    </r>
    <r>
      <rPr>
        <sz val="12"/>
        <color theme="1"/>
        <rFont val="Times New Roman"/>
        <charset val="204"/>
      </rPr>
      <t>*((1,0062+1,0062</t>
    </r>
    <r>
      <rPr>
        <vertAlign val="superscript"/>
        <sz val="12"/>
        <color theme="1"/>
        <rFont val="Times New Roman"/>
        <charset val="204"/>
      </rPr>
      <t>10</t>
    </r>
    <r>
      <rPr>
        <sz val="12"/>
        <color theme="1"/>
        <rFont val="Times New Roman"/>
        <charset val="204"/>
      </rPr>
      <t xml:space="preserve">) / 2) = </t>
    </r>
  </si>
  <si>
    <t xml:space="preserve">Индекс прогнозной инфляции на период выполнения работ (для затрат подрядчик) = </t>
  </si>
  <si>
    <t>*</t>
  </si>
  <si>
    <t>+</t>
  </si>
  <si>
    <t xml:space="preserve">Индекс прогнозной инфляции на период выполнения работ (для затрат заказчик) = </t>
  </si>
  <si>
    <t>Ежемесячный прогнозный индекс</t>
  </si>
  <si>
    <t>степень</t>
  </si>
  <si>
    <t>период</t>
  </si>
  <si>
    <t>январь 2026</t>
  </si>
  <si>
    <t>апрель -декабрь 2026</t>
  </si>
  <si>
    <t>январь 2027</t>
  </si>
  <si>
    <t>январь-октябрь 2027</t>
  </si>
  <si>
    <r>
      <rPr>
        <b/>
        <sz val="12"/>
        <rFont val="Times New Roman"/>
        <charset val="204"/>
      </rPr>
      <t>Приложение № 3</t>
    </r>
    <r>
      <rPr>
        <sz val="12"/>
        <rFont val="Times New Roman"/>
        <charset val="204"/>
      </rPr>
      <t xml:space="preserve"> к Порядку
 взаимодействия при рассмотрении стоимостных показателей объектов строительства, реконструкции, капитального ремонта автомобильных дорог и искусственных дорожных сооружений, частично или полностью финансируемых за счет средств федерального бюджета, утвержденному Приказом от 28.07.2021 № 154</t>
    </r>
  </si>
  <si>
    <t>Справка о затратах заказчика и затратах подрядчика в составе сводного сметного расчета с расшифровкой по видам затрат</t>
  </si>
  <si>
    <r>
      <rPr>
        <b/>
        <sz val="16"/>
        <rFont val="Times New Roman"/>
        <charset val="204"/>
      </rPr>
      <t xml:space="preserve">Заказчик:   </t>
    </r>
    <r>
      <rPr>
        <sz val="16"/>
        <rFont val="Times New Roman"/>
        <charset val="204"/>
      </rPr>
      <t xml:space="preserve"> </t>
    </r>
    <r>
      <rPr>
        <b/>
        <sz val="16"/>
        <rFont val="Times New Roman"/>
        <charset val="204"/>
      </rPr>
      <t>Краевое государственное казенное учреждение "Управление автомобильных дорог Камчатского края"</t>
    </r>
  </si>
  <si>
    <t>Наименование объекта: Строитсльство причальных сооружений через протоку Озерная в Усть-Камчатском районе Камчатского края</t>
  </si>
  <si>
    <t>Наименование работ и затрат</t>
  </si>
  <si>
    <t>Распределение затрат по годам, тыс. руб. в ценах 1 кв. 2022 г (в уровне цен утвержденной проектной документации)</t>
  </si>
  <si>
    <t>Обоснование</t>
  </si>
  <si>
    <t>До 2022 (выполнено)</t>
  </si>
  <si>
    <t>ВСЕГО с НДС 20%</t>
  </si>
  <si>
    <t>НДС 22%</t>
  </si>
  <si>
    <t>1. Затраты  заказчика</t>
  </si>
  <si>
    <t xml:space="preserve"> - индексируемые</t>
  </si>
  <si>
    <t>Восстановление оси трассы</t>
  </si>
  <si>
    <t>Ущерб водным биоресурсам</t>
  </si>
  <si>
    <t>Технологическое присоединение к электрическим сетям</t>
  </si>
  <si>
    <t>Строительный контроль</t>
  </si>
  <si>
    <t>Авторский надзор</t>
  </si>
  <si>
    <t>Непредвиденные затраты:</t>
  </si>
  <si>
    <t xml:space="preserve">Непредвиденные затраты от прочих затрат заказчика </t>
  </si>
  <si>
    <t>Резерв на непредвиденные работы и затраты от прочих затрат подрядчика (1%)</t>
  </si>
  <si>
    <t>Резерв на непредвиденные работы и затраты от СМР (1%)</t>
  </si>
  <si>
    <t xml:space="preserve"> - неиндексируемые</t>
  </si>
  <si>
    <t>Инженерные изыскания</t>
  </si>
  <si>
    <t>Проектные работы</t>
  </si>
  <si>
    <t>Экспертиза проекта</t>
  </si>
  <si>
    <t>2. Затраты подрядчика, в том числе:</t>
  </si>
  <si>
    <t>Подготовка территории строительства. Всего</t>
  </si>
  <si>
    <t>в том числе:</t>
  </si>
  <si>
    <t>Демонтаж причальных сооружений</t>
  </si>
  <si>
    <t>Разборка существующих сооружений</t>
  </si>
  <si>
    <t>Строительно-монтажные работы</t>
  </si>
  <si>
    <t>Основные объекты строительства</t>
  </si>
  <si>
    <t>Объекты энергетического хозяйства</t>
  </si>
  <si>
    <t>Наружные сети и сооружения водоснабжения, водоотведения, теплоснабжения и газоснабжения</t>
  </si>
  <si>
    <t>Благоустройство</t>
  </si>
  <si>
    <t>Временные здания и сооружения</t>
  </si>
  <si>
    <t xml:space="preserve">Прочие работы </t>
  </si>
  <si>
    <t>Перебазировка техники</t>
  </si>
  <si>
    <t>Доставка материалов</t>
  </si>
  <si>
    <t xml:space="preserve">Командировочные </t>
  </si>
  <si>
    <t xml:space="preserve">ВСЕГО </t>
  </si>
  <si>
    <t>СОГЛАСОВАНО</t>
  </si>
  <si>
    <t>УТВЕРЖДАЮ</t>
  </si>
  <si>
    <t>Заместитель начальника
КГКУ "Камчатуправтодор"</t>
  </si>
  <si>
    <t>Начальник
КГКУ "Камчатуправтодор"</t>
  </si>
  <si>
    <t>______________А.Л. Нейштадт</t>
  </si>
  <si>
    <t>______________О.В.Булах</t>
  </si>
  <si>
    <t>«____»______________2022 г.</t>
  </si>
  <si>
    <t>Расчет начальной (максимальной) цены контракта</t>
  </si>
  <si>
    <t>на строительство причальных сооружений через протоку Озерная в Усть-Камчатском районе Камчатского края</t>
  </si>
  <si>
    <t>Основания для расчета:</t>
  </si>
  <si>
    <t>1. Приказ КГКУ "Камчатуправтодор" от 29.07.2022г. №402 Об утверждении проектной документации "Строительство причальных сооружений через протоку Озерная в Усть-Камчатском районе Камчатского края"</t>
  </si>
  <si>
    <t>2. Положительное заключение государственной экспертизы проектной документации и результатов инженерных изысканий №41-1-1-2-049246-2022 от 22.07.2022г.</t>
  </si>
  <si>
    <t>3. Утвержденный сводный сметный расчет</t>
  </si>
  <si>
    <t>руб.</t>
  </si>
  <si>
    <t xml:space="preserve">Наименование работ и затрат </t>
  </si>
  <si>
    <t>Стоимость работ в ценах на дату утверждения сметной документации на 2 квартал 2021 года</t>
  </si>
  <si>
    <t xml:space="preserve">Стоимость работ в ценах на дату формирования начальной максимальной цены контракта </t>
  </si>
  <si>
    <t>Индекс прогнозной инфляции на период выполнения работ</t>
  </si>
  <si>
    <t>Подготовка территории строительства</t>
  </si>
  <si>
    <t>Командировочные расходы</t>
  </si>
  <si>
    <t>Доставка основных материалов</t>
  </si>
  <si>
    <t>Резерв на непредвиденные работы и затраты 2%</t>
  </si>
  <si>
    <t>Стоимость СМР без учета НДС</t>
  </si>
  <si>
    <t>НДС (22%)</t>
  </si>
  <si>
    <t>Итого</t>
  </si>
  <si>
    <t>Продолжительность строительства:</t>
  </si>
  <si>
    <t>Начало производства работ - июнь 2026 года</t>
  </si>
  <si>
    <t>Окончание производства работ - октябрь 2027 года</t>
  </si>
  <si>
    <t>Уровень цен утвержденной сметной документации - 1 квартал 2022 года</t>
  </si>
  <si>
    <t>Дата формирования НМЦК - апрель 2026 года</t>
  </si>
  <si>
    <t>2. Расчет индекса прогнозной инфляции (Прогноз социально-экономического развития Камчатского края на 2023-2025 гг. (предварительный вариант) от 06.07.2022г., отрасль "Инвестиции в основной капитал"):</t>
  </si>
  <si>
    <t xml:space="preserve">Ежемесячный индекс прогноз на 2023 = </t>
  </si>
  <si>
    <r>
      <rPr>
        <vertAlign val="superscript"/>
        <sz val="14"/>
        <color theme="1"/>
        <rFont val="Times New Roman"/>
        <charset val="204"/>
      </rPr>
      <t>12</t>
    </r>
    <r>
      <rPr>
        <sz val="22"/>
        <color theme="1"/>
        <rFont val="Times New Roman"/>
        <charset val="204"/>
      </rPr>
      <t>√</t>
    </r>
  </si>
  <si>
    <t xml:space="preserve">Ежемесячный индекс прогноз на 2024 = </t>
  </si>
  <si>
    <t>Распределение стоимости подрядных работ по годам, рублей с учетом НДС 20%</t>
  </si>
  <si>
    <t>всего</t>
  </si>
  <si>
    <t>Доля сметной стоимости подлежащая выполнению подрядчиком в 2023 году</t>
  </si>
  <si>
    <t>Доля сметной стоимости подлежащая выполнению подрядчиком в 2024 году</t>
  </si>
  <si>
    <r>
      <rPr>
        <sz val="12"/>
        <rFont val="Times New Roman"/>
        <charset val="204"/>
      </rPr>
      <t>(1,0063</t>
    </r>
    <r>
      <rPr>
        <vertAlign val="superscript"/>
        <sz val="12"/>
        <rFont val="Times New Roman"/>
        <charset val="204"/>
      </rPr>
      <t>9</t>
    </r>
    <r>
      <rPr>
        <sz val="12"/>
        <rFont val="Times New Roman"/>
        <charset val="204"/>
      </rPr>
      <t xml:space="preserve">-1) / 2+1 = </t>
    </r>
  </si>
  <si>
    <r>
      <rPr>
        <sz val="12"/>
        <rFont val="Times New Roman"/>
        <charset val="204"/>
      </rPr>
      <t>1,0063</t>
    </r>
    <r>
      <rPr>
        <vertAlign val="superscript"/>
        <sz val="12"/>
        <rFont val="Times New Roman"/>
        <charset val="204"/>
      </rPr>
      <t>9</t>
    </r>
    <r>
      <rPr>
        <sz val="12"/>
        <rFont val="Times New Roman"/>
        <charset val="204"/>
      </rPr>
      <t>*((1,0062+1,0062</t>
    </r>
    <r>
      <rPr>
        <vertAlign val="superscript"/>
        <sz val="12"/>
        <rFont val="Times New Roman"/>
        <charset val="204"/>
      </rPr>
      <t>10</t>
    </r>
    <r>
      <rPr>
        <sz val="12"/>
        <rFont val="Times New Roman"/>
        <charset val="204"/>
      </rPr>
      <t xml:space="preserve">) / 2) = </t>
    </r>
  </si>
  <si>
    <t>Индекс прогнозной инфляции</t>
  </si>
  <si>
    <t>Распределение НМЦК по годам:</t>
  </si>
  <si>
    <t xml:space="preserve"> </t>
  </si>
  <si>
    <t>2026 -</t>
  </si>
  <si>
    <t>2027 -</t>
  </si>
  <si>
    <t>Составил</t>
  </si>
  <si>
    <t xml:space="preserve">Заместитель начальника отдела строительства, реконструкции, капитального ремонта автомобильных  дорог и сооружений на них                                                                                 </t>
  </si>
  <si>
    <t>О.А. Мельник</t>
  </si>
  <si>
    <t>Проверил</t>
  </si>
  <si>
    <t xml:space="preserve">Начальник отдела строительства, реконструкции, капитального ремонта автомобильных  дорог и сооружений на них                                                                                 </t>
  </si>
  <si>
    <t>В.А. Кабаков</t>
  </si>
  <si>
    <t>Согласовал</t>
  </si>
  <si>
    <t xml:space="preserve">Заместитель начальника КГКУ "Камчатуправтодор"                                         </t>
  </si>
  <si>
    <t>А.Л. Нейштадт</t>
  </si>
  <si>
    <t>СВОДНЫЙ СМЕТНЫЙ РАСЧЕТ СТОИМОСТИ СТРОИТЕЛЬСТВА</t>
  </si>
  <si>
    <t>Строитсльство причальных сооружений через протоку Озерная в Усть-Камчатском районе Камчатского края</t>
  </si>
  <si>
    <t>(наименование стройки)</t>
  </si>
  <si>
    <t>Составлена в ценах по состоянию на 1 квартал 2022 г.</t>
  </si>
  <si>
    <t>прочие общие</t>
  </si>
  <si>
    <t>Для расчета</t>
  </si>
  <si>
    <t>прочие левый</t>
  </si>
  <si>
    <t>№ пп</t>
  </si>
  <si>
    <t>Номера сметных расчетов и смет</t>
  </si>
  <si>
    <t>Наименование глав, объектов, работ и затрат</t>
  </si>
  <si>
    <t>Сметная стоимость, тыс. руб.</t>
  </si>
  <si>
    <t>Общая сметная стоимость, тыс. руб.</t>
  </si>
  <si>
    <t>Прочие</t>
  </si>
  <si>
    <t>В ценах контракта</t>
  </si>
  <si>
    <t>Индекс перехода в цены контракта</t>
  </si>
  <si>
    <t>прочие правый</t>
  </si>
  <si>
    <t>строитель-
ных работ</t>
  </si>
  <si>
    <t>монтажных работ</t>
  </si>
  <si>
    <t>оборудования, мебели, инвентаря</t>
  </si>
  <si>
    <t>прочих</t>
  </si>
  <si>
    <t>Глава 1. Подготовка территории строительства</t>
  </si>
  <si>
    <t>01-01</t>
  </si>
  <si>
    <t>Демонтаж причальных сооружений. Правый берег</t>
  </si>
  <si>
    <t>01-02</t>
  </si>
  <si>
    <t>Демонтаж причальных сооружений. Левый берег</t>
  </si>
  <si>
    <t>01-03</t>
  </si>
  <si>
    <t>Расчет №1</t>
  </si>
  <si>
    <t>Восстановление оси трассы (правый)</t>
  </si>
  <si>
    <t>Расчет №2</t>
  </si>
  <si>
    <t>Восстановление оси трассы (левый)</t>
  </si>
  <si>
    <t>Итого по Главе 1. "Подготовка территории строительства"</t>
  </si>
  <si>
    <t>Глава 2. Основные объекты строительства</t>
  </si>
  <si>
    <t>02-01</t>
  </si>
  <si>
    <t>Правый берег</t>
  </si>
  <si>
    <t>02-02</t>
  </si>
  <si>
    <t>Левый берег</t>
  </si>
  <si>
    <t>Итого по Главе 2. "Основные объекты строительства"</t>
  </si>
  <si>
    <t>Глава 4. Объекты энергетического хозяйства</t>
  </si>
  <si>
    <t>04-01</t>
  </si>
  <si>
    <t>Наружное освещение (правый берег)</t>
  </si>
  <si>
    <t>04-02</t>
  </si>
  <si>
    <t>Наружное освещение (левый берег)</t>
  </si>
  <si>
    <t>Итого по Главе 4. "Объекты энергетического хозяйства"</t>
  </si>
  <si>
    <t>Глава 7. Благоустройство и озеленение территории</t>
  </si>
  <si>
    <t>Итого по Главам 1-7</t>
  </si>
  <si>
    <t>Глава 8. Временные здания и сооружения</t>
  </si>
  <si>
    <t>Итого по Главам 1-8</t>
  </si>
  <si>
    <t>Глава 9. Прочие работы и затраты</t>
  </si>
  <si>
    <t>09-01</t>
  </si>
  <si>
    <t>Расчет перебазировки техники</t>
  </si>
  <si>
    <t>09-02</t>
  </si>
  <si>
    <t>Расчет стоимости доставки материалов (правый берег)</t>
  </si>
  <si>
    <t>09-03</t>
  </si>
  <si>
    <t>Расчет стоимости доставки материалов (левый берег)</t>
  </si>
  <si>
    <t>Расчет №3</t>
  </si>
  <si>
    <t>Итого по Главе 9. "Прочие работы и затраты"</t>
  </si>
  <si>
    <t>Итого по Главам 1-9</t>
  </si>
  <si>
    <t>Непредвиденные затраты - 1%</t>
  </si>
  <si>
    <t>НДС - 20%</t>
  </si>
  <si>
    <t>Всего по сводному расчету</t>
  </si>
  <si>
    <t xml:space="preserve">                    "Согласовано"</t>
  </si>
  <si>
    <t>"Утверждаю"</t>
  </si>
  <si>
    <t>Заместитель начальника
 КГКУ "Камчатуправтодор"</t>
  </si>
  <si>
    <t>Начальник КГКУ "Камчатуправтодор"</t>
  </si>
  <si>
    <t>______________________Нейштадт А.Л.</t>
  </si>
  <si>
    <t>______________________Булах О.В.</t>
  </si>
  <si>
    <t>Смета контракта</t>
  </si>
  <si>
    <t>транспортировка, тн</t>
  </si>
  <si>
    <t>№ п/п</t>
  </si>
  <si>
    <t>Номера сметных расчетов (смет) и подиций в сметных расчетах (сметах), относящиеся к соответсвующим конструктивным решениям (элементам), комплексам (видам) работ</t>
  </si>
  <si>
    <t>Наименование конструктивных решений (элементов), комплексов (видов) работ</t>
  </si>
  <si>
    <t>Ед. идм.</t>
  </si>
  <si>
    <t>Кол-во</t>
  </si>
  <si>
    <t>Единичная расценка, руб</t>
  </si>
  <si>
    <t>Общая стоимость, руб</t>
  </si>
  <si>
    <t>объем, левый берег</t>
  </si>
  <si>
    <t>объем, правый берег</t>
  </si>
  <si>
    <t>Цена за ед.</t>
  </si>
  <si>
    <t>Командировочные</t>
  </si>
  <si>
    <t xml:space="preserve">Перебазировка </t>
  </si>
  <si>
    <t>ИТОГО</t>
  </si>
  <si>
    <t>В ценах НМЦК</t>
  </si>
  <si>
    <t>1</t>
  </si>
  <si>
    <t>2</t>
  </si>
  <si>
    <t>3</t>
  </si>
  <si>
    <t>4</t>
  </si>
  <si>
    <t>5</t>
  </si>
  <si>
    <t>6</t>
  </si>
  <si>
    <t>7</t>
  </si>
  <si>
    <t>Раздел 1.1. Восстановление оси трассы</t>
  </si>
  <si>
    <t>01.01.1</t>
  </si>
  <si>
    <t xml:space="preserve">Расчет №1 </t>
  </si>
  <si>
    <t>Восстановление оси трассы  (правый берег)</t>
  </si>
  <si>
    <t>км</t>
  </si>
  <si>
    <t>01.01.2</t>
  </si>
  <si>
    <t xml:space="preserve">Расчет №2 </t>
  </si>
  <si>
    <t>Восстановление оси трассы  (левый берег)</t>
  </si>
  <si>
    <t xml:space="preserve">Итого: раздел 1.1. </t>
  </si>
  <si>
    <t>Раздел 1.2. Демонтаж конструкций причального сооружения. Правый берег</t>
  </si>
  <si>
    <t>01.02.1</t>
  </si>
  <si>
    <t>ЛСР №01-01, п.1-6</t>
  </si>
  <si>
    <t>Демонтаж существующего деревянного причала (правый берег) с погрузкой и транспортировкой на расстояние до 9 км</t>
  </si>
  <si>
    <t>комплекс</t>
  </si>
  <si>
    <t>01.02.2</t>
  </si>
  <si>
    <t>ЛСР №01-01, п.7-12</t>
  </si>
  <si>
    <t>Демонтаж существующего пирса (правый берег) с погрузкой и транспортировкой на расстояние до 9 км</t>
  </si>
  <si>
    <t xml:space="preserve">Итого: раздел 1.2. </t>
  </si>
  <si>
    <t>Раздел 1.3. Демонтаж конструкций причала левого берега.</t>
  </si>
  <si>
    <t>Раздел 1.3.1 Временный пирс (судно-лихтер)</t>
  </si>
  <si>
    <t>01.03.1</t>
  </si>
  <si>
    <t>ЛСР №01-02 п.1</t>
  </si>
  <si>
    <t xml:space="preserve">Срезка надстроек, возвышающихся над уровнем воды </t>
  </si>
  <si>
    <t>м</t>
  </si>
  <si>
    <t>01.03.2</t>
  </si>
  <si>
    <t>ЛСР №01-02 п.2</t>
  </si>
  <si>
    <t>Откачка воды из корпуса судна-лихтера передвижным насосом</t>
  </si>
  <si>
    <t>м3</t>
  </si>
  <si>
    <t>01.03.3</t>
  </si>
  <si>
    <t>ЛСР №01-02 п.3</t>
  </si>
  <si>
    <t>Очистка трюма судна-лихтера от грунта</t>
  </si>
  <si>
    <t>01.03.4</t>
  </si>
  <si>
    <t>ЛСР №01-02 п.4</t>
  </si>
  <si>
    <t>Выравнивание берега до пляжного откоса</t>
  </si>
  <si>
    <t>01.03.5</t>
  </si>
  <si>
    <t>ЛСР №01-02 п.5, п.6</t>
  </si>
  <si>
    <t>Забивка свай фундамента анкерной опоры</t>
  </si>
  <si>
    <t>т</t>
  </si>
  <si>
    <t>01.03.6</t>
  </si>
  <si>
    <t>ЛСР №01-02 п.7-9</t>
  </si>
  <si>
    <t>Монтаж анкерной опоры в виде ростверка</t>
  </si>
  <si>
    <t>01.03.7</t>
  </si>
  <si>
    <t>ЛСР №01-02  п.10</t>
  </si>
  <si>
    <t>Откачка воды из трюма лихтера</t>
  </si>
  <si>
    <t>01.03.8</t>
  </si>
  <si>
    <t>ЛСР №01-02  п.11-12</t>
  </si>
  <si>
    <t>Вытаскивание корпуса судна-лихтера на берег</t>
  </si>
  <si>
    <t>01.03.10</t>
  </si>
  <si>
    <t>ЛСР №01-02  п.13</t>
  </si>
  <si>
    <t>Демонтаж анкерных опор в виде ростверка</t>
  </si>
  <si>
    <t>01.03.11</t>
  </si>
  <si>
    <t>ЛСР №01-02  п.14</t>
  </si>
  <si>
    <t>Демонтаж  свай</t>
  </si>
  <si>
    <t>01.03.12</t>
  </si>
  <si>
    <t>ЛСР №01-02  п.15</t>
  </si>
  <si>
    <t>Перевозка автосамосвалами металлолома на расстояние до 10 км</t>
  </si>
  <si>
    <t>Итого по Разделу 1.3.1</t>
  </si>
  <si>
    <t>Раздел 1.3.2 Временный причал (плашкоут)</t>
  </si>
  <si>
    <t>ЛСР №01-02  п.16</t>
  </si>
  <si>
    <t>Очистка корпуса плашкоута от грунта экскаватором</t>
  </si>
  <si>
    <t>01.03.13</t>
  </si>
  <si>
    <t>ЛСР №01-02  п.17</t>
  </si>
  <si>
    <t>Откачка воды из корпуса плашкоута насосами</t>
  </si>
  <si>
    <t>01.03.14</t>
  </si>
  <si>
    <t>ЛСР №01-02  п.18-19</t>
  </si>
  <si>
    <t xml:space="preserve">Вытаскивание корпуса плашкоута на берег </t>
  </si>
  <si>
    <t>01.03.15</t>
  </si>
  <si>
    <t xml:space="preserve">ЛСР №01-02  п.20 </t>
  </si>
  <si>
    <t>Итого по Разделу 1.3.2</t>
  </si>
  <si>
    <t>Итого по Разделу 1.3.</t>
  </si>
  <si>
    <t>Раздел 1.4. Демонтаж существущего обустройства</t>
  </si>
  <si>
    <t>01.04.1</t>
  </si>
  <si>
    <t>ЛСР №01-03, п.1-2</t>
  </si>
  <si>
    <t>Демонтаж дорожных знаков на металлических стойках с транспортировкой на полигон ТБО на расстояние до 9 км</t>
  </si>
  <si>
    <t>шт</t>
  </si>
  <si>
    <t xml:space="preserve">Итого: раздел 1.4. </t>
  </si>
  <si>
    <t>Итого: Глава 1.</t>
  </si>
  <si>
    <t>Глава 2. Причальное сооружение  (правый берег)</t>
  </si>
  <si>
    <t>Раздел 2.1. Конструктивные элементы (правый берег)</t>
  </si>
  <si>
    <t>Причал</t>
  </si>
  <si>
    <t>02.01.1</t>
  </si>
  <si>
    <t>ЛСР №02-01-01, п. 1</t>
  </si>
  <si>
    <t xml:space="preserve">Погружение вертикальных свай С-1 </t>
  </si>
  <si>
    <t>тн</t>
  </si>
  <si>
    <t>02.01.2</t>
  </si>
  <si>
    <t xml:space="preserve">Погружение вертикальных свай С-2 </t>
  </si>
  <si>
    <t>02.01.3</t>
  </si>
  <si>
    <t>ЛСР №02-01-01, п. 2</t>
  </si>
  <si>
    <t xml:space="preserve">Погружение наклонных свай С-3 </t>
  </si>
  <si>
    <t>02.01.4</t>
  </si>
  <si>
    <t>ЛСР №02-01-01, п. 3, ЛСР 09-02-01 п. 1</t>
  </si>
  <si>
    <t>Сваи из стальных труб d=630 мм, толщина стенки 12 мм</t>
  </si>
  <si>
    <t>02.01.5</t>
  </si>
  <si>
    <t>ЛСР №02-01-01, п. 6</t>
  </si>
  <si>
    <t>Установка арматурного каркаса</t>
  </si>
  <si>
    <t>02.01.6</t>
  </si>
  <si>
    <t>ЛСР №02-01-01, п. 7, ЛСР 09-02-01 п. 1</t>
  </si>
  <si>
    <t>Арматурные каркасы</t>
  </si>
  <si>
    <t>02.01.7</t>
  </si>
  <si>
    <t>ЛСР №02-01-01, п. 8-10, ЛСР 09-02-01 п. 1</t>
  </si>
  <si>
    <t>Заполнение свай бетоном</t>
  </si>
  <si>
    <t>02.01.8</t>
  </si>
  <si>
    <t>ЛСР №02-01-01, п. 4-5, ЛСР 09-02-01 п. 1</t>
  </si>
  <si>
    <t xml:space="preserve">Погружение шпунтов </t>
  </si>
  <si>
    <t>02.01.9</t>
  </si>
  <si>
    <t>ЛСР №02-01-01, п. 43-46</t>
  </si>
  <si>
    <t>Нанесение вручную праймера на стальную надвобную поверхность сваи (шпунта)</t>
  </si>
  <si>
    <r>
      <rPr>
        <sz val="12"/>
        <rFont val="Times New Roman"/>
        <charset val="204"/>
      </rPr>
      <t>м</t>
    </r>
    <r>
      <rPr>
        <vertAlign val="superscript"/>
        <sz val="12"/>
        <rFont val="Times New Roman"/>
        <charset val="204"/>
      </rPr>
      <t>2</t>
    </r>
  </si>
  <si>
    <t>02.01.11</t>
  </si>
  <si>
    <t>ЛСР №02-01-01, п. 47-48</t>
  </si>
  <si>
    <t>Нанесение обматыванием по спирали ленты на надводную поверхность стальной сваи</t>
  </si>
  <si>
    <t>02.01.13</t>
  </si>
  <si>
    <t>ЛСР №02-01-01, п. 49-50</t>
  </si>
  <si>
    <t xml:space="preserve">Монтаж кожуха на надводную поверхность стальной сваи </t>
  </si>
  <si>
    <t>02.01.15</t>
  </si>
  <si>
    <t>ЛСР №02-01-01, п. 51</t>
  </si>
  <si>
    <t xml:space="preserve">Нанесение мастики на подготовленную стальную поверхность над водой </t>
  </si>
  <si>
    <t>02.01.17</t>
  </si>
  <si>
    <t>ЛСР №02-01-01, п. 11, ЛСР 09-02-01 п. 1</t>
  </si>
  <si>
    <t>Устройство наголовника свай НС-1, НС-2, НС-3</t>
  </si>
  <si>
    <t>02.01.18</t>
  </si>
  <si>
    <t>ЛСР №02-01-01, п. 12-13, ЛСР 09-02-01 п. 1</t>
  </si>
  <si>
    <t>Устройство связи СВ-1, СВ-2, СВ-3 на причале (стальная конструкция)</t>
  </si>
  <si>
    <t>Возведение верхнего строения пирса</t>
  </si>
  <si>
    <t>02.01.19</t>
  </si>
  <si>
    <t>ЛСР №02-01-01, п. 52-53, ЛСР 09-02-01 п. 1</t>
  </si>
  <si>
    <t>Устройство связи СВ-1, СВ-4, СВ-5 на пирсе (стальная конструкция)</t>
  </si>
  <si>
    <t>02.01.20</t>
  </si>
  <si>
    <t>ЛСР №02-01-01, п. 61-63, ЛСР 09-02-01 п. 1</t>
  </si>
  <si>
    <t>Омоноличивание оголовока пирса</t>
  </si>
  <si>
    <r>
      <rPr>
        <sz val="12"/>
        <rFont val="Times New Roman"/>
        <charset val="204"/>
      </rPr>
      <t>м</t>
    </r>
    <r>
      <rPr>
        <vertAlign val="superscript"/>
        <sz val="12"/>
        <rFont val="Times New Roman"/>
        <charset val="204"/>
      </rPr>
      <t>3</t>
    </r>
  </si>
  <si>
    <t>16</t>
  </si>
  <si>
    <t>02.01.21</t>
  </si>
  <si>
    <t>ЛСР №02-01-01, п. 72</t>
  </si>
  <si>
    <t>Устройство антисейсмических швов</t>
  </si>
  <si>
    <t>02.01.22</t>
  </si>
  <si>
    <t>ЛСР №02-01-01, п. 64, ЛСР 09-02-01 п. 1</t>
  </si>
  <si>
    <t>Армирование оголовка пирса</t>
  </si>
  <si>
    <t>02.01.23</t>
  </si>
  <si>
    <t xml:space="preserve">ЛСР №02-01-01, п. 56, </t>
  </si>
  <si>
    <t>Монтаж каркаса поддерживающего КП-1 из арматуры</t>
  </si>
  <si>
    <t>0,46</t>
  </si>
  <si>
    <t>02.01.24</t>
  </si>
  <si>
    <t>ЛСР №02-01-01, п. 54, 55, 57,58, 59, 60, ЛСР 09-02-01 п. 1</t>
  </si>
  <si>
    <t>Омоноличивание верхнего строения пирса</t>
  </si>
  <si>
    <t>02.01.25</t>
  </si>
  <si>
    <t>ЛСР №02-01-01, п. 65-68</t>
  </si>
  <si>
    <t>Устройство колесоотбойников пирса</t>
  </si>
  <si>
    <t>8,1</t>
  </si>
  <si>
    <t>Возведение верхнего строения причала</t>
  </si>
  <si>
    <t>02.01.26</t>
  </si>
  <si>
    <t>ЛСР №02-01-01, п. 14, 15 17-18, ЛСР 09-02-01 п. 1</t>
  </si>
  <si>
    <t>Омоноличивание верхнего строения причала</t>
  </si>
  <si>
    <t>237</t>
  </si>
  <si>
    <t>02.01.27</t>
  </si>
  <si>
    <t>ЛСР №02-01-01, п. 40</t>
  </si>
  <si>
    <t>02.01.28</t>
  </si>
  <si>
    <t>ЛСР №02-01-01, п. 19-22, ЛСР 09-02-01 п. 1</t>
  </si>
  <si>
    <t>Устройство колесоотбойников</t>
  </si>
  <si>
    <t>4,2</t>
  </si>
  <si>
    <r>
      <rPr>
        <b/>
        <i/>
        <sz val="12"/>
        <rFont val="Times New Roman"/>
        <charset val="204"/>
      </rPr>
      <t>Поддерживающий каркас</t>
    </r>
  </si>
  <si>
    <t>02.01.29</t>
  </si>
  <si>
    <t>ЛСР №02-01-01, п. 16, ЛСР 09-02-01 п. 1</t>
  </si>
  <si>
    <t>02.01.30</t>
  </si>
  <si>
    <t>ЛСР №02-01-01, п. 34-37, ЛСР 09-02-01 п. 1</t>
  </si>
  <si>
    <t>Устройство монолитного железобетонного массива</t>
  </si>
  <si>
    <t>55</t>
  </si>
  <si>
    <t>02.01.31</t>
  </si>
  <si>
    <t>ЛСР №02-01-01, п. 32-33</t>
  </si>
  <si>
    <t xml:space="preserve">Устройство бетонной подготовки </t>
  </si>
  <si>
    <t>11</t>
  </si>
  <si>
    <t>02.01.32</t>
  </si>
  <si>
    <t>ЛСР №02-01-01, п. 37-39</t>
  </si>
  <si>
    <t>Укрепление подпричального откоса камнем</t>
  </si>
  <si>
    <t>02.01.33</t>
  </si>
  <si>
    <t>ЛСР №02-01-01, п. 73-74</t>
  </si>
  <si>
    <t>Обваловка свай пирса камнем</t>
  </si>
  <si>
    <t>328</t>
  </si>
  <si>
    <r>
      <rPr>
        <b/>
        <i/>
        <sz val="12"/>
        <rFont val="Times New Roman"/>
        <charset val="204"/>
      </rPr>
      <t>Элементы обустройства</t>
    </r>
  </si>
  <si>
    <t>02.01.34</t>
  </si>
  <si>
    <t>ЛСР №02-01-01, п. 41-42</t>
  </si>
  <si>
    <t>Монтаж шлагбаума</t>
  </si>
  <si>
    <t>02.01.35</t>
  </si>
  <si>
    <t>ЛСР №02-01-01, п. 27, 23-24, ЛСР 09-02-01 п. 1</t>
  </si>
  <si>
    <t>Установка стального перильного ограждения</t>
  </si>
  <si>
    <t>02.01.36</t>
  </si>
  <si>
    <t>ЛСР №02-01-01, п. 25, ЛСР 09-02-01 п. 1</t>
  </si>
  <si>
    <t>Навеска отбойных устройств</t>
  </si>
  <si>
    <t>02.01.37</t>
  </si>
  <si>
    <t>ЛСР №02-01-01, п. 26</t>
  </si>
  <si>
    <t xml:space="preserve">Монтаж стальных скоб-трапов </t>
  </si>
  <si>
    <t>02.01.38</t>
  </si>
  <si>
    <t>ЛСР №02-01-01, п. 28-30, 69, 70</t>
  </si>
  <si>
    <t>Установка швартовых тумб</t>
  </si>
  <si>
    <t>02.01.39</t>
  </si>
  <si>
    <t>ЛСР №02-01-01, п. 75-76</t>
  </si>
  <si>
    <t xml:space="preserve">Установка светодиодных сигнальных огоней для причалов </t>
  </si>
  <si>
    <t>шт.</t>
  </si>
  <si>
    <t>Итого: раздел 2.1.</t>
  </si>
  <si>
    <t xml:space="preserve">Раздел 2.2. Дноуглубительные работы </t>
  </si>
  <si>
    <t>02.02.1</t>
  </si>
  <si>
    <t>ЛСР №02-01-02, п. 1</t>
  </si>
  <si>
    <t xml:space="preserve">Дноуглубительные работы </t>
  </si>
  <si>
    <t>1249</t>
  </si>
  <si>
    <t xml:space="preserve">Итого: раздел 2.2. </t>
  </si>
  <si>
    <t>Раздел 2.3. Перенос автобусного павильона для пассажиров. Правый берег</t>
  </si>
  <si>
    <t>02.03.1</t>
  </si>
  <si>
    <t>ЛСР №02-01-03, п. 1-6</t>
  </si>
  <si>
    <t>Демонтаж существующего автопавильона с погрузкой  и транспортировкой на временную площадку складирования</t>
  </si>
  <si>
    <t>02.03.2</t>
  </si>
  <si>
    <t>ЛСР №02-01-03, п. 7-8</t>
  </si>
  <si>
    <t>Погрузка и доставка элементов существующего автопавильона от временной площадки складирования до места работ</t>
  </si>
  <si>
    <t>02.03.3</t>
  </si>
  <si>
    <t>ЛСР №02-01-03, п. 9-29, ЛСР 09-02-01 п. 1</t>
  </si>
  <si>
    <t xml:space="preserve">Монтаж железобетонного автобусного павильона с установкой скамьи, урны </t>
  </si>
  <si>
    <t xml:space="preserve">Итого: раздел 2.3. </t>
  </si>
  <si>
    <t>Раздел 2.4. Подъездная дорога. Правый берег</t>
  </si>
  <si>
    <t xml:space="preserve">Раздел 2.4.1 Восстановление покрытия </t>
  </si>
  <si>
    <t xml:space="preserve">Замена пучинистого основания </t>
  </si>
  <si>
    <t>02.04.1</t>
  </si>
  <si>
    <t>ЛСР №02-01-04, п. 1</t>
  </si>
  <si>
    <t xml:space="preserve">Фрезеровка существующего асфальтобетона с погрузкой в автосамосвалы и транспортировкой до 9 км </t>
  </si>
  <si>
    <t>130</t>
  </si>
  <si>
    <t>02.04.2</t>
  </si>
  <si>
    <t>ЛСР №02-01-04, п. 2, 4</t>
  </si>
  <si>
    <t>Разработка грунта 1 группы, y=1,70 т/м3, экскаватором с емкостью ковша 1,0 м3 с последующей погрузкой в автосамосвалы и транспортировкой до 9 км</t>
  </si>
  <si>
    <t>02.04.3</t>
  </si>
  <si>
    <t>ЛСР №02-01-04, п. 3</t>
  </si>
  <si>
    <t>Разработка крупнообломочного грунта 4 группы y=2,26 т/м3 экскаватором емкостью ковша 1,0 м3 с погрузкой и транспортировкой на расстояние до 43 км в основание дорожной одежды из карьера (км 381 а/д Мильково-Ключи-Усть-Камчатск)</t>
  </si>
  <si>
    <t>не учтена транспортировка</t>
  </si>
  <si>
    <t>02.04.4</t>
  </si>
  <si>
    <t>ЛСР №02-01-04, п. 5-6</t>
  </si>
  <si>
    <t xml:space="preserve">Уплотнение грунта </t>
  </si>
  <si>
    <r>
      <rPr>
        <b/>
        <i/>
        <sz val="12"/>
        <rFont val="Times New Roman"/>
        <charset val="204"/>
      </rPr>
      <t>Устройство новой дорожной на сопряжении с причальным сооружением</t>
    </r>
  </si>
  <si>
    <t>02.04.5</t>
  </si>
  <si>
    <t>ЛСР №02-01-04, п. 11-17, ЛСР 09-02-01 п. 1</t>
  </si>
  <si>
    <t xml:space="preserve">Устройство покрытия цементобетонного толщиной 10 см </t>
  </si>
  <si>
    <t>191</t>
  </si>
  <si>
    <t>02.04.6</t>
  </si>
  <si>
    <t>ЛСР №02-01-04, п. 9-10, ЛСР 09-02-01 п. 1</t>
  </si>
  <si>
    <t>Устройство верхнего слоя основания из фракционированного щебня, уложенного по способу заклинки, толщиной 20 см</t>
  </si>
  <si>
    <t>02.04.7</t>
  </si>
  <si>
    <t>ЛСР №02-01-04, п. 7-8</t>
  </si>
  <si>
    <t>Устройство нижнего слоя основания из щебеночно-песчаной смеси С5, толщиной 29 см</t>
  </si>
  <si>
    <r>
      <rPr>
        <b/>
        <i/>
        <sz val="12"/>
        <rFont val="Times New Roman"/>
        <charset val="204"/>
      </rPr>
      <t>Устройство новой дорожной одежды на остановочной площадке автобусной остановки</t>
    </r>
  </si>
  <si>
    <t>02.04.8</t>
  </si>
  <si>
    <t>ЛСР №02-01-04, п. 22-24, ЛСР 09-02-01 п. 1</t>
  </si>
  <si>
    <t>Устройство покрытия цементобетонного толщиной 10 см</t>
  </si>
  <si>
    <t>46</t>
  </si>
  <si>
    <t>02.04.9</t>
  </si>
  <si>
    <t>ЛСР №02-01-04, п. 20-21, ЛСР 09-02-01 п. 1</t>
  </si>
  <si>
    <t>Устройство верхнего слоя основания из фракционированного щебня, уложенного по способу заклинки, толщиной 20 см, в т.ч.:</t>
  </si>
  <si>
    <t>02.04.10</t>
  </si>
  <si>
    <t>ЛСР №02-01-04, п. 18-19</t>
  </si>
  <si>
    <r>
      <rPr>
        <b/>
        <i/>
        <sz val="12"/>
        <rFont val="Times New Roman"/>
        <charset val="204"/>
      </rPr>
      <t>Устройство тротуара</t>
    </r>
  </si>
  <si>
    <t>Длина тротуара</t>
  </si>
  <si>
    <t>18</t>
  </si>
  <si>
    <t>02.04.11</t>
  </si>
  <si>
    <t>ЛСР №02-01-07, п. 25-26</t>
  </si>
  <si>
    <t>Устройство подготовки из щебеночно-песчаной смеси С5, толщиной 10 см</t>
  </si>
  <si>
    <t>02.04.12</t>
  </si>
  <si>
    <t>ЛСР №02-01-07, п. 27-29, ЛСР 09-02-01 п. 1</t>
  </si>
  <si>
    <t xml:space="preserve">Устройство бордюра </t>
  </si>
  <si>
    <t>п.м</t>
  </si>
  <si>
    <t>36</t>
  </si>
  <si>
    <t>02.04.13</t>
  </si>
  <si>
    <t>ЛСР №02-01-07, п. 30-32, ЛСР 09-02-01 п. 1</t>
  </si>
  <si>
    <t>Устройство покрытия из цементобетона, толщиной 5 см</t>
  </si>
  <si>
    <t xml:space="preserve">Итого: раздел 2.4.1. </t>
  </si>
  <si>
    <t>Раздел 2.4.2. Укрепление откосов габионами</t>
  </si>
  <si>
    <t>02.04.14</t>
  </si>
  <si>
    <t>ЛСР №02-01-04, п. 33-36, ЛСР 09-02-01 п. 1</t>
  </si>
  <si>
    <t>Укрепление откоса матрацами Рено</t>
  </si>
  <si>
    <t>17</t>
  </si>
  <si>
    <t>02.04.15</t>
  </si>
  <si>
    <t>ЛСР №02-01-04, п. 37-38, ЛСР 09-02-01 п. 1</t>
  </si>
  <si>
    <t xml:space="preserve">Разработка котлован для установки габионов </t>
  </si>
  <si>
    <t>02.04.16</t>
  </si>
  <si>
    <t>ЛСР №02-01-04, п. 39-42</t>
  </si>
  <si>
    <t xml:space="preserve">Установка габионов </t>
  </si>
  <si>
    <t xml:space="preserve">Итого: раздел 2.4.2. </t>
  </si>
  <si>
    <t xml:space="preserve">Итого: раздел 2.4 </t>
  </si>
  <si>
    <t>Раздел 2.5 Обустройство</t>
  </si>
  <si>
    <t xml:space="preserve"> Барьерное ограждение</t>
  </si>
  <si>
    <t>02.04.17</t>
  </si>
  <si>
    <t>ЛСР №02-01-04, п. 43-44, ЛСР 09-02-01 п. 1</t>
  </si>
  <si>
    <t xml:space="preserve">Установка барьерного ограждения  </t>
  </si>
  <si>
    <t>п.м.</t>
  </si>
  <si>
    <t>Дорожные знаки</t>
  </si>
  <si>
    <t>02.04.18</t>
  </si>
  <si>
    <t>ЛСР №02-01-04, п. 45-49</t>
  </si>
  <si>
    <t>Устройство присыпных берм</t>
  </si>
  <si>
    <t>10</t>
  </si>
  <si>
    <t>02.04.19</t>
  </si>
  <si>
    <t>ЛСР №02-01-04, п. 50-54, ЛСР 09-02-01 п. 1</t>
  </si>
  <si>
    <t xml:space="preserve">Установка металлических стоек с омоноличиванием стоек </t>
  </si>
  <si>
    <t>Монтаж щитков</t>
  </si>
  <si>
    <t>Знаки предупреждающие:</t>
  </si>
  <si>
    <t>02.04.20</t>
  </si>
  <si>
    <t xml:space="preserve">ЛСР №02-01-07, п. 55, ЛСР 09-02-01 п. 1 </t>
  </si>
  <si>
    <t>щиток А-700, масса - 3,16 кг (1.10)</t>
  </si>
  <si>
    <t>Знаки приоритета:</t>
  </si>
  <si>
    <t>02.04.21</t>
  </si>
  <si>
    <t>ЛСР №02-01-07, п. 56, ЛСР 09-02-01 п. 1</t>
  </si>
  <si>
    <t>щиток А-700, масса - 3,16 кг (2.4)</t>
  </si>
  <si>
    <t>Запрещающие знаки:</t>
  </si>
  <si>
    <t>02.04.22</t>
  </si>
  <si>
    <t>ЛСР №02-01-07, п. 57, ЛСР 09-02-01 п. 1</t>
  </si>
  <si>
    <t>щиток D-600, масса - 4,21 кг (3.1)</t>
  </si>
  <si>
    <t>Предписывающие знаки:</t>
  </si>
  <si>
    <t>02.04.23</t>
  </si>
  <si>
    <t>ЛСР №02-01-07, п. 58, ЛСР 09-02-01 п. 1</t>
  </si>
  <si>
    <t>щиток D-600, масса - 4,21 кг (4.1.4;4.3)</t>
  </si>
  <si>
    <t>Знаки особых предписаний:</t>
  </si>
  <si>
    <t>02.04.24</t>
  </si>
  <si>
    <t>ЛСР №02-01-07, п. 59, ЛСР 09-02-01 п. 1</t>
  </si>
  <si>
    <t>щиток 600x900, масса - 8,04 кг (5.16)</t>
  </si>
  <si>
    <t>02.04.25</t>
  </si>
  <si>
    <t>ЛСР №02-01-07, п. 60, ЛСР 09-02-01 п. 1</t>
  </si>
  <si>
    <t>щиток Bx600, масса - 5,36 кг (5.15.1; 5.15.4.1; 5.15.6; 5.15.7.1)</t>
  </si>
  <si>
    <t>02.04.26</t>
  </si>
  <si>
    <t>ЛСР №02-01-07, п. 61, ЛСР 09-02-01 п. 1</t>
  </si>
  <si>
    <t>щиток Bx700, масса - 7,29 кг (5.19.1)</t>
  </si>
  <si>
    <t>Устройство горизонтальной разметки краской со стеклошариками</t>
  </si>
  <si>
    <t>02.04.27</t>
  </si>
  <si>
    <t>ЛСР №02-01-07, п. 62-63</t>
  </si>
  <si>
    <t xml:space="preserve"> Устройство горизонтальной разметки </t>
  </si>
  <si>
    <t>пм</t>
  </si>
  <si>
    <t>Устройство площадной разметки краской со стеклошариками</t>
  </si>
  <si>
    <t>02.04.28</t>
  </si>
  <si>
    <t>Устройство площадной разметки</t>
  </si>
  <si>
    <t>м2</t>
  </si>
  <si>
    <t>Итого: раздел 2.5</t>
  </si>
  <si>
    <t>Итого: Глава 2</t>
  </si>
  <si>
    <t>Глава 3. Причальное соружение (левый берег).</t>
  </si>
  <si>
    <t>Раздел 3.1 Конструктивные элементы</t>
  </si>
  <si>
    <t>Погружение свай, бетонирование свай, погружение шпунта</t>
  </si>
  <si>
    <t>03.01.01</t>
  </si>
  <si>
    <t xml:space="preserve">ЛСР №02-02-01  п. 1 </t>
  </si>
  <si>
    <t>03.01.02</t>
  </si>
  <si>
    <t xml:space="preserve">Погружение вертикальных свай  С-2 </t>
  </si>
  <si>
    <t>03.01.03</t>
  </si>
  <si>
    <t xml:space="preserve">ЛСР №02-02-01  п. 2 </t>
  </si>
  <si>
    <t>03.01.04</t>
  </si>
  <si>
    <t>ЛСР №02-02-01  п. 3, ЛСР 09-03-01 п. 1</t>
  </si>
  <si>
    <t>03.01.05</t>
  </si>
  <si>
    <t>ЛСР №02-02-01  п. 4, 5, ЛСР 09-03-01 п. 1</t>
  </si>
  <si>
    <t>03.01.06</t>
  </si>
  <si>
    <t>ЛСР №02-02-01  п. 6</t>
  </si>
  <si>
    <t xml:space="preserve">Установка арматурных каркасов </t>
  </si>
  <si>
    <t>03.01.07</t>
  </si>
  <si>
    <t>ЛСР №02-02-01  п. 7, ЛСР 09-03-01 п. 1</t>
  </si>
  <si>
    <t>03.01.08</t>
  </si>
  <si>
    <t>ЛСР №02-01-02  п. 8, 9, 10, ЛСР 09-03-01 п. 1</t>
  </si>
  <si>
    <t>Заполнение свай  бетоном</t>
  </si>
  <si>
    <t>03.01.09</t>
  </si>
  <si>
    <t>ЛСР №02-02-01  п. 11, ЛСР 09-03-01 п. 1</t>
  </si>
  <si>
    <t>Монтаж наголовников свай НС-1, НС-2, НС-3</t>
  </si>
  <si>
    <t>03.01.10</t>
  </si>
  <si>
    <t>ЛСР №02-02-01  п. 12, ЛСР 09-03-01 п. 1</t>
  </si>
  <si>
    <t>Монтаж связей СВ-1, СВ-2, СВ-3</t>
  </si>
  <si>
    <t>Устройство верхнего строения причала</t>
  </si>
  <si>
    <t>03.01.11</t>
  </si>
  <si>
    <t>ЛСР №02-02-01  п. 14-18, ЛСР 09-03-01 п. 1</t>
  </si>
  <si>
    <t>Омоноличивание верхнего строения  причала</t>
  </si>
  <si>
    <t>03.01.12</t>
  </si>
  <si>
    <t>ЛСР №02-02-01  п. 19-20</t>
  </si>
  <si>
    <t>Установка закладных деталей верхнего строения причала (Гильзы Г-1, Зд-1, Зд-2)</t>
  </si>
  <si>
    <t>03.01.13</t>
  </si>
  <si>
    <t>ЛСР №02-02-01   п.22</t>
  </si>
  <si>
    <t>Армирование колесоотбойного бруса на верхнем строении причала</t>
  </si>
  <si>
    <t>03.01.14</t>
  </si>
  <si>
    <t>ЛСР №02-02-01 п. 21, 23-24, ЛСР 09-03-01 п. 1</t>
  </si>
  <si>
    <t>Устройство монолитных колесоотбойников на верхнем строении причала</t>
  </si>
  <si>
    <t>Обустройство причала и пирса</t>
  </si>
  <si>
    <t>03.01.15</t>
  </si>
  <si>
    <t>ЛСР №02-02-01  п. 25, ЛСР 09-03-01 п. 1</t>
  </si>
  <si>
    <t>Установка отбойных устройств причальных сооружений из резиновых труб</t>
  </si>
  <si>
    <t>03.01.16</t>
  </si>
  <si>
    <t>ЛСР №02-02-01  п. 26</t>
  </si>
  <si>
    <t>Установка скоб-траб</t>
  </si>
  <si>
    <t>03.01.17</t>
  </si>
  <si>
    <t>ЛСР №02-02-01  п. 27, ЛСР 09-03-01 п. 1</t>
  </si>
  <si>
    <t>Устройство металлического перильного ограждения</t>
  </si>
  <si>
    <t>03.01.18</t>
  </si>
  <si>
    <t>ЛСР №02-02-01  п. 28-30</t>
  </si>
  <si>
    <t>03.01.19</t>
  </si>
  <si>
    <t>ЛСР №02-02-01  п. 41-42</t>
  </si>
  <si>
    <t>Установка шлагбаумов</t>
  </si>
  <si>
    <t>компл.</t>
  </si>
  <si>
    <t>Устройство железобетонного массива</t>
  </si>
  <si>
    <t>03.01.20</t>
  </si>
  <si>
    <t>ЛСР №02-02-01  п. 31, 32</t>
  </si>
  <si>
    <t>Устройство бетонной подготовки под железобетонный массив</t>
  </si>
  <si>
    <t>03.01.21</t>
  </si>
  <si>
    <t>ЛСР №02-02-01  п. 33-36, ЛСР 09-03-01 п. 1</t>
  </si>
  <si>
    <t xml:space="preserve">Устройство фундаментных плит железобетонных </t>
  </si>
  <si>
    <t>Укрепление надводной и подводной частей откоса</t>
  </si>
  <si>
    <t>03.01.22</t>
  </si>
  <si>
    <t>ЛСР №02-02-01  п.37-39</t>
  </si>
  <si>
    <t>Укрепление откоса камнем по слою щебеночной подготовки (в районе причалов)</t>
  </si>
  <si>
    <t>03.01.23</t>
  </si>
  <si>
    <t>ЛСР №02-02-01  п. 40</t>
  </si>
  <si>
    <t>Гидроизоляция свай и открытых бетонных поверхностей причала</t>
  </si>
  <si>
    <t>03.01.24</t>
  </si>
  <si>
    <t>ЛСР №02-02-01  п. 43-46</t>
  </si>
  <si>
    <t xml:space="preserve">Окраска свай и анкерных плит </t>
  </si>
  <si>
    <t>03.01.25</t>
  </si>
  <si>
    <t>ЛСР №02-02-01  п. 47-48</t>
  </si>
  <si>
    <t>Установка пароизоляционного слоя из пленки полиэтиленовой</t>
  </si>
  <si>
    <t>03.01.26</t>
  </si>
  <si>
    <t>ЛСР №02-02-01  п. 49-50</t>
  </si>
  <si>
    <t>Монтаж защитного кожуха на сваи</t>
  </si>
  <si>
    <t>03.01.27</t>
  </si>
  <si>
    <t xml:space="preserve">ЛСР №02-02-01  п. 51 </t>
  </si>
  <si>
    <t>Покрытие видимых бетонных поверхностей бетонной смолой</t>
  </si>
  <si>
    <t>Пирс</t>
  </si>
  <si>
    <t>03.01.28</t>
  </si>
  <si>
    <t>ЛСР №02-02-01  п. 52-53, ЛСР 09-03-01 п. 1</t>
  </si>
  <si>
    <t>Монтаж связей СВ-1, СВ-4, СВ-5 на пирсе</t>
  </si>
  <si>
    <t>03.01.29</t>
  </si>
  <si>
    <t>ЛСР №02-02-01  п. 53-58, ЛСР 09-03-01 п. 1</t>
  </si>
  <si>
    <t>Омоноличивание верхнего строения пирса  (В25)</t>
  </si>
  <si>
    <t>03.01.30</t>
  </si>
  <si>
    <t>ЛСР №02-02-01  п. 59-60, ЛСР 09-03-01 п. 1</t>
  </si>
  <si>
    <t>Установка закладных деталей</t>
  </si>
  <si>
    <t>03.01.31</t>
  </si>
  <si>
    <t>ЛСР №02-02-01  п. 61-64, ЛСР 09-03-01 п. 1</t>
  </si>
  <si>
    <t>Устройство монолитного железобетонного оголовка пирса</t>
  </si>
  <si>
    <t>03.01.32</t>
  </si>
  <si>
    <t>ЛСР №02-01-02  п. 65-68, ЛСР 09-03-01 п. 1</t>
  </si>
  <si>
    <t>Устройство монолитных колесоотбойных брусов на пирсе</t>
  </si>
  <si>
    <t>03.01.33</t>
  </si>
  <si>
    <t>ЛСР №02-02-01  п. 69-71</t>
  </si>
  <si>
    <t>Устройство тумбы швартовой</t>
  </si>
  <si>
    <t>03.01.34</t>
  </si>
  <si>
    <t>ЛСР №02-02-01  п. 72</t>
  </si>
  <si>
    <t>Монтаж антисейсмических швов</t>
  </si>
  <si>
    <t>03.01.35</t>
  </si>
  <si>
    <t>ЛСР №02-02-01  п. 73-74</t>
  </si>
  <si>
    <t>Укрепление откоса камнем по слою щебеночной подготовки (в районе пирса)</t>
  </si>
  <si>
    <t xml:space="preserve">Установка сигнальных огней на причале и на пирсе  </t>
  </si>
  <si>
    <t>03.01.36</t>
  </si>
  <si>
    <t>ЛСР №02-02-01  п. 75-76</t>
  </si>
  <si>
    <t>Монтаж светодиодных сигнальных огней для причалов красных</t>
  </si>
  <si>
    <t>Итого: раздел 3.1.</t>
  </si>
  <si>
    <t xml:space="preserve">Раздел 3.2. Дноуглубительные работы </t>
  </si>
  <si>
    <t>03.02.1</t>
  </si>
  <si>
    <t>ЛСР №02-02-02  п. 1</t>
  </si>
  <si>
    <t>Разработка грунта из-под воды в баржи грейфером грузоподъемнотсью 5 т с транспортировкой грунта на расстояние до 5 км</t>
  </si>
  <si>
    <t>Итого: раздел 3.2.</t>
  </si>
  <si>
    <t>Раздел 3.3. Монтаж ж/б  павильона для пассажиров</t>
  </si>
  <si>
    <t>03.03.1</t>
  </si>
  <si>
    <t>ЛСР №02-02-03, п. 1-31, ЛСР 09-03-01 п. 1</t>
  </si>
  <si>
    <t>Итого: раздел 3.3.</t>
  </si>
  <si>
    <t>Раздел 3.4. Подъездная дорога (левый берег)</t>
  </si>
  <si>
    <t>Раздел 3.4.1. Площадка к причальному сооружению</t>
  </si>
  <si>
    <t>03.04.1</t>
  </si>
  <si>
    <t>ЛСР №02-02-04  п. 1</t>
  </si>
  <si>
    <t>Выемка под дорожную одежду, выемка под лотки</t>
  </si>
  <si>
    <t>03.04.2</t>
  </si>
  <si>
    <t>ЛСР №02-02-04  п. 2, 3</t>
  </si>
  <si>
    <t xml:space="preserve">Разработка грунта с перемещением в насыпь до 10 м </t>
  </si>
  <si>
    <t>03.04.3</t>
  </si>
  <si>
    <t>ЛСР №02-02-04 п. 4, 5</t>
  </si>
  <si>
    <t>Уплотнение грунта</t>
  </si>
  <si>
    <t>03.04.4</t>
  </si>
  <si>
    <t>ЛСР №02-02-04  п. 6</t>
  </si>
  <si>
    <t xml:space="preserve">Планировка откосов земляного полотна </t>
  </si>
  <si>
    <t>03.04.5</t>
  </si>
  <si>
    <t>ЛСР №02-02-04 п. 7, 8, 9, 10, 11, 12, 13, ЛСР 09-03-01 п. 1</t>
  </si>
  <si>
    <t>Укрепление откоса насыпи монолитным бетоном</t>
  </si>
  <si>
    <t>Устройство новой дорожной одежды</t>
  </si>
  <si>
    <t>03.04.6</t>
  </si>
  <si>
    <t>ЛСР №02-02-04  п. 14, 15, 16</t>
  </si>
  <si>
    <t>Устройство слоя покрытия из щебеночно-песчаной смеси С1, толщиной 30 см</t>
  </si>
  <si>
    <t>Итого: раздел 3.4.1</t>
  </si>
  <si>
    <t>Раздел 3.4.2. Подъездная дорога к площадке</t>
  </si>
  <si>
    <t>Земляные работы</t>
  </si>
  <si>
    <t>03.04.7</t>
  </si>
  <si>
    <t>ЛСР №02-02-04  п. 17</t>
  </si>
  <si>
    <t>Выемка под дорожную одежду, выемку под лотки</t>
  </si>
  <si>
    <t>03.04.8</t>
  </si>
  <si>
    <t>ЛСР №02-02-04  п. 18, 19</t>
  </si>
  <si>
    <t>Перемещение грунта  до 30 м из отвала в насыпь подъездной дороги</t>
  </si>
  <si>
    <t>03.04.9</t>
  </si>
  <si>
    <t>ЛСР №002-02-04  п. 20, 21</t>
  </si>
  <si>
    <t>03.04.10</t>
  </si>
  <si>
    <t>ЛСР №02-02-04  п. 22, 23</t>
  </si>
  <si>
    <t xml:space="preserve">Разработка грунта 1 группы экскаватором с погрузкой в автосамосвалы и транспортировкой на полигон ТБО на расстояние до 10 км </t>
  </si>
  <si>
    <t>03.04.11</t>
  </si>
  <si>
    <t>ЛСР №02-02-04  п. 24</t>
  </si>
  <si>
    <t>Планировка верха и откосов земляного полотна</t>
  </si>
  <si>
    <t>03.04.12</t>
  </si>
  <si>
    <t>ЛСР №02-02-04  п. 25</t>
  </si>
  <si>
    <t>Планировка откосов выемки и кюветов механизированным способом</t>
  </si>
  <si>
    <t>03.04.13</t>
  </si>
  <si>
    <t>ЛСР №02-02-04  п. 26, 27, 28</t>
  </si>
  <si>
    <t>Итого: раздел 3.4.2</t>
  </si>
  <si>
    <t>Раздел 3.4.3. Съезд с площадки</t>
  </si>
  <si>
    <t>03.04.14</t>
  </si>
  <si>
    <t>ЛСР №02-02-04  п. 29</t>
  </si>
  <si>
    <t>03.04.15</t>
  </si>
  <si>
    <t>ЛСР №02-02-04 п. 30, 31</t>
  </si>
  <si>
    <t xml:space="preserve">Перемещение грунта 2 группы  до 30 м из отвала в насыпь </t>
  </si>
  <si>
    <t>03.04.16</t>
  </si>
  <si>
    <t>ЛСР №02-02-04 п. 32, 33</t>
  </si>
  <si>
    <t>03.04.17</t>
  </si>
  <si>
    <t>ЛСР №02-02-04  п. 34, 35</t>
  </si>
  <si>
    <t>Разработка грунта 1 группы экскаватором с емкостью ковша 1 м3 с погрузкой в автосамосвалы и транспортировкой на полигон ТБО на расстояние до 10 км (корыто под дорожную одежду, выемка под кюветы)</t>
  </si>
  <si>
    <t>Планировочные работы</t>
  </si>
  <si>
    <t>03.04.18</t>
  </si>
  <si>
    <t>ЛСР №02-02-04 п.  36</t>
  </si>
  <si>
    <t xml:space="preserve">Планировка верха и откосов земляного полотна </t>
  </si>
  <si>
    <t>03.04.19</t>
  </si>
  <si>
    <t>ЛСР №02-02-04  п.  38</t>
  </si>
  <si>
    <t>Устройстов новой дорожной одежды</t>
  </si>
  <si>
    <t>03.04.20</t>
  </si>
  <si>
    <t>ЛСР №02-02-04  п.  39, 40, 41</t>
  </si>
  <si>
    <t>Итого: раздел 3.4.3</t>
  </si>
  <si>
    <t>Раздел 3.4.4. Устройство остановочной площадки</t>
  </si>
  <si>
    <t>03.04.21</t>
  </si>
  <si>
    <t>ЛСР №02-02-04  п.  42, 43, 44</t>
  </si>
  <si>
    <t>Устройство слоя покрытия из гравийно-песчаной смеси С1, толщиной 20 см</t>
  </si>
  <si>
    <t>03.04.22</t>
  </si>
  <si>
    <t>ЛСР №02-02-04  п.  45, 46, ЛСР 09-03-01 п. 1</t>
  </si>
  <si>
    <t xml:space="preserve">Установка бортового камня </t>
  </si>
  <si>
    <t>Итого: раздел 3.4.4</t>
  </si>
  <si>
    <t>Раздел 3.4.5. Устройство бетонных лотков</t>
  </si>
  <si>
    <t>03.04.23</t>
  </si>
  <si>
    <t>ЛСР №02-02-04  п.  47, 48, ЛСР 09-03-01 п. 1</t>
  </si>
  <si>
    <t xml:space="preserve">Установка бетонных лотков </t>
  </si>
  <si>
    <t>03.04.24</t>
  </si>
  <si>
    <t>ЛСР №02-02-04  п.  49, п. 50</t>
  </si>
  <si>
    <t>Устройство подготовки под бетонные лотки я h=0,1 м</t>
  </si>
  <si>
    <t>03.04.25</t>
  </si>
  <si>
    <t>ЛСР №02-02-04  п. 51, 52, ЛСР 09-03-01 п. 1</t>
  </si>
  <si>
    <t xml:space="preserve">Установка плит </t>
  </si>
  <si>
    <t>Итого: раздел 3.4.5</t>
  </si>
  <si>
    <t>Итого: Раздел 3.4.</t>
  </si>
  <si>
    <t>Раздел 3.5. Обустройство</t>
  </si>
  <si>
    <t>03.05.1</t>
  </si>
  <si>
    <t>ЛСР №02-02-04  п. 53-56</t>
  </si>
  <si>
    <t>03.05.2</t>
  </si>
  <si>
    <t>ЛСР №02-02-04  п. 57,58, 59, 60, 61, 62, ЛСР 09-03-01 п. 1</t>
  </si>
  <si>
    <t>Установка металлических стоек</t>
  </si>
  <si>
    <t>03.05.3</t>
  </si>
  <si>
    <t>ЛСР №02-02-04  п. 63, ЛСР 09-03-01 п. 1</t>
  </si>
  <si>
    <t>Монтаж щитков (А-700). Знаки предупреждающие.</t>
  </si>
  <si>
    <t>03.05.4</t>
  </si>
  <si>
    <t>ЛСР №02-02-04  п. 64, ЛСР 09-03-01 п. 1</t>
  </si>
  <si>
    <t>Монтаж щитков (D-600). Запрещающие знаки.</t>
  </si>
  <si>
    <t>03.05.5</t>
  </si>
  <si>
    <t>ЛСР №02-02-04  п. 65, ЛСР 09-03-01 п. 1</t>
  </si>
  <si>
    <t>Монтаж щитка 600х900. Знаки особых предписаний.</t>
  </si>
  <si>
    <t>03.05.6</t>
  </si>
  <si>
    <t>ЛСР №02-02-04  п. 66, ЛСР 09-03-01 п. 1</t>
  </si>
  <si>
    <t>Монтаж щитка В700. Знаки особых предписаний.</t>
  </si>
  <si>
    <t>03.05.7</t>
  </si>
  <si>
    <t>ЛСР №02-02-04  п. 67, ЛСР 09-03-01 п. 1</t>
  </si>
  <si>
    <t>Монтаж щитка В600. Информационные знаки.</t>
  </si>
  <si>
    <t>Итог: раздел 3.5.</t>
  </si>
  <si>
    <t>Итого: Глава 3</t>
  </si>
  <si>
    <t>Глава 4. Наружное освещение (правый берег)</t>
  </si>
  <si>
    <t>04.01.1</t>
  </si>
  <si>
    <t>ЛСР №04-01, п. 31, 42-43</t>
  </si>
  <si>
    <t xml:space="preserve">Бурение ям </t>
  </si>
  <si>
    <t>04.01.2</t>
  </si>
  <si>
    <t>ЛСР №04-01, п. 37-38</t>
  </si>
  <si>
    <t xml:space="preserve">Устройство основания под фундаменты </t>
  </si>
  <si>
    <t>04.01.3</t>
  </si>
  <si>
    <t>ЛСР №04-01, п. 35-36</t>
  </si>
  <si>
    <t>Установка фундаментного блока</t>
  </si>
  <si>
    <t>04.01.4</t>
  </si>
  <si>
    <t>ЛСР №04-01, п. 39-40</t>
  </si>
  <si>
    <t>Заполнение бетоном</t>
  </si>
  <si>
    <t>04.01.5</t>
  </si>
  <si>
    <t>ЛСР №04-01, п. 32-34, 41 ЛСР 09-03-01 п. 1</t>
  </si>
  <si>
    <t>Установка металлических опор наружного освещения</t>
  </si>
  <si>
    <t>15</t>
  </si>
  <si>
    <t>04.01.6</t>
  </si>
  <si>
    <t>ЛСР №04-01, п. 47</t>
  </si>
  <si>
    <t>Монтаж однорожкового кронштейна на опору</t>
  </si>
  <si>
    <t>12</t>
  </si>
  <si>
    <t>04.01.7</t>
  </si>
  <si>
    <t>ЛСР №04-01, п. 48</t>
  </si>
  <si>
    <t>Монтаж двухрожкового кронштейна на опору</t>
  </si>
  <si>
    <t>04.01.8</t>
  </si>
  <si>
    <t>ЛСР №04-01, п. 44-46, 57-58 ЛСР 09-03-01 п. 1</t>
  </si>
  <si>
    <t>Монтаж светильника на опору</t>
  </si>
  <si>
    <t>04.01.9</t>
  </si>
  <si>
    <t>ЛСР №04-01, п. 49-64</t>
  </si>
  <si>
    <t>Монтаж на опоры линейной арматуры для подвеса СИП</t>
  </si>
  <si>
    <t>опор</t>
  </si>
  <si>
    <t>04.01.10</t>
  </si>
  <si>
    <t>ЛСР №04-01, п. 49-53, 56, ЛСР 09-03-01 п. 1</t>
  </si>
  <si>
    <t>Прокладка СИП-4 4х25 в щите и  по конструкциям</t>
  </si>
  <si>
    <t>мп</t>
  </si>
  <si>
    <t>04.01.11</t>
  </si>
  <si>
    <t>ЛСР №04-01, п. 49-54, ЛСР 09-03-01 п. 1</t>
  </si>
  <si>
    <t>Прокладка СИП-2 3х25+1х25</t>
  </si>
  <si>
    <t>04.01.12</t>
  </si>
  <si>
    <t>ЛСР №04-01, п. 49-53, 55, ЛСР 09-03-01 п. 1</t>
  </si>
  <si>
    <t>Прокладка СИП-2 1х25+1х25</t>
  </si>
  <si>
    <t>04.01.13</t>
  </si>
  <si>
    <t xml:space="preserve">ЛСР №04-01, п.1-30 </t>
  </si>
  <si>
    <t>Сборка и монтаж ЩУО</t>
  </si>
  <si>
    <t>комплект</t>
  </si>
  <si>
    <t>Итого: Глава 4</t>
  </si>
  <si>
    <t>Глава 5. Наружное освещение (левый берег)</t>
  </si>
  <si>
    <t>05.01.1</t>
  </si>
  <si>
    <t>05.01.2</t>
  </si>
  <si>
    <t>05.01.3</t>
  </si>
  <si>
    <t>05.01.4</t>
  </si>
  <si>
    <t>05.01.5</t>
  </si>
  <si>
    <t>ЛСР №04-01, п. 41</t>
  </si>
  <si>
    <t>Развозка конструкций и материалов по трассе: опоры наружного освещения</t>
  </si>
  <si>
    <t>05.01.6</t>
  </si>
  <si>
    <t>ЛСР №04-01, п. 32-34, ЛСР 09-03-01 п. 1</t>
  </si>
  <si>
    <t>05.01.7</t>
  </si>
  <si>
    <t>05.01.8</t>
  </si>
  <si>
    <t>05.01.10</t>
  </si>
  <si>
    <t>ЛСР №04-01, п. 44-46, п. 57-58 ЛСР 09-03-01 п. 1</t>
  </si>
  <si>
    <t>05.01.11</t>
  </si>
  <si>
    <t>05.01.12</t>
  </si>
  <si>
    <t>05.01.13</t>
  </si>
  <si>
    <t>Прокладка СИП-2 3х25+1х54,6+2х16</t>
  </si>
  <si>
    <t>05.01.14</t>
  </si>
  <si>
    <t xml:space="preserve">Итого: Глава 5. </t>
  </si>
  <si>
    <t>Глава 6. Доставка материалов (правый берег)</t>
  </si>
  <si>
    <t>06.01.1</t>
  </si>
  <si>
    <t xml:space="preserve">ЛСР 09-02-01 п. 5, 6; 
</t>
  </si>
  <si>
    <t>Транспортировка железнодорожным  транспортом на расстояние 7274 км бесшовных обсадных труб из стали наружным диаметром 219мм толщина стенки 8,9мм</t>
  </si>
  <si>
    <t>06.01.2</t>
  </si>
  <si>
    <t xml:space="preserve">ЛСР 09-02-01 п. 9; 
</t>
  </si>
  <si>
    <t>Транспортировка морским транспортом бесшовных обсадных труб из стали наружным диаметром 219мм толщина стенки 8,9мм</t>
  </si>
  <si>
    <t>06.01.3</t>
  </si>
  <si>
    <t xml:space="preserve">ЛСР 09-02-01 п. 1, 3; 
</t>
  </si>
  <si>
    <t>Транспортировка автотранспортом  в п. Усть-Камчатск на расстояние 715 км  бесшовных обсадных труб из стали наружным диаметром 219мм толщина стенки 8,9мм</t>
  </si>
  <si>
    <t>Итого: Глава 6</t>
  </si>
  <si>
    <t>Глава 7. Доставка материалов (левый берег)</t>
  </si>
  <si>
    <t>07.01.1</t>
  </si>
  <si>
    <t xml:space="preserve">
 ЛСР 09-03-01 п. 5, 6</t>
  </si>
  <si>
    <t>07.01.2</t>
  </si>
  <si>
    <t xml:space="preserve"> 
 ЛСР 09-03-01 п. 9</t>
  </si>
  <si>
    <t>07.01.3</t>
  </si>
  <si>
    <t xml:space="preserve">
 ЛСР 09-03-01 п. 1, 3</t>
  </si>
  <si>
    <t>07.01.4</t>
  </si>
  <si>
    <t xml:space="preserve">
 ЛСР 09-03-01 п. 1, 2</t>
  </si>
  <si>
    <t>Транспортировка автотранспортом  в п. Усть-Камчатск на расстояние 715 км  щебня из природного камня (левый берег)</t>
  </si>
  <si>
    <t>07.01.5</t>
  </si>
  <si>
    <t xml:space="preserve">
 ЛСР 09-03-01 п. 1,4</t>
  </si>
  <si>
    <t>Транспортировка автотранспортом  в п. Усть-Камчатск на расстояние 754 км  камня булыжного (левый берег)</t>
  </si>
  <si>
    <t>07.01.6</t>
  </si>
  <si>
    <t xml:space="preserve">
 ЛСР 09-03-01 п. 10</t>
  </si>
  <si>
    <t xml:space="preserve">Доставка материалов через протоку Озерная </t>
  </si>
  <si>
    <t>рейс</t>
  </si>
  <si>
    <t>Итого: Глава 7</t>
  </si>
  <si>
    <t xml:space="preserve">Непредвиденные работы </t>
  </si>
  <si>
    <t>Начальная (максимальная) цена контракта без НДС</t>
  </si>
  <si>
    <t>НДС</t>
  </si>
  <si>
    <t>Начальная (максимальная) цена контракта с  НДС</t>
  </si>
  <si>
    <t>______________________Щегловский В.С.</t>
  </si>
  <si>
    <t>Проект Сметы контракта</t>
  </si>
  <si>
    <t>01.03.9</t>
  </si>
  <si>
    <t>02.01.10</t>
  </si>
  <si>
    <t>02.01.12</t>
  </si>
  <si>
    <t>02.01.14</t>
  </si>
  <si>
    <t>02.01.16</t>
  </si>
  <si>
    <t>______________В.С. Щегловский</t>
  </si>
  <si>
    <t>«___»______________2026 г.</t>
  </si>
  <si>
    <t>Ведомость объемов конструктивных решений (элементов) и комплексов (видов) работ, оборудования</t>
  </si>
  <si>
    <t>(наименование объекта)</t>
  </si>
  <si>
    <t xml:space="preserve">Заместитель начальника КГКУ "Камчатуправтодор"                                                              </t>
  </si>
  <si>
    <t>______________О.В. Булах</t>
  </si>
  <si>
    <t>на оказание услуг по осуществлению строительного контроля за объектом: "Строитсльство причальных сооружений через протоку Озерная в Усть-Камчатском районе Камчатского края"</t>
  </si>
  <si>
    <t>Стоимость работ в ценах на дату утверждения сметной документации / 1 квартал 2022 года</t>
  </si>
  <si>
    <t>Распределение по годам (в ценах 1 квартала 2022 года)</t>
  </si>
  <si>
    <t>Распределение по годам (с учетом индексов фактической и прогнозной инфляции)</t>
  </si>
  <si>
    <t>Затраты на осуществление строительного контроля предусмотренные проектно-сметной документацией (2,14%)</t>
  </si>
  <si>
    <t>НДС (20%)</t>
  </si>
  <si>
    <t>Стоимость с учетом НДС</t>
  </si>
  <si>
    <t>*В зависимости от года утверждения ПСД и планируемого выполнения работ по годам исполнения государственного контракта таблица может быть откорректирована.</t>
  </si>
  <si>
    <t>ноябрь 2022 года</t>
  </si>
  <si>
    <t>Начало оказания услуг - апрель 2023 года</t>
  </si>
  <si>
    <t>Окончание оказания услуг - ноябрь 2024 года</t>
  </si>
  <si>
    <t>1. Расчет индекса фактической инфляции с использованием ИПЦ Росстата (Камчатский край):</t>
  </si>
  <si>
    <t>2. Расчет индекса прогнозной инфляции (Прогноз социально-экономического развития Камчатского края на 2023-2025 гг. от 06.07.2022г., отрасль "Инвестиции в основной капитал"):</t>
  </si>
  <si>
    <t xml:space="preserve">Ежемесячный индекс прогноз на 2025 = </t>
  </si>
  <si>
    <t xml:space="preserve">Ежемесячный индекс прогноз на 2026 = </t>
  </si>
  <si>
    <t xml:space="preserve">Ежемесячный индекс прогноз на 2027 = </t>
  </si>
  <si>
    <t>Доля сметной стоимости подлежащая выполнению в 2025 году -</t>
  </si>
  <si>
    <t>мес.</t>
  </si>
  <si>
    <t>Доля сметной стоимости подлежащая выполнению в 2026 году -</t>
  </si>
  <si>
    <t>Доля сметной стоимости подлежащая выполнению в 2027 году -</t>
  </si>
  <si>
    <t xml:space="preserve">К на 2025 год = </t>
  </si>
  <si>
    <r>
      <rPr>
        <sz val="12"/>
        <color theme="1"/>
        <rFont val="Times New Roman"/>
        <charset val="204"/>
      </rPr>
      <t>(1,0140</t>
    </r>
    <r>
      <rPr>
        <vertAlign val="superscript"/>
        <sz val="12"/>
        <color theme="1"/>
        <rFont val="Times New Roman"/>
        <charset val="204"/>
      </rPr>
      <t>2</t>
    </r>
    <r>
      <rPr>
        <sz val="12"/>
        <color theme="1"/>
        <rFont val="Times New Roman"/>
        <charset val="204"/>
      </rPr>
      <t>-1) / 2 + 1 = (</t>
    </r>
  </si>
  <si>
    <t>- 1) / 2 +1 =</t>
  </si>
  <si>
    <r>
      <rPr>
        <sz val="12"/>
        <color theme="1"/>
        <rFont val="Times New Roman"/>
        <charset val="204"/>
      </rPr>
      <t>1,0140</t>
    </r>
    <r>
      <rPr>
        <vertAlign val="superscript"/>
        <sz val="12"/>
        <color theme="1"/>
        <rFont val="Times New Roman"/>
        <charset val="204"/>
      </rPr>
      <t>12-10</t>
    </r>
    <r>
      <rPr>
        <sz val="12"/>
        <color theme="1"/>
        <rFont val="Times New Roman"/>
        <charset val="204"/>
      </rPr>
      <t>*(1,0049</t>
    </r>
    <r>
      <rPr>
        <vertAlign val="superscript"/>
        <sz val="12"/>
        <color theme="1"/>
        <rFont val="Times New Roman"/>
        <charset val="204"/>
      </rPr>
      <t>4</t>
    </r>
    <r>
      <rPr>
        <sz val="12"/>
        <color theme="1"/>
        <rFont val="Times New Roman"/>
        <charset val="204"/>
      </rPr>
      <t>+1,0049</t>
    </r>
    <r>
      <rPr>
        <vertAlign val="superscript"/>
        <sz val="12"/>
        <color theme="1"/>
        <rFont val="Times New Roman"/>
        <charset val="204"/>
      </rPr>
      <t>12</t>
    </r>
    <r>
      <rPr>
        <sz val="12"/>
        <color theme="1"/>
        <rFont val="Times New Roman"/>
        <charset val="204"/>
      </rPr>
      <t xml:space="preserve">) / 2 = </t>
    </r>
  </si>
  <si>
    <t>* (</t>
  </si>
  <si>
    <t>) / 2 =</t>
  </si>
  <si>
    <r>
      <rPr>
        <sz val="12"/>
        <color theme="1"/>
        <rFont val="Times New Roman"/>
        <charset val="204"/>
      </rPr>
      <t>1,0140</t>
    </r>
    <r>
      <rPr>
        <vertAlign val="superscript"/>
        <sz val="12"/>
        <color theme="1"/>
        <rFont val="Times New Roman"/>
        <charset val="204"/>
      </rPr>
      <t>12-10</t>
    </r>
    <r>
      <rPr>
        <sz val="12"/>
        <color theme="1"/>
        <rFont val="Times New Roman"/>
        <charset val="204"/>
      </rPr>
      <t>*1,0049</t>
    </r>
    <r>
      <rPr>
        <vertAlign val="superscript"/>
        <sz val="12"/>
        <color theme="1"/>
        <rFont val="Times New Roman"/>
        <charset val="204"/>
      </rPr>
      <t>12</t>
    </r>
    <r>
      <rPr>
        <sz val="12"/>
        <color theme="1"/>
        <rFont val="Times New Roman"/>
        <charset val="204"/>
      </rPr>
      <t xml:space="preserve"> * ((1,0045+1,0045</t>
    </r>
    <r>
      <rPr>
        <vertAlign val="superscript"/>
        <sz val="12"/>
        <color theme="1"/>
        <rFont val="Times New Roman"/>
        <charset val="204"/>
      </rPr>
      <t>11</t>
    </r>
    <r>
      <rPr>
        <sz val="12"/>
        <color theme="1"/>
        <rFont val="Times New Roman"/>
        <charset val="204"/>
      </rPr>
      <t xml:space="preserve">) / 2) = </t>
    </r>
  </si>
  <si>
    <t xml:space="preserve">Индекс прогнозной инфляции на период выполнения работ = </t>
  </si>
  <si>
    <t>ст-нь</t>
  </si>
  <si>
    <t>август-декабрь 2025</t>
  </si>
  <si>
    <t>август -декабрь 2025</t>
  </si>
  <si>
    <t>январь-декабрь 2026</t>
  </si>
  <si>
    <t xml:space="preserve">Главный эксперт дорожного хозяйства отдела строительства, реконструкции, капитального ремонта автомобильных  дорог и сооружений на них                                                                                 </t>
  </si>
  <si>
    <t>А.А. Терновая</t>
  </si>
  <si>
    <t xml:space="preserve">Заместитель начальника КГКУ "Камчатуправтодор"                                                                           </t>
  </si>
  <si>
    <t>И.о. начальника
КГКУ "Камчатуправтодор"</t>
  </si>
  <si>
    <t>на оказание услуг по осуществлению авторского надзора за объектом: "Строитсльство причальных сооружений через протоку Озерная в Усть-Камчатском районе Камчатского края"</t>
  </si>
  <si>
    <t>Затраты на осуществление авторского надзора предусмотренные проектно-сметной документацией (0,2%)</t>
  </si>
  <si>
    <t>октябрь 2022 года</t>
  </si>
  <si>
    <t>Начало оказания услуг - ноябрь 2022 года</t>
  </si>
  <si>
    <t>2022 =</t>
  </si>
  <si>
    <t xml:space="preserve">Ежемесячный индекс прогноз на 2022 = </t>
  </si>
  <si>
    <t xml:space="preserve">2023 = </t>
  </si>
  <si>
    <t xml:space="preserve">2024 = </t>
  </si>
  <si>
    <t>Доля сметной стоимости подлежащая выполнению в 2022 году -</t>
  </si>
  <si>
    <t>Доля сметной стоимости подлежащая выполнению в 2023 году -</t>
  </si>
  <si>
    <t>Доля сметной стоимости подлежащая выполнению в 2024 году -</t>
  </si>
  <si>
    <t xml:space="preserve">К на 2022 год = </t>
  </si>
  <si>
    <t xml:space="preserve">К на 2023 год = </t>
  </si>
  <si>
    <r>
      <rPr>
        <sz val="12"/>
        <color theme="1"/>
        <rFont val="Times New Roman"/>
        <charset val="204"/>
      </rPr>
      <t>1,0140</t>
    </r>
    <r>
      <rPr>
        <vertAlign val="superscript"/>
        <sz val="12"/>
        <color theme="1"/>
        <rFont val="Times New Roman"/>
        <charset val="204"/>
      </rPr>
      <t>12-10</t>
    </r>
    <r>
      <rPr>
        <sz val="12"/>
        <color theme="1"/>
        <rFont val="Times New Roman"/>
        <charset val="204"/>
      </rPr>
      <t>*(1,0049+1,0049</t>
    </r>
    <r>
      <rPr>
        <vertAlign val="superscript"/>
        <sz val="12"/>
        <color theme="1"/>
        <rFont val="Times New Roman"/>
        <charset val="204"/>
      </rPr>
      <t>12</t>
    </r>
    <r>
      <rPr>
        <sz val="12"/>
        <color theme="1"/>
        <rFont val="Times New Roman"/>
        <charset val="204"/>
      </rPr>
      <t xml:space="preserve">) / 2 = </t>
    </r>
  </si>
  <si>
    <t xml:space="preserve">К на 2024 год = </t>
  </si>
  <si>
    <t>ноябрь-декабрь 2022</t>
  </si>
  <si>
    <t>январь-декабрь 2023</t>
  </si>
  <si>
    <t>январь-ноябрь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</si>
</sst>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8">
    <numFmt numFmtId="176" formatCode="_-* #\ ##0.00\ _₽_-;\-* #\ ##0.00\ _₽_-;_-* &quot;-&quot;??\ _₽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_-* #\ ##0.000_р_._-;\-* #\ ##0.000_р_._-;_-* &quot;-&quot;???_р_._-;_-@_-"/>
    <numFmt numFmtId="181" formatCode="#\ ##0"/>
    <numFmt numFmtId="182" formatCode="#\ ##0.0000"/>
    <numFmt numFmtId="183" formatCode="#\ ##0.000"/>
    <numFmt numFmtId="184" formatCode="0.0000000000000"/>
    <numFmt numFmtId="185" formatCode="0.0000"/>
    <numFmt numFmtId="186" formatCode="0.000"/>
    <numFmt numFmtId="187" formatCode="0.00000"/>
    <numFmt numFmtId="188" formatCode="_-* #\ ##0.0000\ _₽_-;\-* #\ ##0.0000\ _₽_-;_-* &quot;-&quot;??\ _₽_-;_-@_-"/>
    <numFmt numFmtId="189" formatCode="#\ ##0\ _₽"/>
    <numFmt numFmtId="190" formatCode="#\ ##0.00\ _₽"/>
    <numFmt numFmtId="191" formatCode="_-* #\ ##0.00\ _₽_-;\-* #\ ##0.00\ _₽_-;_-* &quot;-&quot;\ _₽_-;_-@_-"/>
    <numFmt numFmtId="192" formatCode="_-* #\ ##0\ _₽_-;\-* #\ ##0\ _₽_-;_-* &quot;-&quot;\ _₽_-;_-@_-"/>
    <numFmt numFmtId="193" formatCode="#\ ##0.00;[Red]#\ ##0.00"/>
    <numFmt numFmtId="194" formatCode="_-* #\ ##0.000\ _₽_-;\-* #\ ##0.000\ _₽_-;_-* &quot;-&quot;\ _₽_-;_-@_-"/>
    <numFmt numFmtId="195" formatCode="_-* #\ ##0.0000000000\ _₽_-;\-* #\ ##0.0000000000\ _₽_-;_-* &quot;-&quot;??\ _₽_-;_-@_-"/>
    <numFmt numFmtId="196" formatCode="0.000000000"/>
    <numFmt numFmtId="197" formatCode="_-* #\ ##0.0\ _₽_-;\-* #\ ##0.0\ _₽_-;_-* &quot;-&quot;\ _₽_-;_-@_-"/>
    <numFmt numFmtId="198" formatCode="#\ ##0.00"/>
    <numFmt numFmtId="199" formatCode="_-* #\ ##0.000000000\ _₽_-;\-* #\ ##0.000000000\ _₽_-;_-* &quot;-&quot;??\ _₽_-;_-@_-"/>
    <numFmt numFmtId="200" formatCode="0.000000"/>
    <numFmt numFmtId="201" formatCode="_-* #\ ##0.00\ _₽_-;\-* #\ ##0.00\ _₽_-;_-* &quot;-&quot;???\ _₽_-;_-@_-"/>
    <numFmt numFmtId="202" formatCode="_-* #\ ##0.000\ _₽_-;\-* #\ ##0.000\ _₽_-;_-* &quot;-&quot;???\ _₽_-;_-@_-"/>
    <numFmt numFmtId="203" formatCode="_-* #\ ##0\ _₽_-;\-* #\ ##0\ _₽_-;_-* &quot;-&quot;??\ _₽_-;_-@_-"/>
    <numFmt numFmtId="204" formatCode="_-* #\ ##0\ _₽_-;\-* #\ ##0\ _₽_-;_-* &quot;-&quot;???\ _₽_-;_-@_-"/>
    <numFmt numFmtId="205" formatCode="_-* #\ ##0.00000\ _₽_-;\-* #\ ##0.00000\ _₽_-;_-* &quot;-&quot;?????\ _₽_-;_-@_-"/>
    <numFmt numFmtId="206" formatCode="_-* #\ ##0.000\ _₽_-;\-* #\ ##0.000\ _₽_-;_-* &quot;-&quot;??\ _₽_-;_-@_-"/>
    <numFmt numFmtId="207" formatCode="mmm\.yy"/>
    <numFmt numFmtId="208" formatCode="0.000000000000E+00"/>
    <numFmt numFmtId="209" formatCode="_-* #\ ##0.000\ _₽_-;\-* #\ ##0.000\ _₽_-;_-* &quot;-&quot;????\ _₽_-;_-@_-"/>
    <numFmt numFmtId="210" formatCode="#\ ##0.00000"/>
    <numFmt numFmtId="211" formatCode="#\ ##0.0000000"/>
    <numFmt numFmtId="212" formatCode="0.0%"/>
    <numFmt numFmtId="213" formatCode="#\ ##0.000000"/>
  </numFmts>
  <fonts count="96">
    <font>
      <sz val="10"/>
      <name val="Arial"/>
      <charset val="134"/>
    </font>
    <font>
      <sz val="11"/>
      <color theme="1"/>
      <name val="Times New Roman"/>
      <charset val="204"/>
    </font>
    <font>
      <sz val="12"/>
      <color theme="1"/>
      <name val="Times New Roman"/>
      <charset val="204"/>
    </font>
    <font>
      <b/>
      <sz val="12"/>
      <color theme="0"/>
      <name val="Times New Roman Cyr"/>
      <charset val="204"/>
    </font>
    <font>
      <b/>
      <sz val="11"/>
      <color rgb="FFFF0000"/>
      <name val="Times New Roman"/>
      <charset val="204"/>
    </font>
    <font>
      <b/>
      <sz val="12"/>
      <color rgb="FFFF0000"/>
      <name val="Times New Roman Cyr"/>
      <charset val="204"/>
    </font>
    <font>
      <sz val="12"/>
      <name val="Times New Roman Cyr"/>
      <charset val="204"/>
    </font>
    <font>
      <sz val="12"/>
      <name val="Times New Roman"/>
      <charset val="204"/>
    </font>
    <font>
      <sz val="11"/>
      <color rgb="FFFF0000"/>
      <name val="Times New Roman"/>
      <charset val="204"/>
    </font>
    <font>
      <b/>
      <sz val="14"/>
      <color rgb="FFFF0000"/>
      <name val="Times New Roman"/>
      <charset val="204"/>
    </font>
    <font>
      <sz val="14"/>
      <name val="Times New Roman"/>
      <charset val="204"/>
    </font>
    <font>
      <b/>
      <sz val="14"/>
      <name val="Times New Roman"/>
      <charset val="204"/>
    </font>
    <font>
      <b/>
      <sz val="12"/>
      <color theme="1"/>
      <name val="Times New Roman"/>
      <charset val="204"/>
    </font>
    <font>
      <b/>
      <sz val="12"/>
      <name val="Times New Roman"/>
      <charset val="204"/>
    </font>
    <font>
      <b/>
      <i/>
      <sz val="12"/>
      <name val="Times New Roman"/>
      <charset val="204"/>
    </font>
    <font>
      <i/>
      <sz val="14"/>
      <name val="Times New Roman"/>
      <charset val="204"/>
    </font>
    <font>
      <i/>
      <sz val="12"/>
      <name val="Times New Roman"/>
      <charset val="204"/>
    </font>
    <font>
      <sz val="11"/>
      <name val="Times New Roman"/>
      <charset val="204"/>
    </font>
    <font>
      <b/>
      <sz val="12"/>
      <color rgb="FFFF0000"/>
      <name val="Times New Roman"/>
      <charset val="204"/>
    </font>
    <font>
      <i/>
      <sz val="12"/>
      <color theme="1"/>
      <name val="Times New Roman"/>
      <charset val="204"/>
    </font>
    <font>
      <sz val="9"/>
      <color rgb="FFFF0000"/>
      <name val="Times New Roman"/>
      <charset val="204"/>
    </font>
    <font>
      <b/>
      <sz val="12"/>
      <color theme="0"/>
      <name val="Times New Roman"/>
      <charset val="204"/>
    </font>
    <font>
      <b/>
      <i/>
      <sz val="12"/>
      <color theme="1"/>
      <name val="Times New Roman"/>
      <charset val="204"/>
    </font>
    <font>
      <sz val="12"/>
      <color theme="0"/>
      <name val="Times New Roman"/>
      <charset val="204"/>
    </font>
    <font>
      <sz val="8"/>
      <color theme="1"/>
      <name val="Times New Roman"/>
      <charset val="204"/>
    </font>
    <font>
      <sz val="22"/>
      <color theme="1"/>
      <name val="Times New Roman"/>
      <charset val="204"/>
    </font>
    <font>
      <b/>
      <sz val="10"/>
      <color theme="1"/>
      <name val="Times New Roman"/>
      <charset val="204"/>
    </font>
    <font>
      <i/>
      <sz val="11"/>
      <color theme="1"/>
      <name val="Times New Roman"/>
      <charset val="204"/>
    </font>
    <font>
      <sz val="12"/>
      <name val="Arial"/>
      <charset val="204"/>
    </font>
    <font>
      <sz val="12"/>
      <color theme="0"/>
      <name val="Times New Roman Cyr"/>
      <charset val="204"/>
    </font>
    <font>
      <sz val="12"/>
      <name val="Times New Roman Cyr"/>
      <charset val="204"/>
    </font>
    <font>
      <sz val="10"/>
      <name val="Times New Roman"/>
      <charset val="204"/>
    </font>
    <font>
      <b/>
      <sz val="12"/>
      <name val="Times New Roman Cyr"/>
      <charset val="204"/>
    </font>
    <font>
      <b/>
      <sz val="12"/>
      <name val="Times New Roman Cyr"/>
      <charset val="204"/>
    </font>
    <font>
      <sz val="12"/>
      <color rgb="FFFF0000"/>
      <name val="Times New Roman"/>
      <charset val="204"/>
    </font>
    <font>
      <b/>
      <sz val="12"/>
      <color theme="1"/>
      <name val="Times New Roman Cyr"/>
      <charset val="204"/>
    </font>
    <font>
      <sz val="12"/>
      <color theme="1"/>
      <name val="Times New Roman Cyr"/>
      <charset val="204"/>
    </font>
    <font>
      <sz val="12"/>
      <color rgb="FFFF0000"/>
      <name val="Times New Roman Cyr"/>
      <charset val="204"/>
    </font>
    <font>
      <sz val="12"/>
      <color rgb="FF0070C0"/>
      <name val="Times New Roman"/>
      <charset val="204"/>
    </font>
    <font>
      <b/>
      <sz val="12"/>
      <color theme="3" tint="0.399975585192419"/>
      <name val="Times New Roman"/>
      <charset val="204"/>
    </font>
    <font>
      <b/>
      <i/>
      <sz val="12"/>
      <name val="Times New Roman Cyr"/>
      <charset val="204"/>
    </font>
    <font>
      <sz val="10"/>
      <name val="Arial"/>
      <charset val="204"/>
    </font>
    <font>
      <b/>
      <sz val="10"/>
      <name val="Arial"/>
      <charset val="204"/>
    </font>
    <font>
      <i/>
      <sz val="9"/>
      <name val="Arial"/>
      <charset val="204"/>
    </font>
    <font>
      <b/>
      <i/>
      <sz val="10"/>
      <color rgb="FF7030A0"/>
      <name val="Times New Roman Cyr"/>
      <charset val="204"/>
    </font>
    <font>
      <b/>
      <sz val="10"/>
      <name val="Times New Roman Cyr"/>
      <charset val="204"/>
    </font>
    <font>
      <b/>
      <sz val="10"/>
      <color rgb="FF7030A0"/>
      <name val="Times New Roman Cyr"/>
      <charset val="204"/>
    </font>
    <font>
      <sz val="10"/>
      <name val="Times New Roman Cyr"/>
      <charset val="204"/>
    </font>
    <font>
      <sz val="10"/>
      <color rgb="FF00B0F0"/>
      <name val="Arial"/>
      <charset val="204"/>
    </font>
    <font>
      <i/>
      <sz val="12"/>
      <color rgb="FFFF0000"/>
      <name val="Times New Roman"/>
      <charset val="204"/>
    </font>
    <font>
      <b/>
      <sz val="12"/>
      <color theme="4"/>
      <name val="Times New Roman"/>
      <charset val="204"/>
    </font>
    <font>
      <sz val="12"/>
      <color theme="4"/>
      <name val="Times New Roman"/>
      <charset val="204"/>
    </font>
    <font>
      <sz val="12"/>
      <color theme="2" tint="-0.249977111117893"/>
      <name val="Times New Roman"/>
      <charset val="204"/>
    </font>
    <font>
      <sz val="12"/>
      <color theme="0" tint="-0.0499893185216834"/>
      <name val="Times New Roman"/>
      <charset val="204"/>
    </font>
    <font>
      <b/>
      <i/>
      <u/>
      <sz val="12"/>
      <color theme="1"/>
      <name val="Times New Roman"/>
      <charset val="204"/>
    </font>
    <font>
      <b/>
      <sz val="16"/>
      <name val="Times New Roman"/>
      <charset val="204"/>
    </font>
    <font>
      <i/>
      <sz val="16"/>
      <name val="Times New Roman"/>
      <charset val="204"/>
    </font>
    <font>
      <sz val="16"/>
      <name val="Times New Roman"/>
      <charset val="204"/>
    </font>
    <font>
      <b/>
      <sz val="16"/>
      <color rgb="FFFF0000"/>
      <name val="Times New Roman"/>
      <charset val="204"/>
    </font>
    <font>
      <b/>
      <i/>
      <sz val="16"/>
      <name val="Times New Roman"/>
      <charset val="204"/>
    </font>
    <font>
      <sz val="16"/>
      <color rgb="FF00B050"/>
      <name val="Times New Roman"/>
      <charset val="204"/>
    </font>
    <font>
      <sz val="16"/>
      <color rgb="FFFF0000"/>
      <name val="Times New Roman"/>
      <charset val="204"/>
    </font>
    <font>
      <b/>
      <sz val="13"/>
      <name val="Times New Roman"/>
      <charset val="204"/>
    </font>
    <font>
      <sz val="13"/>
      <name val="Times New Roman"/>
      <charset val="204"/>
    </font>
    <font>
      <i/>
      <sz val="13"/>
      <name val="Times New Roman"/>
      <charset val="204"/>
    </font>
    <font>
      <sz val="13"/>
      <color theme="0" tint="-0.149998474074526"/>
      <name val="Times New Roman"/>
      <charset val="204"/>
    </font>
    <font>
      <sz val="11"/>
      <color theme="0" tint="-0.499984740745262"/>
      <name val="Times New Roman"/>
      <charset val="204"/>
    </font>
    <font>
      <sz val="13"/>
      <color theme="0" tint="-0.499984740745262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0"/>
      <color theme="1"/>
      <name val="Times New Roman"/>
      <charset val="204"/>
    </font>
    <font>
      <sz val="11"/>
      <color theme="1"/>
      <name val="Calibri"/>
      <charset val="204"/>
      <scheme val="minor"/>
    </font>
    <font>
      <sz val="10"/>
      <name val="Arial Cyr"/>
      <charset val="204"/>
    </font>
    <font>
      <sz val="12"/>
      <name val="Журнал"/>
      <charset val="204"/>
    </font>
    <font>
      <vertAlign val="superscript"/>
      <sz val="12"/>
      <name val="Times New Roman"/>
      <charset val="204"/>
    </font>
    <font>
      <vertAlign val="superscript"/>
      <sz val="12"/>
      <color theme="1"/>
      <name val="Times New Roman"/>
      <charset val="204"/>
    </font>
    <font>
      <vertAlign val="superscript"/>
      <sz val="14"/>
      <color theme="1"/>
      <name val="Times New Roman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41" fillId="0" borderId="0" applyFont="0" applyFill="0" applyBorder="0" applyAlignment="0" applyProtection="0"/>
    <xf numFmtId="177" fontId="68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178" fontId="68" fillId="0" borderId="0" applyFont="0" applyFill="0" applyBorder="0" applyAlignment="0" applyProtection="0">
      <alignment vertical="center"/>
    </xf>
    <xf numFmtId="179" fontId="68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8" fillId="12" borderId="45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5" fillId="0" borderId="46" applyNumberFormat="0" applyFill="0" applyAlignment="0" applyProtection="0">
      <alignment vertical="center"/>
    </xf>
    <xf numFmtId="0" fontId="76" fillId="0" borderId="47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13" borderId="48" applyNumberFormat="0" applyAlignment="0" applyProtection="0">
      <alignment vertical="center"/>
    </xf>
    <xf numFmtId="0" fontId="78" fillId="14" borderId="49" applyNumberFormat="0" applyAlignment="0" applyProtection="0">
      <alignment vertical="center"/>
    </xf>
    <xf numFmtId="0" fontId="79" fillId="14" borderId="48" applyNumberFormat="0" applyAlignment="0" applyProtection="0">
      <alignment vertical="center"/>
    </xf>
    <xf numFmtId="0" fontId="80" fillId="15" borderId="50" applyNumberFormat="0" applyAlignment="0" applyProtection="0">
      <alignment vertical="center"/>
    </xf>
    <xf numFmtId="0" fontId="81" fillId="0" borderId="51" applyNumberFormat="0" applyFill="0" applyAlignment="0" applyProtection="0">
      <alignment vertical="center"/>
    </xf>
    <xf numFmtId="0" fontId="82" fillId="0" borderId="52" applyNumberFormat="0" applyFill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5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3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7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31" fillId="0" borderId="0"/>
    <xf numFmtId="0" fontId="88" fillId="0" borderId="0"/>
    <xf numFmtId="0" fontId="89" fillId="0" borderId="0"/>
    <xf numFmtId="0" fontId="41" fillId="0" borderId="0"/>
    <xf numFmtId="0" fontId="90" fillId="0" borderId="0"/>
    <xf numFmtId="0" fontId="91" fillId="0" borderId="0"/>
    <xf numFmtId="2" fontId="92" fillId="0" borderId="0"/>
    <xf numFmtId="0" fontId="91" fillId="0" borderId="0"/>
  </cellStyleXfs>
  <cellXfs count="888">
    <xf numFmtId="0" fontId="0" fillId="0" borderId="0" xfId="0"/>
    <xf numFmtId="0" fontId="1" fillId="0" borderId="0" xfId="53" applyFont="1" applyFill="1" applyAlignment="1"/>
    <xf numFmtId="0" fontId="1" fillId="0" borderId="0" xfId="53" applyFont="1" applyFill="1" applyAlignment="1">
      <alignment vertical="center"/>
    </xf>
    <xf numFmtId="0" fontId="2" fillId="0" borderId="0" xfId="53" applyFont="1" applyFill="1"/>
    <xf numFmtId="0" fontId="1" fillId="0" borderId="0" xfId="53" applyFont="1" applyFill="1"/>
    <xf numFmtId="0" fontId="3" fillId="0" borderId="0" xfId="0" applyFont="1" applyFill="1" applyAlignment="1">
      <alignment horizontal="left" vertical="center"/>
    </xf>
    <xf numFmtId="0" fontId="4" fillId="0" borderId="0" xfId="53" applyFont="1" applyFill="1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8" fillId="0" borderId="0" xfId="53" applyFont="1" applyFill="1"/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left"/>
    </xf>
    <xf numFmtId="0" fontId="9" fillId="0" borderId="0" xfId="54" applyFont="1" applyFill="1" applyAlignment="1"/>
    <xf numFmtId="0" fontId="8" fillId="0" borderId="0" xfId="53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10" fillId="0" borderId="0" xfId="54" applyFont="1" applyFill="1" applyAlignment="1"/>
    <xf numFmtId="0" fontId="11" fillId="0" borderId="0" xfId="54" applyFont="1" applyFill="1" applyAlignment="1">
      <alignment horizontal="center" vertical="top" wrapText="1"/>
    </xf>
    <xf numFmtId="0" fontId="12" fillId="0" borderId="0" xfId="0" applyFont="1" applyAlignment="1"/>
    <xf numFmtId="0" fontId="12" fillId="0" borderId="0" xfId="0" applyFont="1" applyAlignment="1">
      <alignment horizontal="center" vertical="center" wrapText="1"/>
    </xf>
    <xf numFmtId="0" fontId="2" fillId="0" borderId="0" xfId="0" applyFont="1"/>
    <xf numFmtId="0" fontId="13" fillId="0" borderId="0" xfId="54" applyFont="1" applyFill="1" applyBorder="1" applyAlignment="1">
      <alignment horizontal="center" vertical="center" wrapText="1"/>
    </xf>
    <xf numFmtId="0" fontId="14" fillId="0" borderId="0" xfId="54" applyFont="1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54" applyFont="1" applyFill="1" applyAlignment="1">
      <alignment horizontal="left" vertical="top"/>
    </xf>
    <xf numFmtId="0" fontId="15" fillId="0" borderId="0" xfId="54" applyFont="1" applyFill="1" applyBorder="1" applyAlignment="1">
      <alignment vertical="center" wrapText="1"/>
    </xf>
    <xf numFmtId="0" fontId="16" fillId="0" borderId="1" xfId="54" applyFont="1" applyFill="1" applyBorder="1" applyAlignment="1">
      <alignment wrapText="1"/>
    </xf>
    <xf numFmtId="0" fontId="7" fillId="0" borderId="2" xfId="54" applyFont="1" applyFill="1" applyBorder="1" applyAlignment="1">
      <alignment horizontal="center" vertical="center" wrapText="1"/>
    </xf>
    <xf numFmtId="0" fontId="17" fillId="0" borderId="2" xfId="54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18" fillId="0" borderId="0" xfId="0" applyFont="1" applyAlignment="1">
      <alignment horizontal="right" vertical="center"/>
    </xf>
    <xf numFmtId="0" fontId="2" fillId="0" borderId="2" xfId="53" applyFont="1" applyFill="1" applyBorder="1" applyAlignment="1">
      <alignment horizontal="center" vertical="center" wrapText="1"/>
    </xf>
    <xf numFmtId="0" fontId="7" fillId="0" borderId="2" xfId="54" applyFont="1" applyFill="1" applyBorder="1" applyAlignment="1">
      <alignment horizontal="center" vertical="top" wrapText="1"/>
    </xf>
    <xf numFmtId="0" fontId="7" fillId="0" borderId="2" xfId="54" applyFont="1" applyFill="1" applyBorder="1" applyAlignment="1">
      <alignment horizontal="center" vertical="center"/>
    </xf>
    <xf numFmtId="0" fontId="2" fillId="0" borderId="2" xfId="53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wrapText="1"/>
    </xf>
    <xf numFmtId="0" fontId="18" fillId="0" borderId="0" xfId="0" applyFont="1" applyBorder="1" applyAlignment="1">
      <alignment horizontal="right" vertical="center"/>
    </xf>
    <xf numFmtId="180" fontId="7" fillId="0" borderId="3" xfId="56" applyNumberFormat="1" applyFont="1" applyFill="1" applyBorder="1" applyAlignment="1">
      <alignment horizontal="left" vertical="center" wrapText="1"/>
    </xf>
    <xf numFmtId="181" fontId="7" fillId="0" borderId="4" xfId="54" applyNumberFormat="1" applyFont="1" applyFill="1" applyBorder="1" applyAlignment="1">
      <alignment horizontal="center" vertical="center" wrapText="1"/>
    </xf>
    <xf numFmtId="182" fontId="7" fillId="0" borderId="4" xfId="54" applyNumberFormat="1" applyFont="1" applyFill="1" applyBorder="1" applyAlignment="1">
      <alignment horizontal="center" vertical="center" wrapText="1"/>
    </xf>
    <xf numFmtId="181" fontId="7" fillId="0" borderId="5" xfId="54" applyNumberFormat="1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/>
    </xf>
    <xf numFmtId="181" fontId="16" fillId="0" borderId="2" xfId="54" applyNumberFormat="1" applyFont="1" applyFill="1" applyBorder="1" applyAlignment="1">
      <alignment horizontal="center" vertical="center" wrapText="1"/>
    </xf>
    <xf numFmtId="183" fontId="16" fillId="0" borderId="2" xfId="54" applyNumberFormat="1" applyFont="1" applyFill="1" applyBorder="1" applyAlignment="1">
      <alignment horizontal="center" vertical="center" wrapText="1"/>
    </xf>
    <xf numFmtId="181" fontId="16" fillId="0" borderId="7" xfId="54" applyNumberFormat="1" applyFont="1" applyFill="1" applyBorder="1" applyAlignment="1">
      <alignment horizontal="center" vertical="center" wrapText="1"/>
    </xf>
    <xf numFmtId="181" fontId="16" fillId="0" borderId="8" xfId="54" applyNumberFormat="1" applyFont="1" applyFill="1" applyBorder="1" applyAlignment="1">
      <alignment horizontal="center" vertical="center" wrapText="1"/>
    </xf>
    <xf numFmtId="181" fontId="16" fillId="0" borderId="9" xfId="54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2" fillId="0" borderId="10" xfId="0" applyFont="1" applyBorder="1" applyAlignment="1">
      <alignment horizontal="left" vertical="center"/>
    </xf>
    <xf numFmtId="181" fontId="13" fillId="0" borderId="11" xfId="54" applyNumberFormat="1" applyFont="1" applyFill="1" applyBorder="1" applyAlignment="1">
      <alignment horizontal="center" vertical="center" wrapText="1"/>
    </xf>
    <xf numFmtId="183" fontId="13" fillId="0" borderId="11" xfId="54" applyNumberFormat="1" applyFont="1" applyFill="1" applyBorder="1" applyAlignment="1">
      <alignment horizontal="center" vertical="center" wrapText="1"/>
    </xf>
    <xf numFmtId="181" fontId="13" fillId="0" borderId="12" xfId="54" applyNumberFormat="1" applyFont="1" applyFill="1" applyBorder="1" applyAlignment="1">
      <alignment horizontal="center" vertical="center" wrapText="1"/>
    </xf>
    <xf numFmtId="181" fontId="13" fillId="0" borderId="13" xfId="54" applyNumberFormat="1" applyFont="1" applyFill="1" applyBorder="1" applyAlignment="1">
      <alignment horizontal="center" vertical="center" wrapText="1"/>
    </xf>
    <xf numFmtId="181" fontId="13" fillId="0" borderId="14" xfId="54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0" fontId="16" fillId="0" borderId="0" xfId="54" applyFont="1" applyFill="1" applyBorder="1" applyAlignment="1">
      <alignment horizontal="left" vertical="center" wrapText="1"/>
    </xf>
    <xf numFmtId="0" fontId="2" fillId="0" borderId="0" xfId="53" applyFont="1" applyFill="1" applyAlignment="1"/>
    <xf numFmtId="0" fontId="7" fillId="0" borderId="0" xfId="53" applyFont="1" applyFill="1" applyAlignment="1"/>
    <xf numFmtId="176" fontId="2" fillId="0" borderId="0" xfId="1" applyFont="1" applyFill="1"/>
    <xf numFmtId="184" fontId="2" fillId="0" borderId="0" xfId="53" applyNumberFormat="1" applyFont="1" applyFill="1" applyAlignment="1"/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2" xfId="51" applyFont="1" applyBorder="1"/>
    <xf numFmtId="0" fontId="21" fillId="0" borderId="0" xfId="53" applyFont="1" applyAlignment="1">
      <alignment horizontal="left" vertical="top" wrapText="1"/>
    </xf>
    <xf numFmtId="0" fontId="2" fillId="0" borderId="0" xfId="0" applyFont="1" applyBorder="1" applyAlignment="1">
      <alignment vertical="center"/>
    </xf>
    <xf numFmtId="0" fontId="2" fillId="0" borderId="0" xfId="51" applyFont="1" applyBorder="1"/>
    <xf numFmtId="185" fontId="2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Border="1" applyAlignment="1">
      <alignment horizontal="right" vertical="center"/>
    </xf>
    <xf numFmtId="185" fontId="12" fillId="0" borderId="0" xfId="0" applyNumberFormat="1" applyFont="1" applyFill="1" applyBorder="1" applyAlignment="1">
      <alignment horizontal="center" vertical="center"/>
    </xf>
    <xf numFmtId="0" fontId="13" fillId="0" borderId="0" xfId="54" applyFont="1" applyFill="1" applyBorder="1" applyAlignment="1">
      <alignment horizontal="left" vertical="top" wrapText="1"/>
    </xf>
    <xf numFmtId="0" fontId="2" fillId="0" borderId="0" xfId="51" applyFont="1" applyFill="1" applyBorder="1"/>
    <xf numFmtId="0" fontId="23" fillId="0" borderId="0" xfId="54" applyFont="1" applyFill="1" applyBorder="1" applyAlignment="1">
      <alignment horizontal="left" vertical="top" wrapText="1"/>
    </xf>
    <xf numFmtId="0" fontId="7" fillId="0" borderId="0" xfId="54" applyFont="1" applyFill="1" applyBorder="1" applyAlignment="1">
      <alignment horizontal="left" vertical="top" wrapText="1"/>
    </xf>
    <xf numFmtId="0" fontId="7" fillId="0" borderId="0" xfId="54" applyFont="1" applyFill="1" applyBorder="1" applyAlignment="1">
      <alignment vertical="center" wrapText="1"/>
    </xf>
    <xf numFmtId="0" fontId="7" fillId="0" borderId="0" xfId="54" applyFont="1" applyFill="1" applyBorder="1" applyAlignment="1">
      <alignment horizontal="left" vertical="center" wrapText="1"/>
    </xf>
    <xf numFmtId="0" fontId="7" fillId="0" borderId="0" xfId="54" applyFont="1" applyFill="1" applyBorder="1" applyAlignment="1">
      <alignment horizontal="right" vertical="center" wrapText="1"/>
    </xf>
    <xf numFmtId="0" fontId="2" fillId="0" borderId="0" xfId="51" applyFont="1" applyFill="1" applyAlignment="1">
      <alignment vertical="center" wrapText="1"/>
    </xf>
    <xf numFmtId="0" fontId="24" fillId="0" borderId="0" xfId="51" applyFont="1" applyFill="1" applyAlignment="1">
      <alignment horizontal="right" vertical="top"/>
    </xf>
    <xf numFmtId="0" fontId="25" fillId="0" borderId="0" xfId="51" applyFont="1" applyFill="1" applyAlignment="1">
      <alignment horizontal="right" vertical="top"/>
    </xf>
    <xf numFmtId="186" fontId="1" fillId="0" borderId="15" xfId="51" applyNumberFormat="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horizontal="center" vertical="center"/>
    </xf>
    <xf numFmtId="185" fontId="12" fillId="0" borderId="0" xfId="51" applyNumberFormat="1" applyFont="1" applyFill="1" applyAlignment="1">
      <alignment horizontal="left" vertical="center"/>
    </xf>
    <xf numFmtId="0" fontId="2" fillId="0" borderId="0" xfId="51" applyFont="1" applyFill="1" applyAlignment="1">
      <alignment vertical="center"/>
    </xf>
    <xf numFmtId="186" fontId="1" fillId="0" borderId="0" xfId="51" applyNumberFormat="1" applyFont="1" applyFill="1" applyBorder="1" applyAlignment="1">
      <alignment horizontal="center" vertical="center"/>
    </xf>
    <xf numFmtId="0" fontId="24" fillId="0" borderId="0" xfId="51" applyFont="1" applyFill="1" applyAlignment="1">
      <alignment vertical="top"/>
    </xf>
    <xf numFmtId="0" fontId="7" fillId="0" borderId="0" xfId="54" applyFont="1" applyBorder="1" applyAlignment="1">
      <alignment vertical="top" wrapText="1"/>
    </xf>
    <xf numFmtId="187" fontId="7" fillId="0" borderId="0" xfId="54" applyNumberFormat="1" applyFont="1" applyBorder="1" applyAlignment="1">
      <alignment vertical="top" wrapText="1"/>
    </xf>
    <xf numFmtId="0" fontId="7" fillId="0" borderId="0" xfId="54" applyFont="1" applyBorder="1" applyAlignment="1">
      <alignment horizontal="left" vertical="top" wrapText="1"/>
    </xf>
    <xf numFmtId="187" fontId="26" fillId="0" borderId="0" xfId="51" applyNumberFormat="1" applyFont="1" applyFill="1" applyAlignment="1">
      <alignment horizontal="left" vertical="center"/>
    </xf>
    <xf numFmtId="0" fontId="12" fillId="0" borderId="0" xfId="51" applyFont="1" applyFill="1" applyAlignment="1">
      <alignment horizontal="right"/>
    </xf>
    <xf numFmtId="187" fontId="2" fillId="0" borderId="0" xfId="51" applyNumberFormat="1" applyFont="1" applyFill="1" applyAlignment="1">
      <alignment horizontal="left"/>
    </xf>
    <xf numFmtId="187" fontId="24" fillId="0" borderId="0" xfId="51" applyNumberFormat="1" applyFont="1" applyFill="1" applyAlignment="1">
      <alignment horizontal="left"/>
    </xf>
    <xf numFmtId="187" fontId="2" fillId="0" borderId="0" xfId="51" applyNumberFormat="1" applyFont="1" applyFill="1" applyAlignment="1">
      <alignment horizontal="center"/>
    </xf>
    <xf numFmtId="185" fontId="2" fillId="0" borderId="0" xfId="51" applyNumberFormat="1" applyFont="1" applyFill="1" applyAlignment="1">
      <alignment horizontal="center"/>
    </xf>
    <xf numFmtId="49" fontId="2" fillId="0" borderId="0" xfId="51" applyNumberFormat="1" applyFont="1" applyFill="1" applyAlignment="1">
      <alignment horizontal="center"/>
    </xf>
    <xf numFmtId="185" fontId="7" fillId="0" borderId="0" xfId="54" applyNumberFormat="1" applyFont="1" applyFill="1" applyBorder="1" applyAlignment="1">
      <alignment horizontal="center"/>
    </xf>
    <xf numFmtId="187" fontId="7" fillId="0" borderId="0" xfId="54" applyNumberFormat="1" applyFont="1" applyFill="1" applyBorder="1" applyAlignment="1"/>
    <xf numFmtId="187" fontId="2" fillId="0" borderId="0" xfId="53" applyNumberFormat="1" applyFont="1" applyFill="1"/>
    <xf numFmtId="187" fontId="2" fillId="0" borderId="0" xfId="53" applyNumberFormat="1" applyFont="1" applyFill="1" applyAlignment="1"/>
    <xf numFmtId="0" fontId="7" fillId="0" borderId="0" xfId="54" applyFont="1" applyFill="1" applyBorder="1" applyAlignment="1">
      <alignment horizontal="left" wrapText="1"/>
    </xf>
    <xf numFmtId="187" fontId="7" fillId="0" borderId="0" xfId="54" applyNumberFormat="1" applyFont="1" applyFill="1" applyBorder="1" applyAlignment="1">
      <alignment horizontal="left" wrapText="1"/>
    </xf>
    <xf numFmtId="187" fontId="12" fillId="0" borderId="0" xfId="51" applyNumberFormat="1" applyFont="1" applyFill="1" applyAlignment="1">
      <alignment horizontal="right"/>
    </xf>
    <xf numFmtId="187" fontId="2" fillId="0" borderId="0" xfId="51" applyNumberFormat="1" applyFont="1" applyAlignment="1">
      <alignment horizontal="left"/>
    </xf>
    <xf numFmtId="185" fontId="2" fillId="0" borderId="0" xfId="53" applyNumberFormat="1" applyFont="1" applyFill="1" applyAlignment="1">
      <alignment horizontal="center"/>
    </xf>
    <xf numFmtId="187" fontId="2" fillId="0" borderId="0" xfId="53" applyNumberFormat="1" applyFont="1" applyFill="1" applyAlignment="1">
      <alignment horizontal="center"/>
    </xf>
    <xf numFmtId="185" fontId="7" fillId="0" borderId="0" xfId="54" applyNumberFormat="1" applyFont="1" applyBorder="1" applyAlignment="1">
      <alignment horizontal="center" wrapText="1"/>
    </xf>
    <xf numFmtId="187" fontId="7" fillId="0" borderId="0" xfId="54" applyNumberFormat="1" applyFont="1" applyBorder="1" applyAlignment="1">
      <alignment wrapText="1"/>
    </xf>
    <xf numFmtId="187" fontId="2" fillId="0" borderId="0" xfId="51" applyNumberFormat="1" applyFont="1" applyFill="1" applyAlignment="1"/>
    <xf numFmtId="187" fontId="7" fillId="0" borderId="0" xfId="54" applyNumberFormat="1" applyFont="1" applyBorder="1" applyAlignment="1">
      <alignment horizontal="left" wrapText="1"/>
    </xf>
    <xf numFmtId="0" fontId="7" fillId="0" borderId="0" xfId="0" applyFont="1" applyAlignment="1">
      <alignment horizontal="center"/>
    </xf>
    <xf numFmtId="185" fontId="12" fillId="0" borderId="0" xfId="53" applyNumberFormat="1" applyFont="1" applyFill="1" applyAlignment="1">
      <alignment horizontal="center"/>
    </xf>
    <xf numFmtId="0" fontId="7" fillId="0" borderId="0" xfId="0" applyFont="1" applyAlignment="1">
      <alignment wrapText="1"/>
    </xf>
    <xf numFmtId="0" fontId="2" fillId="0" borderId="0" xfId="53" applyFont="1" applyFill="1" applyAlignment="1">
      <alignment horizontal="center"/>
    </xf>
    <xf numFmtId="0" fontId="2" fillId="0" borderId="0" xfId="53" applyFont="1" applyFill="1" applyAlignment="1">
      <alignment horizontal="center" vertical="center"/>
    </xf>
    <xf numFmtId="187" fontId="2" fillId="0" borderId="0" xfId="53" applyNumberFormat="1" applyFont="1" applyFill="1" applyAlignment="1">
      <alignment horizontal="center" vertical="center"/>
    </xf>
    <xf numFmtId="0" fontId="12" fillId="0" borderId="0" xfId="51" applyFont="1" applyFill="1" applyAlignment="1">
      <alignment vertical="center"/>
    </xf>
    <xf numFmtId="0" fontId="2" fillId="0" borderId="0" xfId="51" applyFont="1" applyFill="1" applyAlignment="1">
      <alignment horizontal="center" vertical="center" wrapText="1"/>
    </xf>
    <xf numFmtId="0" fontId="19" fillId="0" borderId="0" xfId="51" applyFont="1" applyFill="1"/>
    <xf numFmtId="0" fontId="2" fillId="0" borderId="0" xfId="51" applyFont="1" applyFill="1" applyAlignment="1">
      <alignment horizontal="left" vertical="center"/>
    </xf>
    <xf numFmtId="185" fontId="2" fillId="0" borderId="0" xfId="51" applyNumberFormat="1" applyFont="1" applyFill="1" applyAlignment="1">
      <alignment vertical="center"/>
    </xf>
    <xf numFmtId="0" fontId="2" fillId="0" borderId="0" xfId="51" applyFont="1" applyFill="1" applyAlignment="1">
      <alignment horizontal="center" vertical="center"/>
    </xf>
    <xf numFmtId="0" fontId="2" fillId="0" borderId="0" xfId="51" applyFont="1" applyFill="1"/>
    <xf numFmtId="0" fontId="2" fillId="0" borderId="0" xfId="51" applyFont="1" applyAlignment="1">
      <alignment horizontal="left"/>
    </xf>
    <xf numFmtId="0" fontId="2" fillId="0" borderId="0" xfId="51" applyFont="1" applyAlignment="1">
      <alignment horizontal="center"/>
    </xf>
    <xf numFmtId="0" fontId="1" fillId="0" borderId="0" xfId="53" applyFont="1" applyFill="1" applyBorder="1"/>
    <xf numFmtId="49" fontId="7" fillId="0" borderId="1" xfId="0" applyNumberFormat="1" applyFont="1" applyFill="1" applyBorder="1" applyAlignment="1">
      <alignment horizontal="left" wrapText="1"/>
    </xf>
    <xf numFmtId="0" fontId="2" fillId="0" borderId="1" xfId="53" applyFont="1" applyFill="1" applyBorder="1"/>
    <xf numFmtId="49" fontId="7" fillId="0" borderId="0" xfId="0" applyNumberFormat="1" applyFont="1" applyFill="1" applyBorder="1" applyAlignment="1">
      <alignment horizontal="left" wrapText="1"/>
    </xf>
    <xf numFmtId="49" fontId="17" fillId="0" borderId="0" xfId="0" applyNumberFormat="1" applyFont="1" applyFill="1" applyBorder="1" applyAlignment="1">
      <alignment wrapText="1"/>
    </xf>
    <xf numFmtId="49" fontId="7" fillId="0" borderId="16" xfId="0" applyNumberFormat="1" applyFont="1" applyFill="1" applyBorder="1" applyAlignment="1">
      <alignment horizontal="left" wrapText="1"/>
    </xf>
    <xf numFmtId="0" fontId="2" fillId="0" borderId="16" xfId="53" applyFont="1" applyFill="1" applyBorder="1"/>
    <xf numFmtId="0" fontId="1" fillId="0" borderId="0" xfId="53" applyFont="1" applyFill="1" applyAlignment="1">
      <alignment horizontal="center"/>
    </xf>
    <xf numFmtId="49" fontId="17" fillId="0" borderId="16" xfId="0" applyNumberFormat="1" applyFont="1" applyFill="1" applyBorder="1" applyAlignment="1">
      <alignment horizontal="left" wrapText="1"/>
    </xf>
    <xf numFmtId="0" fontId="1" fillId="0" borderId="16" xfId="53" applyFont="1" applyFill="1" applyBorder="1"/>
    <xf numFmtId="49" fontId="17" fillId="0" borderId="0" xfId="0" applyNumberFormat="1" applyFont="1" applyFill="1" applyBorder="1" applyAlignment="1">
      <alignment horizontal="left" wrapText="1"/>
    </xf>
    <xf numFmtId="0" fontId="19" fillId="0" borderId="0" xfId="51" applyFont="1"/>
    <xf numFmtId="187" fontId="12" fillId="0" borderId="0" xfId="51" applyNumberFormat="1" applyFont="1" applyAlignment="1">
      <alignment horizontal="center" vertical="center"/>
    </xf>
    <xf numFmtId="185" fontId="2" fillId="0" borderId="0" xfId="51" applyNumberFormat="1" applyFont="1" applyAlignment="1">
      <alignment horizontal="center" vertical="center"/>
    </xf>
    <xf numFmtId="0" fontId="2" fillId="0" borderId="0" xfId="51" applyFont="1" applyAlignment="1">
      <alignment horizontal="center" vertical="center"/>
    </xf>
    <xf numFmtId="0" fontId="2" fillId="0" borderId="0" xfId="51" applyFont="1"/>
    <xf numFmtId="49" fontId="2" fillId="0" borderId="0" xfId="51" applyNumberFormat="1" applyFont="1"/>
    <xf numFmtId="0" fontId="1" fillId="0" borderId="0" xfId="53" applyFont="1" applyAlignment="1">
      <alignment horizontal="center" vertical="center"/>
    </xf>
    <xf numFmtId="0" fontId="1" fillId="0" borderId="0" xfId="53" applyFont="1"/>
    <xf numFmtId="0" fontId="27" fillId="0" borderId="0" xfId="53" applyFont="1"/>
    <xf numFmtId="0" fontId="1" fillId="0" borderId="0" xfId="53" applyFont="1" applyAlignment="1">
      <alignment horizontal="center"/>
    </xf>
    <xf numFmtId="0" fontId="7" fillId="0" borderId="0" xfId="0" applyFont="1" applyFill="1" applyAlignment="1">
      <alignment horizontal="left" vertical="center"/>
    </xf>
    <xf numFmtId="0" fontId="28" fillId="0" borderId="0" xfId="0" applyFont="1" applyFill="1"/>
    <xf numFmtId="0" fontId="28" fillId="0" borderId="0" xfId="0" applyFont="1" applyBorder="1"/>
    <xf numFmtId="0" fontId="7" fillId="0" borderId="0" xfId="0" applyFont="1" applyFill="1" applyAlignment="1">
      <alignment horizontal="center" vertical="center"/>
    </xf>
    <xf numFmtId="0" fontId="28" fillId="0" borderId="0" xfId="0" applyFont="1"/>
    <xf numFmtId="0" fontId="29" fillId="0" borderId="0" xfId="0" applyFont="1" applyFill="1" applyAlignment="1">
      <alignment vertical="center"/>
    </xf>
    <xf numFmtId="2" fontId="1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29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right" vertical="center" wrapText="1"/>
    </xf>
    <xf numFmtId="0" fontId="30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top"/>
    </xf>
    <xf numFmtId="49" fontId="7" fillId="0" borderId="2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/>
    </xf>
    <xf numFmtId="2" fontId="13" fillId="2" borderId="2" xfId="0" applyNumberFormat="1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vertical="center" wrapText="1"/>
    </xf>
    <xf numFmtId="2" fontId="7" fillId="2" borderId="2" xfId="0" applyNumberFormat="1" applyFont="1" applyFill="1" applyBorder="1" applyAlignment="1">
      <alignment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 wrapText="1"/>
    </xf>
    <xf numFmtId="0" fontId="28" fillId="0" borderId="2" xfId="0" applyFont="1" applyBorder="1"/>
    <xf numFmtId="0" fontId="7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left" vertical="center"/>
    </xf>
    <xf numFmtId="2" fontId="13" fillId="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wrapText="1"/>
    </xf>
    <xf numFmtId="2" fontId="14" fillId="2" borderId="2" xfId="0" applyNumberFormat="1" applyFont="1" applyFill="1" applyBorder="1" applyAlignment="1">
      <alignment vertical="center"/>
    </xf>
    <xf numFmtId="2" fontId="16" fillId="2" borderId="2" xfId="0" applyNumberFormat="1" applyFont="1" applyFill="1" applyBorder="1" applyAlignment="1">
      <alignment vertical="center"/>
    </xf>
    <xf numFmtId="2" fontId="7" fillId="2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center" wrapText="1"/>
    </xf>
    <xf numFmtId="2" fontId="14" fillId="0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/>
    </xf>
    <xf numFmtId="2" fontId="14" fillId="2" borderId="2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2" fontId="13" fillId="0" borderId="2" xfId="0" applyNumberFormat="1" applyFont="1" applyFill="1" applyBorder="1" applyAlignment="1">
      <alignment vertical="center" wrapText="1"/>
    </xf>
    <xf numFmtId="0" fontId="16" fillId="0" borderId="2" xfId="0" applyFont="1" applyFill="1" applyBorder="1" applyAlignment="1">
      <alignment horizontal="left" vertical="center" wrapText="1"/>
    </xf>
    <xf numFmtId="2" fontId="13" fillId="0" borderId="2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vertical="center" wrapText="1"/>
    </xf>
    <xf numFmtId="49" fontId="7" fillId="2" borderId="0" xfId="0" applyNumberFormat="1" applyFont="1" applyFill="1" applyBorder="1" applyAlignment="1">
      <alignment horizontal="center" vertical="center"/>
    </xf>
    <xf numFmtId="0" fontId="30" fillId="2" borderId="0" xfId="0" applyFont="1" applyFill="1"/>
    <xf numFmtId="0" fontId="7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28" fillId="3" borderId="0" xfId="0" applyFont="1" applyFill="1"/>
    <xf numFmtId="188" fontId="7" fillId="0" borderId="0" xfId="0" applyNumberFormat="1" applyFont="1" applyFill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188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vertical="top"/>
    </xf>
    <xf numFmtId="188" fontId="7" fillId="0" borderId="2" xfId="0" applyNumberFormat="1" applyFont="1" applyFill="1" applyBorder="1" applyAlignment="1">
      <alignment horizontal="center" vertical="center" wrapText="1"/>
    </xf>
    <xf numFmtId="183" fontId="13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49" fontId="13" fillId="0" borderId="7" xfId="0" applyNumberFormat="1" applyFont="1" applyFill="1" applyBorder="1" applyAlignment="1">
      <alignment horizontal="left" vertical="center" wrapText="1"/>
    </xf>
    <xf numFmtId="49" fontId="13" fillId="0" borderId="16" xfId="0" applyNumberFormat="1" applyFont="1" applyFill="1" applyBorder="1" applyAlignment="1">
      <alignment horizontal="left" vertical="center" wrapText="1"/>
    </xf>
    <xf numFmtId="188" fontId="7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vertical="center" wrapText="1"/>
    </xf>
    <xf numFmtId="176" fontId="7" fillId="0" borderId="0" xfId="0" applyNumberFormat="1" applyFont="1" applyFill="1" applyAlignment="1">
      <alignment horizontal="left" vertical="center"/>
    </xf>
    <xf numFmtId="0" fontId="7" fillId="0" borderId="17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center" vertical="center"/>
    </xf>
    <xf numFmtId="176" fontId="7" fillId="0" borderId="17" xfId="0" applyNumberFormat="1" applyFont="1" applyFill="1" applyBorder="1" applyAlignment="1">
      <alignment vertical="center" wrapText="1"/>
    </xf>
    <xf numFmtId="0" fontId="7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right" vertical="center" wrapText="1"/>
    </xf>
    <xf numFmtId="0" fontId="7" fillId="3" borderId="19" xfId="0" applyFont="1" applyFill="1" applyBorder="1" applyAlignment="1">
      <alignment horizontal="center" vertical="center"/>
    </xf>
    <xf numFmtId="188" fontId="7" fillId="3" borderId="19" xfId="0" applyNumberFormat="1" applyFont="1" applyFill="1" applyBorder="1" applyAlignment="1">
      <alignment vertical="center" wrapText="1"/>
    </xf>
    <xf numFmtId="176" fontId="13" fillId="3" borderId="20" xfId="0" applyNumberFormat="1" applyFont="1" applyFill="1" applyBorder="1" applyAlignment="1">
      <alignment vertical="center" wrapText="1"/>
    </xf>
    <xf numFmtId="0" fontId="13" fillId="0" borderId="21" xfId="0" applyFont="1" applyFill="1" applyBorder="1" applyAlignment="1">
      <alignment horizontal="left" vertical="center" wrapText="1"/>
    </xf>
    <xf numFmtId="0" fontId="13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 wrapText="1"/>
    </xf>
    <xf numFmtId="188" fontId="7" fillId="0" borderId="23" xfId="0" applyNumberFormat="1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176" fontId="7" fillId="0" borderId="7" xfId="0" applyNumberFormat="1" applyFont="1" applyFill="1" applyBorder="1" applyAlignment="1">
      <alignment vertical="center" wrapText="1"/>
    </xf>
    <xf numFmtId="176" fontId="7" fillId="0" borderId="24" xfId="0" applyNumberFormat="1" applyFont="1" applyFill="1" applyBorder="1" applyAlignment="1">
      <alignment vertical="center" wrapText="1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center" vertical="center"/>
    </xf>
    <xf numFmtId="188" fontId="13" fillId="3" borderId="19" xfId="0" applyNumberFormat="1" applyFont="1" applyFill="1" applyBorder="1" applyAlignment="1">
      <alignment vertical="center" wrapText="1"/>
    </xf>
    <xf numFmtId="2" fontId="13" fillId="2" borderId="25" xfId="0" applyNumberFormat="1" applyFont="1" applyFill="1" applyBorder="1" applyAlignment="1">
      <alignment horizontal="left" vertical="center" wrapText="1"/>
    </xf>
    <xf numFmtId="2" fontId="13" fillId="2" borderId="26" xfId="0" applyNumberFormat="1" applyFont="1" applyFill="1" applyBorder="1" applyAlignment="1">
      <alignment horizontal="left" vertical="center" wrapText="1"/>
    </xf>
    <xf numFmtId="0" fontId="30" fillId="2" borderId="23" xfId="0" applyFont="1" applyFill="1" applyBorder="1" applyAlignment="1">
      <alignment horizontal="center" vertical="center"/>
    </xf>
    <xf numFmtId="188" fontId="30" fillId="2" borderId="23" xfId="0" applyNumberFormat="1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center"/>
    </xf>
    <xf numFmtId="0" fontId="13" fillId="2" borderId="28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188" fontId="30" fillId="2" borderId="2" xfId="0" applyNumberFormat="1" applyFont="1" applyFill="1" applyBorder="1" applyAlignment="1">
      <alignment horizontal="center" vertical="center"/>
    </xf>
    <xf numFmtId="189" fontId="30" fillId="2" borderId="9" xfId="0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vertical="top"/>
    </xf>
    <xf numFmtId="190" fontId="30" fillId="2" borderId="9" xfId="0" applyNumberFormat="1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32" fillId="4" borderId="0" xfId="0" applyFont="1" applyFill="1" applyAlignment="1">
      <alignment vertical="top"/>
    </xf>
    <xf numFmtId="0" fontId="7" fillId="3" borderId="18" xfId="0" applyNumberFormat="1" applyFont="1" applyFill="1" applyBorder="1" applyAlignment="1">
      <alignment vertical="center" wrapText="1"/>
    </xf>
    <xf numFmtId="0" fontId="7" fillId="3" borderId="19" xfId="0" applyFont="1" applyFill="1" applyBorder="1" applyAlignment="1">
      <alignment horizontal="center" vertical="center" wrapText="1"/>
    </xf>
    <xf numFmtId="176" fontId="7" fillId="3" borderId="19" xfId="0" applyNumberFormat="1" applyFont="1" applyFill="1" applyBorder="1" applyAlignment="1">
      <alignment vertical="center" wrapText="1"/>
    </xf>
    <xf numFmtId="190" fontId="33" fillId="3" borderId="20" xfId="0" applyNumberFormat="1" applyFont="1" applyFill="1" applyBorder="1" applyAlignment="1">
      <alignment horizontal="right" vertical="center"/>
    </xf>
    <xf numFmtId="0" fontId="32" fillId="5" borderId="0" xfId="0" applyFont="1" applyFill="1" applyAlignment="1">
      <alignment vertical="top"/>
    </xf>
    <xf numFmtId="0" fontId="13" fillId="2" borderId="29" xfId="0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center" vertical="center"/>
    </xf>
    <xf numFmtId="176" fontId="7" fillId="0" borderId="23" xfId="0" applyNumberFormat="1" applyFont="1" applyFill="1" applyBorder="1" applyAlignment="1">
      <alignment vertical="center" wrapText="1"/>
    </xf>
    <xf numFmtId="189" fontId="30" fillId="2" borderId="30" xfId="0" applyNumberFormat="1" applyFont="1" applyFill="1" applyBorder="1" applyAlignment="1">
      <alignment horizontal="right" vertical="center"/>
    </xf>
    <xf numFmtId="191" fontId="30" fillId="2" borderId="2" xfId="0" applyNumberFormat="1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26" xfId="0" applyFont="1" applyFill="1" applyBorder="1" applyAlignment="1">
      <alignment horizontal="left" vertical="center" wrapText="1"/>
    </xf>
    <xf numFmtId="0" fontId="7" fillId="0" borderId="31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192" fontId="7" fillId="0" borderId="32" xfId="0" applyNumberFormat="1" applyFont="1" applyFill="1" applyBorder="1" applyAlignment="1">
      <alignment horizontal="left" vertical="center"/>
    </xf>
    <xf numFmtId="49" fontId="7" fillId="0" borderId="17" xfId="0" applyNumberFormat="1" applyFont="1" applyFill="1" applyBorder="1" applyAlignment="1">
      <alignment horizontal="left" vertical="center"/>
    </xf>
    <xf numFmtId="176" fontId="7" fillId="0" borderId="8" xfId="0" applyNumberFormat="1" applyFont="1" applyFill="1" applyBorder="1" applyAlignment="1">
      <alignment vertical="center" wrapText="1"/>
    </xf>
    <xf numFmtId="49" fontId="7" fillId="0" borderId="23" xfId="0" applyNumberFormat="1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2" fontId="13" fillId="2" borderId="29" xfId="0" applyNumberFormat="1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center" vertical="center" wrapText="1"/>
    </xf>
    <xf numFmtId="176" fontId="13" fillId="0" borderId="21" xfId="0" applyNumberFormat="1" applyFont="1" applyFill="1" applyBorder="1" applyAlignment="1">
      <alignment vertical="center" wrapText="1"/>
    </xf>
    <xf numFmtId="2" fontId="13" fillId="2" borderId="7" xfId="0" applyNumberFormat="1" applyFont="1" applyFill="1" applyBorder="1" applyAlignment="1">
      <alignment horizontal="left" vertical="center"/>
    </xf>
    <xf numFmtId="2" fontId="13" fillId="2" borderId="8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vertical="center"/>
    </xf>
    <xf numFmtId="2" fontId="13" fillId="3" borderId="19" xfId="0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 vertical="center"/>
    </xf>
    <xf numFmtId="0" fontId="7" fillId="0" borderId="18" xfId="0" applyNumberFormat="1" applyFont="1" applyFill="1" applyBorder="1" applyAlignment="1">
      <alignment horizontal="center" vertical="center" wrapText="1"/>
    </xf>
    <xf numFmtId="2" fontId="13" fillId="0" borderId="19" xfId="0" applyNumberFormat="1" applyFont="1" applyFill="1" applyBorder="1" applyAlignment="1">
      <alignment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/>
    </xf>
    <xf numFmtId="176" fontId="7" fillId="0" borderId="19" xfId="0" applyNumberFormat="1" applyFont="1" applyFill="1" applyBorder="1" applyAlignment="1">
      <alignment vertical="center" wrapText="1"/>
    </xf>
    <xf numFmtId="176" fontId="7" fillId="0" borderId="20" xfId="0" applyNumberFormat="1" applyFont="1" applyFill="1" applyBorder="1" applyAlignment="1">
      <alignment vertical="center" wrapText="1"/>
    </xf>
    <xf numFmtId="0" fontId="7" fillId="2" borderId="23" xfId="0" applyFont="1" applyFill="1" applyBorder="1" applyAlignment="1">
      <alignment horizontal="center" vertical="center" wrapText="1"/>
    </xf>
    <xf numFmtId="176" fontId="7" fillId="0" borderId="31" xfId="0" applyNumberFormat="1" applyFont="1" applyFill="1" applyBorder="1" applyAlignment="1">
      <alignment vertical="center" wrapText="1"/>
    </xf>
    <xf numFmtId="0" fontId="7" fillId="3" borderId="18" xfId="0" applyNumberFormat="1" applyFont="1" applyFill="1" applyBorder="1" applyAlignment="1">
      <alignment horizontal="center" vertical="center" wrapText="1"/>
    </xf>
    <xf numFmtId="2" fontId="13" fillId="2" borderId="7" xfId="0" applyNumberFormat="1" applyFont="1" applyFill="1" applyBorder="1" applyAlignment="1">
      <alignment horizontal="left" vertical="center" wrapText="1"/>
    </xf>
    <xf numFmtId="2" fontId="13" fillId="2" borderId="8" xfId="0" applyNumberFormat="1" applyFont="1" applyFill="1" applyBorder="1" applyAlignment="1">
      <alignment horizontal="left" vertical="center" wrapText="1"/>
    </xf>
    <xf numFmtId="2" fontId="13" fillId="3" borderId="19" xfId="0" applyNumberFormat="1" applyFont="1" applyFill="1" applyBorder="1" applyAlignment="1">
      <alignment horizontal="right" vertical="center" wrapText="1"/>
    </xf>
    <xf numFmtId="2" fontId="13" fillId="0" borderId="25" xfId="0" applyNumberFormat="1" applyFont="1" applyFill="1" applyBorder="1" applyAlignment="1">
      <alignment horizontal="left" vertical="center" wrapText="1"/>
    </xf>
    <xf numFmtId="2" fontId="13" fillId="0" borderId="26" xfId="0" applyNumberFormat="1" applyFont="1" applyFill="1" applyBorder="1" applyAlignment="1">
      <alignment horizontal="left" vertical="center" wrapText="1"/>
    </xf>
    <xf numFmtId="0" fontId="7" fillId="3" borderId="17" xfId="0" applyNumberFormat="1" applyFont="1" applyFill="1" applyBorder="1" applyAlignment="1">
      <alignment horizontal="center" vertical="center" wrapText="1"/>
    </xf>
    <xf numFmtId="2" fontId="13" fillId="3" borderId="17" xfId="0" applyNumberFormat="1" applyFont="1" applyFill="1" applyBorder="1" applyAlignment="1">
      <alignment horizontal="right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176" fontId="7" fillId="3" borderId="17" xfId="0" applyNumberFormat="1" applyFont="1" applyFill="1" applyBorder="1" applyAlignment="1">
      <alignment vertical="center" wrapText="1"/>
    </xf>
    <xf numFmtId="176" fontId="13" fillId="3" borderId="17" xfId="0" applyNumberFormat="1" applyFont="1" applyFill="1" applyBorder="1" applyAlignment="1">
      <alignment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 wrapText="1"/>
    </xf>
    <xf numFmtId="176" fontId="13" fillId="3" borderId="19" xfId="0" applyNumberFormat="1" applyFont="1" applyFill="1" applyBorder="1" applyAlignment="1">
      <alignment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right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right" vertical="center"/>
    </xf>
    <xf numFmtId="9" fontId="34" fillId="2" borderId="2" xfId="0" applyNumberFormat="1" applyFont="1" applyFill="1" applyBorder="1" applyAlignment="1">
      <alignment horizontal="center" vertical="center"/>
    </xf>
    <xf numFmtId="193" fontId="7" fillId="2" borderId="2" xfId="0" applyNumberFormat="1" applyFont="1" applyFill="1" applyBorder="1" applyAlignment="1">
      <alignment horizontal="center" vertical="center"/>
    </xf>
    <xf numFmtId="190" fontId="7" fillId="2" borderId="2" xfId="0" applyNumberFormat="1" applyFont="1" applyFill="1" applyBorder="1" applyAlignment="1">
      <alignment horizontal="right" vertical="center"/>
    </xf>
    <xf numFmtId="9" fontId="7" fillId="2" borderId="2" xfId="0" applyNumberFormat="1" applyFont="1" applyFill="1" applyBorder="1" applyAlignment="1">
      <alignment horizontal="center" vertical="center"/>
    </xf>
    <xf numFmtId="190" fontId="13" fillId="2" borderId="2" xfId="0" applyNumberFormat="1" applyFont="1" applyFill="1" applyBorder="1" applyAlignment="1">
      <alignment horizontal="right" vertical="center"/>
    </xf>
    <xf numFmtId="2" fontId="16" fillId="2" borderId="2" xfId="0" applyNumberFormat="1" applyFont="1" applyFill="1" applyBorder="1" applyAlignment="1">
      <alignment horizontal="right" vertical="center"/>
    </xf>
    <xf numFmtId="9" fontId="16" fillId="2" borderId="2" xfId="0" applyNumberFormat="1" applyFont="1" applyFill="1" applyBorder="1" applyAlignment="1">
      <alignment horizontal="center" vertical="center"/>
    </xf>
    <xf numFmtId="193" fontId="16" fillId="2" borderId="2" xfId="0" applyNumberFormat="1" applyFont="1" applyFill="1" applyBorder="1" applyAlignment="1">
      <alignment horizontal="center" vertical="center"/>
    </xf>
    <xf numFmtId="190" fontId="16" fillId="2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top" wrapText="1"/>
    </xf>
    <xf numFmtId="2" fontId="7" fillId="2" borderId="2" xfId="0" applyNumberFormat="1" applyFont="1" applyFill="1" applyBorder="1" applyAlignment="1">
      <alignment horizontal="center" vertical="center"/>
    </xf>
    <xf numFmtId="0" fontId="30" fillId="2" borderId="0" xfId="0" applyFont="1" applyFill="1" applyBorder="1"/>
    <xf numFmtId="188" fontId="30" fillId="2" borderId="0" xfId="0" applyNumberFormat="1" applyFont="1" applyFill="1" applyAlignment="1">
      <alignment horizontal="center" vertical="center"/>
    </xf>
    <xf numFmtId="189" fontId="30" fillId="2" borderId="0" xfId="0" applyNumberFormat="1" applyFont="1" applyFill="1"/>
    <xf numFmtId="192" fontId="7" fillId="0" borderId="0" xfId="0" applyNumberFormat="1" applyFont="1" applyFill="1" applyAlignment="1">
      <alignment horizontal="left" vertical="center"/>
    </xf>
    <xf numFmtId="192" fontId="7" fillId="0" borderId="0" xfId="0" applyNumberFormat="1" applyFont="1" applyFill="1" applyAlignment="1">
      <alignment horizontal="center" vertical="center"/>
    </xf>
    <xf numFmtId="192" fontId="7" fillId="0" borderId="0" xfId="0" applyNumberFormat="1" applyFont="1" applyFill="1" applyAlignment="1">
      <alignment horizontal="center"/>
    </xf>
    <xf numFmtId="192" fontId="7" fillId="0" borderId="0" xfId="0" applyNumberFormat="1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192" fontId="13" fillId="0" borderId="0" xfId="0" applyNumberFormat="1" applyFont="1" applyFill="1" applyAlignment="1">
      <alignment vertical="top"/>
    </xf>
    <xf numFmtId="0" fontId="13" fillId="0" borderId="0" xfId="0" applyFont="1" applyFill="1" applyAlignment="1">
      <alignment vertical="top"/>
    </xf>
    <xf numFmtId="192" fontId="7" fillId="0" borderId="0" xfId="0" applyNumberFormat="1" applyFont="1" applyFill="1" applyBorder="1" applyAlignment="1">
      <alignment vertical="top"/>
    </xf>
    <xf numFmtId="0" fontId="7" fillId="0" borderId="0" xfId="0" applyFont="1" applyFill="1" applyBorder="1" applyAlignment="1">
      <alignment horizontal="center" vertical="top"/>
    </xf>
    <xf numFmtId="192" fontId="7" fillId="0" borderId="0" xfId="0" applyNumberFormat="1" applyFont="1" applyFill="1" applyBorder="1" applyAlignment="1">
      <alignment horizontal="center" vertical="center" wrapText="1"/>
    </xf>
    <xf numFmtId="192" fontId="7" fillId="0" borderId="0" xfId="0" applyNumberFormat="1" applyFont="1" applyFill="1" applyBorder="1" applyAlignment="1">
      <alignment horizontal="center" wrapText="1"/>
    </xf>
    <xf numFmtId="192" fontId="7" fillId="0" borderId="0" xfId="0" applyNumberFormat="1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192" fontId="7" fillId="0" borderId="0" xfId="0" applyNumberFormat="1" applyFont="1" applyFill="1" applyBorder="1" applyAlignment="1">
      <alignment horizontal="center"/>
    </xf>
    <xf numFmtId="192" fontId="13" fillId="0" borderId="2" xfId="0" applyNumberFormat="1" applyFont="1" applyFill="1" applyBorder="1" applyAlignment="1">
      <alignment horizontal="center" vertical="top"/>
    </xf>
    <xf numFmtId="192" fontId="7" fillId="0" borderId="7" xfId="0" applyNumberFormat="1" applyFont="1" applyFill="1" applyBorder="1" applyAlignment="1">
      <alignment horizontal="center" vertical="center" wrapText="1"/>
    </xf>
    <xf numFmtId="192" fontId="7" fillId="0" borderId="7" xfId="0" applyNumberFormat="1" applyFont="1" applyFill="1" applyBorder="1" applyAlignment="1">
      <alignment horizontal="center" wrapText="1"/>
    </xf>
    <xf numFmtId="192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192" fontId="13" fillId="0" borderId="7" xfId="0" applyNumberFormat="1" applyFont="1" applyFill="1" applyBorder="1" applyAlignment="1">
      <alignment horizontal="right" vertical="center" wrapText="1"/>
    </xf>
    <xf numFmtId="191" fontId="7" fillId="0" borderId="2" xfId="0" applyNumberFormat="1" applyFont="1" applyFill="1" applyBorder="1" applyAlignment="1">
      <alignment horizontal="center" wrapText="1"/>
    </xf>
    <xf numFmtId="194" fontId="13" fillId="0" borderId="2" xfId="0" applyNumberFormat="1" applyFont="1" applyFill="1" applyBorder="1" applyAlignment="1">
      <alignment horizontal="center" vertical="center" wrapText="1"/>
    </xf>
    <xf numFmtId="2" fontId="13" fillId="0" borderId="2" xfId="0" applyNumberFormat="1" applyFont="1" applyFill="1" applyBorder="1" applyAlignment="1">
      <alignment horizontal="center" vertical="center" wrapText="1"/>
    </xf>
    <xf numFmtId="191" fontId="13" fillId="0" borderId="2" xfId="0" applyNumberFormat="1" applyFont="1" applyFill="1" applyBorder="1" applyAlignment="1">
      <alignment horizontal="center" vertical="center" wrapText="1"/>
    </xf>
    <xf numFmtId="195" fontId="16" fillId="6" borderId="2" xfId="0" applyNumberFormat="1" applyFont="1" applyFill="1" applyBorder="1" applyAlignment="1">
      <alignment horizontal="center" vertical="center"/>
    </xf>
    <xf numFmtId="196" fontId="16" fillId="6" borderId="2" xfId="0" applyNumberFormat="1" applyFont="1" applyFill="1" applyBorder="1" applyAlignment="1">
      <alignment horizontal="center" vertical="center" wrapText="1"/>
    </xf>
    <xf numFmtId="196" fontId="13" fillId="0" borderId="2" xfId="0" applyNumberFormat="1" applyFont="1" applyFill="1" applyBorder="1" applyAlignment="1">
      <alignment horizontal="center" vertical="center" wrapText="1"/>
    </xf>
    <xf numFmtId="191" fontId="13" fillId="0" borderId="17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2" fontId="13" fillId="0" borderId="17" xfId="0" applyNumberFormat="1" applyFont="1" applyFill="1" applyBorder="1" applyAlignment="1">
      <alignment horizontal="center" vertical="center" wrapText="1"/>
    </xf>
    <xf numFmtId="192" fontId="7" fillId="0" borderId="24" xfId="0" applyNumberFormat="1" applyFont="1" applyFill="1" applyBorder="1" applyAlignment="1">
      <alignment horizontal="left" vertical="center"/>
    </xf>
    <xf numFmtId="192" fontId="7" fillId="0" borderId="2" xfId="0" applyNumberFormat="1" applyFont="1" applyFill="1" applyBorder="1" applyAlignment="1">
      <alignment horizontal="center"/>
    </xf>
    <xf numFmtId="0" fontId="7" fillId="3" borderId="19" xfId="0" applyFont="1" applyFill="1" applyBorder="1" applyAlignment="1">
      <alignment horizontal="left" vertical="center"/>
    </xf>
    <xf numFmtId="192" fontId="7" fillId="7" borderId="2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left" vertical="center" wrapText="1"/>
    </xf>
    <xf numFmtId="192" fontId="7" fillId="0" borderId="7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/>
    </xf>
    <xf numFmtId="192" fontId="7" fillId="0" borderId="16" xfId="0" applyNumberFormat="1" applyFont="1" applyFill="1" applyBorder="1" applyAlignment="1">
      <alignment horizontal="left" vertical="center"/>
    </xf>
    <xf numFmtId="192" fontId="7" fillId="0" borderId="15" xfId="0" applyNumberFormat="1" applyFont="1" applyFill="1" applyBorder="1" applyAlignment="1">
      <alignment horizontal="left" vertical="center"/>
    </xf>
    <xf numFmtId="192" fontId="7" fillId="0" borderId="17" xfId="0" applyNumberFormat="1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192" fontId="13" fillId="7" borderId="2" xfId="0" applyNumberFormat="1" applyFont="1" applyFill="1" applyBorder="1" applyAlignment="1">
      <alignment horizontal="center"/>
    </xf>
    <xf numFmtId="2" fontId="13" fillId="2" borderId="33" xfId="0" applyNumberFormat="1" applyFont="1" applyFill="1" applyBorder="1" applyAlignment="1">
      <alignment horizontal="left" vertical="center" wrapText="1"/>
    </xf>
    <xf numFmtId="0" fontId="30" fillId="2" borderId="0" xfId="0" applyFont="1" applyFill="1" applyBorder="1" applyAlignment="1"/>
    <xf numFmtId="0" fontId="33" fillId="2" borderId="16" xfId="0" applyFont="1" applyFill="1" applyBorder="1" applyAlignment="1">
      <alignment horizontal="right"/>
    </xf>
    <xf numFmtId="191" fontId="6" fillId="2" borderId="2" xfId="0" applyNumberFormat="1" applyFont="1" applyFill="1" applyBorder="1" applyAlignment="1">
      <alignment horizontal="center"/>
    </xf>
    <xf numFmtId="192" fontId="30" fillId="2" borderId="2" xfId="0" applyNumberFormat="1" applyFont="1" applyFill="1" applyBorder="1" applyAlignment="1"/>
    <xf numFmtId="0" fontId="30" fillId="2" borderId="2" xfId="0" applyFont="1" applyFill="1" applyBorder="1" applyAlignment="1"/>
    <xf numFmtId="0" fontId="13" fillId="2" borderId="16" xfId="0" applyFont="1" applyFill="1" applyBorder="1" applyAlignment="1">
      <alignment horizontal="left" vertical="center" wrapText="1"/>
    </xf>
    <xf numFmtId="192" fontId="7" fillId="2" borderId="0" xfId="0" applyNumberFormat="1" applyFont="1" applyFill="1" applyBorder="1" applyAlignment="1"/>
    <xf numFmtId="1" fontId="7" fillId="2" borderId="7" xfId="0" applyNumberFormat="1" applyFont="1" applyFill="1" applyBorder="1" applyAlignment="1">
      <alignment horizontal="center" vertical="center"/>
    </xf>
    <xf numFmtId="192" fontId="6" fillId="0" borderId="2" xfId="0" applyNumberFormat="1" applyFont="1" applyFill="1" applyBorder="1" applyAlignment="1">
      <alignment horizontal="center"/>
    </xf>
    <xf numFmtId="192" fontId="32" fillId="2" borderId="2" xfId="0" applyNumberFormat="1" applyFont="1" applyFill="1" applyBorder="1" applyAlignment="1">
      <alignment horizontal="right" vertical="top"/>
    </xf>
    <xf numFmtId="0" fontId="32" fillId="2" borderId="2" xfId="0" applyFont="1" applyFill="1" applyBorder="1" applyAlignment="1">
      <alignment horizontal="right" vertical="top"/>
    </xf>
    <xf numFmtId="192" fontId="35" fillId="0" borderId="2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191" fontId="36" fillId="0" borderId="2" xfId="0" applyNumberFormat="1" applyFont="1" applyFill="1" applyBorder="1" applyAlignment="1">
      <alignment horizontal="center"/>
    </xf>
    <xf numFmtId="192" fontId="36" fillId="0" borderId="2" xfId="0" applyNumberFormat="1" applyFont="1" applyFill="1" applyBorder="1" applyAlignment="1">
      <alignment horizontal="center"/>
    </xf>
    <xf numFmtId="192" fontId="37" fillId="0" borderId="2" xfId="0" applyNumberFormat="1" applyFont="1" applyFill="1" applyBorder="1" applyAlignment="1">
      <alignment horizontal="center"/>
    </xf>
    <xf numFmtId="192" fontId="7" fillId="4" borderId="0" xfId="0" applyNumberFormat="1" applyFont="1" applyFill="1" applyBorder="1" applyAlignment="1"/>
    <xf numFmtId="192" fontId="6" fillId="4" borderId="7" xfId="0" applyNumberFormat="1" applyFont="1" applyFill="1" applyBorder="1" applyAlignment="1">
      <alignment horizontal="center" vertical="center"/>
    </xf>
    <xf numFmtId="192" fontId="6" fillId="4" borderId="2" xfId="0" applyNumberFormat="1" applyFont="1" applyFill="1" applyBorder="1" applyAlignment="1">
      <alignment horizontal="center"/>
    </xf>
    <xf numFmtId="192" fontId="32" fillId="4" borderId="2" xfId="0" applyNumberFormat="1" applyFont="1" applyFill="1" applyBorder="1" applyAlignment="1">
      <alignment horizontal="right" vertical="top"/>
    </xf>
    <xf numFmtId="192" fontId="35" fillId="4" borderId="2" xfId="0" applyNumberFormat="1" applyFont="1" applyFill="1" applyBorder="1" applyAlignment="1">
      <alignment horizontal="center"/>
    </xf>
    <xf numFmtId="0" fontId="32" fillId="4" borderId="2" xfId="0" applyFont="1" applyFill="1" applyBorder="1" applyAlignment="1">
      <alignment horizontal="right" vertical="top"/>
    </xf>
    <xf numFmtId="192" fontId="7" fillId="5" borderId="0" xfId="0" applyNumberFormat="1" applyFont="1" applyFill="1" applyBorder="1" applyAlignment="1"/>
    <xf numFmtId="192" fontId="33" fillId="5" borderId="7" xfId="0" applyNumberFormat="1" applyFont="1" applyFill="1" applyBorder="1" applyAlignment="1">
      <alignment horizontal="center" vertical="center"/>
    </xf>
    <xf numFmtId="192" fontId="33" fillId="7" borderId="2" xfId="0" applyNumberFormat="1" applyFont="1" applyFill="1" applyBorder="1" applyAlignment="1">
      <alignment horizontal="center"/>
    </xf>
    <xf numFmtId="0" fontId="13" fillId="2" borderId="33" xfId="0" applyFont="1" applyFill="1" applyBorder="1" applyAlignment="1">
      <alignment horizontal="left" vertical="center" wrapText="1"/>
    </xf>
    <xf numFmtId="194" fontId="7" fillId="2" borderId="0" xfId="0" applyNumberFormat="1" applyFont="1" applyFill="1" applyBorder="1" applyAlignment="1"/>
    <xf numFmtId="0" fontId="32" fillId="2" borderId="2" xfId="0" applyFont="1" applyFill="1" applyBorder="1" applyAlignment="1">
      <alignment horizontal="center" vertical="top"/>
    </xf>
    <xf numFmtId="0" fontId="7" fillId="2" borderId="6" xfId="0" applyNumberFormat="1" applyFont="1" applyFill="1" applyBorder="1" applyAlignment="1">
      <alignment horizontal="center" vertical="center" wrapText="1"/>
    </xf>
    <xf numFmtId="197" fontId="7" fillId="2" borderId="0" xfId="0" applyNumberFormat="1" applyFont="1" applyFill="1" applyBorder="1" applyAlignment="1"/>
    <xf numFmtId="1" fontId="7" fillId="0" borderId="7" xfId="0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/>
    </xf>
    <xf numFmtId="1" fontId="7" fillId="2" borderId="24" xfId="0" applyNumberFormat="1" applyFont="1" applyFill="1" applyBorder="1" applyAlignment="1">
      <alignment horizontal="center" vertical="center"/>
    </xf>
    <xf numFmtId="192" fontId="32" fillId="2" borderId="17" xfId="0" applyNumberFormat="1" applyFont="1" applyFill="1" applyBorder="1" applyAlignment="1">
      <alignment horizontal="right" vertical="top"/>
    </xf>
    <xf numFmtId="192" fontId="7" fillId="0" borderId="7" xfId="0" applyNumberFormat="1" applyFont="1" applyFill="1" applyBorder="1" applyAlignment="1">
      <alignment horizontal="left" vertical="center"/>
    </xf>
    <xf numFmtId="192" fontId="13" fillId="0" borderId="2" xfId="0" applyNumberFormat="1" applyFont="1" applyFill="1" applyBorder="1" applyAlignment="1">
      <alignment horizontal="center"/>
    </xf>
    <xf numFmtId="0" fontId="7" fillId="0" borderId="33" xfId="0" applyFont="1" applyFill="1" applyBorder="1" applyAlignment="1">
      <alignment horizontal="left" vertical="center" wrapText="1"/>
    </xf>
    <xf numFmtId="192" fontId="7" fillId="0" borderId="2" xfId="0" applyNumberFormat="1" applyFont="1" applyFill="1" applyBorder="1" applyAlignment="1">
      <alignment horizontal="left" vertical="center"/>
    </xf>
    <xf numFmtId="0" fontId="7" fillId="0" borderId="32" xfId="0" applyFont="1" applyFill="1" applyBorder="1" applyAlignment="1">
      <alignment horizontal="left" vertical="center"/>
    </xf>
    <xf numFmtId="192" fontId="7" fillId="0" borderId="34" xfId="0" applyNumberFormat="1" applyFont="1" applyFill="1" applyBorder="1" applyAlignment="1">
      <alignment horizontal="left" vertical="center"/>
    </xf>
    <xf numFmtId="192" fontId="7" fillId="0" borderId="35" xfId="0" applyNumberFormat="1" applyFont="1" applyFill="1" applyBorder="1" applyAlignment="1">
      <alignment horizontal="left" vertical="center"/>
    </xf>
    <xf numFmtId="192" fontId="13" fillId="8" borderId="2" xfId="0" applyNumberFormat="1" applyFont="1" applyFill="1" applyBorder="1" applyAlignment="1">
      <alignment horizontal="center"/>
    </xf>
    <xf numFmtId="192" fontId="7" fillId="0" borderId="21" xfId="0" applyNumberFormat="1" applyFont="1" applyFill="1" applyBorder="1" applyAlignment="1">
      <alignment horizontal="left" vertical="center"/>
    </xf>
    <xf numFmtId="192" fontId="7" fillId="0" borderId="31" xfId="0" applyNumberFormat="1" applyFont="1" applyFill="1" applyBorder="1" applyAlignment="1">
      <alignment horizontal="left" vertical="center"/>
    </xf>
    <xf numFmtId="0" fontId="13" fillId="0" borderId="16" xfId="0" applyFont="1" applyFill="1" applyBorder="1" applyAlignment="1">
      <alignment horizontal="left" vertical="center" wrapText="1"/>
    </xf>
    <xf numFmtId="192" fontId="7" fillId="0" borderId="0" xfId="0" applyNumberFormat="1" applyFont="1" applyFill="1" applyBorder="1" applyAlignment="1">
      <alignment horizontal="left" vertical="center"/>
    </xf>
    <xf numFmtId="192" fontId="38" fillId="0" borderId="7" xfId="0" applyNumberFormat="1" applyFont="1" applyFill="1" applyBorder="1" applyAlignment="1">
      <alignment horizontal="left" vertical="center"/>
    </xf>
    <xf numFmtId="192" fontId="34" fillId="0" borderId="2" xfId="0" applyNumberFormat="1" applyFont="1" applyFill="1" applyBorder="1" applyAlignment="1">
      <alignment horizontal="center"/>
    </xf>
    <xf numFmtId="192" fontId="7" fillId="0" borderId="2" xfId="0" applyNumberFormat="1" applyFont="1" applyFill="1" applyBorder="1" applyAlignment="1">
      <alignment horizontal="center" vertical="center"/>
    </xf>
    <xf numFmtId="192" fontId="7" fillId="0" borderId="2" xfId="0" applyNumberFormat="1" applyFont="1" applyFill="1" applyBorder="1" applyAlignment="1">
      <alignment horizontal="left"/>
    </xf>
    <xf numFmtId="1" fontId="13" fillId="0" borderId="17" xfId="0" applyNumberFormat="1" applyFont="1" applyFill="1" applyBorder="1" applyAlignment="1">
      <alignment horizontal="center" vertical="center" wrapText="1"/>
    </xf>
    <xf numFmtId="192" fontId="13" fillId="9" borderId="2" xfId="0" applyNumberFormat="1" applyFont="1" applyFill="1" applyBorder="1" applyAlignment="1">
      <alignment horizontal="center"/>
    </xf>
    <xf numFmtId="192" fontId="7" fillId="0" borderId="27" xfId="0" applyNumberFormat="1" applyFont="1" applyFill="1" applyBorder="1" applyAlignment="1">
      <alignment horizontal="left" vertical="center"/>
    </xf>
    <xf numFmtId="192" fontId="7" fillId="0" borderId="23" xfId="0" applyNumberFormat="1" applyFont="1" applyFill="1" applyBorder="1" applyAlignment="1">
      <alignment horizontal="left" vertical="center"/>
    </xf>
    <xf numFmtId="176" fontId="7" fillId="0" borderId="36" xfId="0" applyNumberFormat="1" applyFont="1" applyFill="1" applyBorder="1" applyAlignment="1">
      <alignment vertical="center" wrapText="1"/>
    </xf>
    <xf numFmtId="176" fontId="7" fillId="0" borderId="35" xfId="0" applyNumberFormat="1" applyFont="1" applyFill="1" applyBorder="1" applyAlignment="1">
      <alignment vertical="center" wrapText="1"/>
    </xf>
    <xf numFmtId="176" fontId="13" fillId="9" borderId="2" xfId="0" applyNumberFormat="1" applyFont="1" applyFill="1" applyBorder="1" applyAlignment="1">
      <alignment horizontal="center" wrapText="1"/>
    </xf>
    <xf numFmtId="191" fontId="7" fillId="0" borderId="2" xfId="0" applyNumberFormat="1" applyFont="1" applyFill="1" applyBorder="1" applyAlignment="1">
      <alignment horizontal="left" vertical="center"/>
    </xf>
    <xf numFmtId="192" fontId="16" fillId="0" borderId="2" xfId="0" applyNumberFormat="1" applyFont="1" applyFill="1" applyBorder="1" applyAlignment="1">
      <alignment horizontal="left" vertical="center"/>
    </xf>
    <xf numFmtId="192" fontId="16" fillId="0" borderId="23" xfId="0" applyNumberFormat="1" applyFont="1" applyFill="1" applyBorder="1" applyAlignment="1">
      <alignment horizontal="left" vertical="center"/>
    </xf>
    <xf numFmtId="2" fontId="13" fillId="2" borderId="16" xfId="0" applyNumberFormat="1" applyFont="1" applyFill="1" applyBorder="1" applyAlignment="1">
      <alignment horizontal="left" vertical="center"/>
    </xf>
    <xf numFmtId="192" fontId="18" fillId="0" borderId="2" xfId="0" applyNumberFormat="1" applyFont="1" applyFill="1" applyBorder="1" applyAlignment="1">
      <alignment horizontal="center"/>
    </xf>
    <xf numFmtId="192" fontId="7" fillId="3" borderId="7" xfId="0" applyNumberFormat="1" applyFont="1" applyFill="1" applyBorder="1" applyAlignment="1">
      <alignment horizontal="left" vertical="center"/>
    </xf>
    <xf numFmtId="192" fontId="18" fillId="3" borderId="2" xfId="0" applyNumberFormat="1" applyFont="1" applyFill="1" applyBorder="1" applyAlignment="1">
      <alignment horizontal="center"/>
    </xf>
    <xf numFmtId="176" fontId="7" fillId="3" borderId="0" xfId="0" applyNumberFormat="1" applyFont="1" applyFill="1" applyAlignment="1">
      <alignment horizontal="left" vertical="center"/>
    </xf>
    <xf numFmtId="192" fontId="13" fillId="3" borderId="2" xfId="0" applyNumberFormat="1" applyFont="1" applyFill="1" applyBorder="1" applyAlignment="1">
      <alignment horizontal="center"/>
    </xf>
    <xf numFmtId="192" fontId="16" fillId="3" borderId="2" xfId="0" applyNumberFormat="1" applyFont="1" applyFill="1" applyBorder="1" applyAlignment="1">
      <alignment horizontal="left" vertical="center"/>
    </xf>
    <xf numFmtId="192" fontId="7" fillId="3" borderId="2" xfId="0" applyNumberFormat="1" applyFont="1" applyFill="1" applyBorder="1" applyAlignment="1">
      <alignment horizontal="left" vertical="center"/>
    </xf>
    <xf numFmtId="192" fontId="7" fillId="3" borderId="2" xfId="0" applyNumberFormat="1" applyFont="1" applyFill="1" applyBorder="1" applyAlignment="1">
      <alignment horizontal="center" vertical="center"/>
    </xf>
    <xf numFmtId="2" fontId="13" fillId="3" borderId="17" xfId="0" applyNumberFormat="1" applyFont="1" applyFill="1" applyBorder="1" applyAlignment="1">
      <alignment horizontal="center" vertical="center" wrapText="1"/>
    </xf>
    <xf numFmtId="192" fontId="13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2" fontId="13" fillId="2" borderId="16" xfId="0" applyNumberFormat="1" applyFont="1" applyFill="1" applyBorder="1" applyAlignment="1">
      <alignment horizontal="left" vertical="center" wrapText="1"/>
    </xf>
    <xf numFmtId="2" fontId="13" fillId="0" borderId="33" xfId="0" applyNumberFormat="1" applyFont="1" applyFill="1" applyBorder="1" applyAlignment="1">
      <alignment horizontal="left" vertical="center" wrapText="1"/>
    </xf>
    <xf numFmtId="192" fontId="18" fillId="8" borderId="2" xfId="0" applyNumberFormat="1" applyFont="1" applyFill="1" applyBorder="1" applyAlignment="1">
      <alignment horizontal="center"/>
    </xf>
    <xf numFmtId="192" fontId="16" fillId="0" borderId="2" xfId="0" applyNumberFormat="1" applyFont="1" applyFill="1" applyBorder="1" applyAlignment="1">
      <alignment horizontal="center" vertical="center"/>
    </xf>
    <xf numFmtId="192" fontId="13" fillId="0" borderId="17" xfId="0" applyNumberFormat="1" applyFont="1" applyFill="1" applyBorder="1" applyAlignment="1">
      <alignment horizontal="center"/>
    </xf>
    <xf numFmtId="192" fontId="16" fillId="0" borderId="17" xfId="0" applyNumberFormat="1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192" fontId="13" fillId="0" borderId="0" xfId="0" applyNumberFormat="1" applyFont="1" applyFill="1" applyBorder="1" applyAlignment="1">
      <alignment horizontal="center" vertical="center" wrapText="1"/>
    </xf>
    <xf numFmtId="198" fontId="13" fillId="0" borderId="2" xfId="0" applyNumberFormat="1" applyFont="1" applyFill="1" applyBorder="1" applyAlignment="1">
      <alignment horizontal="center" vertical="center" wrapText="1"/>
    </xf>
    <xf numFmtId="198" fontId="39" fillId="0" borderId="31" xfId="0" applyNumberFormat="1" applyFont="1" applyFill="1" applyBorder="1" applyAlignment="1">
      <alignment horizontal="center" vertical="center" wrapText="1"/>
    </xf>
    <xf numFmtId="192" fontId="14" fillId="0" borderId="2" xfId="0" applyNumberFormat="1" applyFont="1" applyFill="1" applyBorder="1" applyAlignment="1">
      <alignment horizontal="center"/>
    </xf>
    <xf numFmtId="192" fontId="14" fillId="0" borderId="2" xfId="0" applyNumberFormat="1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horizontal="center" vertical="center" wrapText="1"/>
    </xf>
    <xf numFmtId="192" fontId="14" fillId="0" borderId="2" xfId="0" applyNumberFormat="1" applyFont="1" applyFill="1" applyBorder="1" applyAlignment="1">
      <alignment horizontal="center" vertical="center" wrapText="1"/>
    </xf>
    <xf numFmtId="198" fontId="14" fillId="0" borderId="2" xfId="0" applyNumberFormat="1" applyFont="1" applyFill="1" applyBorder="1" applyAlignment="1">
      <alignment horizontal="center" vertical="center" wrapText="1"/>
    </xf>
    <xf numFmtId="192" fontId="40" fillId="8" borderId="0" xfId="0" applyNumberFormat="1" applyFont="1" applyFill="1" applyAlignment="1">
      <alignment horizontal="center"/>
    </xf>
    <xf numFmtId="192" fontId="30" fillId="8" borderId="0" xfId="0" applyNumberFormat="1" applyFont="1" applyFill="1" applyAlignment="1">
      <alignment horizontal="center"/>
    </xf>
    <xf numFmtId="0" fontId="30" fillId="2" borderId="0" xfId="0" applyFont="1" applyFill="1" applyBorder="1" applyAlignment="1">
      <alignment horizontal="center"/>
    </xf>
    <xf numFmtId="192" fontId="30" fillId="2" borderId="0" xfId="0" applyNumberFormat="1" applyFont="1" applyFill="1" applyBorder="1"/>
    <xf numFmtId="192" fontId="30" fillId="2" borderId="0" xfId="0" applyNumberFormat="1" applyFont="1" applyFill="1" applyBorder="1" applyAlignment="1">
      <alignment horizontal="center"/>
    </xf>
    <xf numFmtId="198" fontId="13" fillId="0" borderId="0" xfId="0" applyNumberFormat="1" applyFont="1" applyFill="1" applyBorder="1" applyAlignment="1">
      <alignment horizontal="center" vertical="center" wrapText="1"/>
    </xf>
    <xf numFmtId="176" fontId="30" fillId="2" borderId="0" xfId="0" applyNumberFormat="1" applyFont="1" applyFill="1" applyBorder="1" applyAlignment="1">
      <alignment horizontal="center"/>
    </xf>
    <xf numFmtId="192" fontId="30" fillId="2" borderId="0" xfId="0" applyNumberFormat="1" applyFont="1" applyFill="1"/>
    <xf numFmtId="0" fontId="41" fillId="0" borderId="0" xfId="0" applyFont="1" applyAlignment="1">
      <alignment wrapText="1"/>
    </xf>
    <xf numFmtId="0" fontId="42" fillId="0" borderId="0" xfId="0" applyFont="1" applyAlignment="1"/>
    <xf numFmtId="0" fontId="41" fillId="0" borderId="0" xfId="0" applyFont="1" applyAlignment="1">
      <alignment horizontal="center" vertical="top"/>
    </xf>
    <xf numFmtId="49" fontId="41" fillId="0" borderId="0" xfId="0" applyNumberFormat="1" applyFont="1" applyAlignment="1">
      <alignment horizontal="left" vertical="top"/>
    </xf>
    <xf numFmtId="0" fontId="41" fillId="0" borderId="0" xfId="0" applyFont="1" applyAlignment="1">
      <alignment horizontal="right" vertical="top"/>
    </xf>
    <xf numFmtId="0" fontId="0" fillId="0" borderId="0" xfId="0" applyAlignment="1"/>
    <xf numFmtId="0" fontId="41" fillId="0" borderId="0" xfId="0" applyFont="1" applyAlignment="1"/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4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43" fillId="0" borderId="0" xfId="0" applyFont="1" applyAlignment="1">
      <alignment horizontal="center" vertical="center"/>
    </xf>
    <xf numFmtId="199" fontId="41" fillId="0" borderId="0" xfId="0" applyNumberFormat="1" applyFont="1" applyAlignment="1"/>
    <xf numFmtId="0" fontId="44" fillId="0" borderId="0" xfId="0" applyFont="1" applyAlignment="1"/>
    <xf numFmtId="0" fontId="41" fillId="0" borderId="2" xfId="0" applyFont="1" applyBorder="1" applyAlignment="1">
      <alignment horizontal="center" vertical="center" wrapText="1"/>
    </xf>
    <xf numFmtId="49" fontId="41" fillId="0" borderId="2" xfId="0" applyNumberFormat="1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49" fontId="41" fillId="0" borderId="2" xfId="0" applyNumberFormat="1" applyFont="1" applyBorder="1" applyAlignment="1">
      <alignment horizontal="center" vertical="center"/>
    </xf>
    <xf numFmtId="0" fontId="45" fillId="0" borderId="31" xfId="0" applyFont="1" applyBorder="1" applyAlignment="1">
      <alignment vertical="center"/>
    </xf>
    <xf numFmtId="0" fontId="4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45" fillId="0" borderId="23" xfId="0" applyFont="1" applyBorder="1" applyAlignment="1">
      <alignment vertical="center"/>
    </xf>
    <xf numFmtId="176" fontId="41" fillId="0" borderId="2" xfId="1" applyFont="1" applyBorder="1" applyAlignment="1">
      <alignment horizontal="center" vertical="top"/>
    </xf>
    <xf numFmtId="176" fontId="41" fillId="0" borderId="2" xfId="1" applyFont="1" applyBorder="1" applyAlignment="1">
      <alignment horizontal="left" vertical="top"/>
    </xf>
    <xf numFmtId="176" fontId="41" fillId="0" borderId="2" xfId="1" applyFont="1" applyBorder="1" applyAlignment="1">
      <alignment horizontal="right" vertical="top"/>
    </xf>
    <xf numFmtId="186" fontId="46" fillId="0" borderId="2" xfId="0" applyNumberFormat="1" applyFont="1" applyBorder="1" applyAlignment="1">
      <alignment horizontal="center"/>
    </xf>
    <xf numFmtId="186" fontId="0" fillId="0" borderId="2" xfId="0" applyNumberFormat="1" applyBorder="1" applyAlignment="1"/>
    <xf numFmtId="186" fontId="47" fillId="0" borderId="2" xfId="1" applyNumberFormat="1" applyFont="1" applyBorder="1" applyAlignment="1">
      <alignment horizontal="center"/>
    </xf>
    <xf numFmtId="186" fontId="45" fillId="0" borderId="2" xfId="1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76" fontId="42" fillId="0" borderId="2" xfId="1" applyFont="1" applyBorder="1" applyAlignment="1">
      <alignment horizontal="right" vertical="top"/>
    </xf>
    <xf numFmtId="176" fontId="0" fillId="0" borderId="2" xfId="1" applyFont="1" applyBorder="1" applyAlignment="1">
      <alignment vertical="top"/>
    </xf>
    <xf numFmtId="186" fontId="41" fillId="0" borderId="2" xfId="1" applyNumberFormat="1" applyFont="1" applyBorder="1" applyAlignment="1">
      <alignment horizontal="right" vertical="top"/>
    </xf>
    <xf numFmtId="195" fontId="46" fillId="0" borderId="2" xfId="0" applyNumberFormat="1" applyFont="1" applyBorder="1" applyAlignment="1"/>
    <xf numFmtId="176" fontId="42" fillId="0" borderId="2" xfId="1" applyFont="1" applyBorder="1" applyAlignment="1">
      <alignment horizontal="left" vertical="top"/>
    </xf>
    <xf numFmtId="176" fontId="0" fillId="0" borderId="2" xfId="1" applyFont="1" applyBorder="1" applyAlignment="1">
      <alignment horizontal="left" vertical="top"/>
    </xf>
    <xf numFmtId="186" fontId="41" fillId="0" borderId="2" xfId="1" applyNumberFormat="1" applyFont="1" applyBorder="1" applyAlignment="1"/>
    <xf numFmtId="176" fontId="42" fillId="0" borderId="7" xfId="1" applyFont="1" applyBorder="1" applyAlignment="1">
      <alignment horizontal="left" vertical="top"/>
    </xf>
    <xf numFmtId="176" fontId="42" fillId="0" borderId="16" xfId="1" applyFont="1" applyBorder="1" applyAlignment="1">
      <alignment horizontal="left" vertical="top"/>
    </xf>
    <xf numFmtId="176" fontId="42" fillId="0" borderId="8" xfId="1" applyFont="1" applyBorder="1" applyAlignment="1">
      <alignment horizontal="left" vertical="top"/>
    </xf>
    <xf numFmtId="186" fontId="45" fillId="0" borderId="2" xfId="0" applyNumberFormat="1" applyFont="1" applyBorder="1" applyAlignment="1"/>
    <xf numFmtId="186" fontId="47" fillId="0" borderId="2" xfId="1" applyNumberFormat="1" applyFont="1" applyBorder="1" applyAlignment="1"/>
    <xf numFmtId="186" fontId="45" fillId="0" borderId="2" xfId="1" applyNumberFormat="1" applyFont="1" applyBorder="1" applyAlignment="1"/>
    <xf numFmtId="176" fontId="42" fillId="0" borderId="7" xfId="1" applyFont="1" applyBorder="1" applyAlignment="1">
      <alignment horizontal="right" vertical="top"/>
    </xf>
    <xf numFmtId="176" fontId="42" fillId="0" borderId="8" xfId="1" applyFont="1" applyBorder="1" applyAlignment="1">
      <alignment horizontal="right" vertical="top"/>
    </xf>
    <xf numFmtId="176" fontId="42" fillId="0" borderId="2" xfId="1" applyFont="1" applyBorder="1" applyAlignment="1">
      <alignment horizontal="center" vertical="top"/>
    </xf>
    <xf numFmtId="176" fontId="42" fillId="0" borderId="2" xfId="1" applyFont="1" applyBorder="1" applyAlignment="1">
      <alignment vertical="top"/>
    </xf>
    <xf numFmtId="186" fontId="42" fillId="0" borderId="2" xfId="1" applyNumberFormat="1" applyFont="1" applyBorder="1" applyAlignment="1">
      <alignment horizontal="right" vertical="top"/>
    </xf>
    <xf numFmtId="186" fontId="48" fillId="0" borderId="2" xfId="1" applyNumberFormat="1" applyFont="1" applyBorder="1" applyAlignment="1">
      <alignment horizontal="right" vertical="top"/>
    </xf>
    <xf numFmtId="186" fontId="41" fillId="0" borderId="17" xfId="1" applyNumberFormat="1" applyFont="1" applyBorder="1" applyAlignment="1">
      <alignment horizontal="right" vertical="top"/>
    </xf>
    <xf numFmtId="176" fontId="41" fillId="0" borderId="0" xfId="1" applyFont="1" applyAlignment="1">
      <alignment horizontal="right" vertical="top"/>
    </xf>
    <xf numFmtId="186" fontId="0" fillId="0" borderId="0" xfId="0" applyNumberFormat="1" applyAlignment="1"/>
    <xf numFmtId="186" fontId="41" fillId="0" borderId="15" xfId="1" applyNumberFormat="1" applyFont="1" applyBorder="1" applyAlignment="1">
      <alignment horizontal="right" vertical="top"/>
    </xf>
    <xf numFmtId="0" fontId="2" fillId="0" borderId="0" xfId="0" applyFont="1" applyFill="1"/>
    <xf numFmtId="200" fontId="2" fillId="0" borderId="0" xfId="0" applyNumberFormat="1" applyFont="1"/>
    <xf numFmtId="0" fontId="12" fillId="0" borderId="0" xfId="0" applyFont="1" applyAlignment="1">
      <alignment horizontal="center"/>
    </xf>
    <xf numFmtId="49" fontId="13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2" fillId="0" borderId="0" xfId="0" applyNumberFormat="1" applyFont="1" applyAlignment="1">
      <alignment horizontal="center" wrapText="1"/>
    </xf>
    <xf numFmtId="200" fontId="1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19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20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80" fontId="7" fillId="0" borderId="2" xfId="56" applyNumberFormat="1" applyFont="1" applyFill="1" applyBorder="1" applyAlignment="1">
      <alignment horizontal="left" vertical="center" wrapText="1"/>
    </xf>
    <xf numFmtId="176" fontId="7" fillId="0" borderId="2" xfId="0" applyNumberFormat="1" applyFont="1" applyFill="1" applyBorder="1"/>
    <xf numFmtId="187" fontId="7" fillId="0" borderId="2" xfId="0" applyNumberFormat="1" applyFont="1" applyBorder="1" applyAlignment="1">
      <alignment horizontal="center"/>
    </xf>
    <xf numFmtId="201" fontId="7" fillId="0" borderId="2" xfId="0" applyNumberFormat="1" applyFont="1" applyBorder="1"/>
    <xf numFmtId="201" fontId="7" fillId="0" borderId="2" xfId="0" applyNumberFormat="1" applyFont="1" applyFill="1" applyBorder="1"/>
    <xf numFmtId="176" fontId="2" fillId="0" borderId="0" xfId="0" applyNumberFormat="1" applyFont="1" applyAlignment="1">
      <alignment vertical="center"/>
    </xf>
    <xf numFmtId="180" fontId="7" fillId="0" borderId="2" xfId="55" applyNumberFormat="1" applyFont="1" applyFill="1" applyBorder="1" applyAlignment="1">
      <alignment horizontal="left" vertical="center" wrapText="1"/>
    </xf>
    <xf numFmtId="202" fontId="2" fillId="0" borderId="0" xfId="0" applyNumberFormat="1" applyFont="1" applyAlignment="1">
      <alignment vertical="center"/>
    </xf>
    <xf numFmtId="0" fontId="7" fillId="0" borderId="2" xfId="0" applyFont="1" applyBorder="1"/>
    <xf numFmtId="186" fontId="2" fillId="0" borderId="0" xfId="0" applyNumberFormat="1" applyFont="1" applyBorder="1" applyAlignment="1">
      <alignment vertical="center"/>
    </xf>
    <xf numFmtId="0" fontId="16" fillId="0" borderId="2" xfId="0" applyFont="1" applyBorder="1" applyAlignment="1">
      <alignment horizontal="right"/>
    </xf>
    <xf numFmtId="176" fontId="16" fillId="0" borderId="2" xfId="0" applyNumberFormat="1" applyFont="1" applyFill="1" applyBorder="1" applyAlignment="1">
      <alignment horizontal="right"/>
    </xf>
    <xf numFmtId="200" fontId="49" fillId="0" borderId="2" xfId="0" applyNumberFormat="1" applyFont="1" applyBorder="1" applyAlignment="1">
      <alignment horizontal="right"/>
    </xf>
    <xf numFmtId="201" fontId="16" fillId="0" borderId="2" xfId="0" applyNumberFormat="1" applyFont="1" applyFill="1" applyBorder="1" applyAlignment="1">
      <alignment horizontal="right"/>
    </xf>
    <xf numFmtId="200" fontId="16" fillId="0" borderId="2" xfId="0" applyNumberFormat="1" applyFont="1" applyBorder="1" applyAlignment="1">
      <alignment horizontal="right"/>
    </xf>
    <xf numFmtId="0" fontId="12" fillId="0" borderId="2" xfId="0" applyFont="1" applyBorder="1"/>
    <xf numFmtId="201" fontId="12" fillId="0" borderId="2" xfId="0" applyNumberFormat="1" applyFont="1" applyFill="1" applyBorder="1"/>
    <xf numFmtId="201" fontId="12" fillId="0" borderId="2" xfId="0" applyNumberFormat="1" applyFont="1" applyBorder="1"/>
    <xf numFmtId="0" fontId="50" fillId="0" borderId="0" xfId="0" applyFont="1" applyBorder="1" applyAlignment="1">
      <alignment horizontal="left" vertical="center" wrapText="1"/>
    </xf>
    <xf numFmtId="203" fontId="23" fillId="0" borderId="0" xfId="1" applyNumberFormat="1" applyFont="1" applyFill="1"/>
    <xf numFmtId="200" fontId="23" fillId="0" borderId="0" xfId="1" applyNumberFormat="1" applyFont="1" applyFill="1" applyBorder="1" applyAlignment="1">
      <alignment horizontal="center" vertical="center"/>
    </xf>
    <xf numFmtId="204" fontId="23" fillId="0" borderId="0" xfId="1" applyNumberFormat="1" applyFont="1"/>
    <xf numFmtId="176" fontId="51" fillId="0" borderId="0" xfId="1" applyFont="1" applyFill="1" applyBorder="1" applyAlignment="1">
      <alignment horizontal="center" vertical="center"/>
    </xf>
    <xf numFmtId="204" fontId="51" fillId="0" borderId="0" xfId="1" applyNumberFormat="1" applyFont="1" applyBorder="1"/>
    <xf numFmtId="205" fontId="52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206" fontId="23" fillId="0" borderId="0" xfId="0" applyNumberFormat="1" applyFont="1" applyFill="1" applyAlignment="1">
      <alignment vertical="center"/>
    </xf>
    <xf numFmtId="206" fontId="34" fillId="0" borderId="0" xfId="0" applyNumberFormat="1" applyFont="1" applyFill="1" applyAlignment="1">
      <alignment vertical="center"/>
    </xf>
    <xf numFmtId="206" fontId="7" fillId="0" borderId="0" xfId="0" applyNumberFormat="1" applyFont="1" applyFill="1" applyAlignment="1">
      <alignment vertical="center"/>
    </xf>
    <xf numFmtId="200" fontId="2" fillId="0" borderId="0" xfId="0" applyNumberFormat="1" applyFont="1" applyAlignment="1">
      <alignment vertical="center"/>
    </xf>
    <xf numFmtId="176" fontId="52" fillId="0" borderId="0" xfId="1" applyFont="1"/>
    <xf numFmtId="0" fontId="2" fillId="0" borderId="0" xfId="53" applyFont="1" applyAlignment="1">
      <alignment vertical="center"/>
    </xf>
    <xf numFmtId="201" fontId="2" fillId="0" borderId="0" xfId="53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54" applyFont="1" applyBorder="1" applyAlignment="1">
      <alignment vertical="top" wrapText="1"/>
    </xf>
    <xf numFmtId="0" fontId="22" fillId="0" borderId="0" xfId="0" applyFont="1" applyAlignment="1">
      <alignment vertical="center"/>
    </xf>
    <xf numFmtId="187" fontId="26" fillId="0" borderId="0" xfId="51" applyNumberFormat="1" applyFont="1" applyAlignment="1">
      <alignment vertical="center"/>
    </xf>
    <xf numFmtId="0" fontId="1" fillId="0" borderId="0" xfId="53" applyFont="1" applyBorder="1"/>
    <xf numFmtId="0" fontId="22" fillId="0" borderId="2" xfId="0" applyFont="1" applyBorder="1" applyAlignment="1">
      <alignment vertical="center"/>
    </xf>
    <xf numFmtId="200" fontId="53" fillId="0" borderId="0" xfId="0" applyNumberFormat="1" applyFont="1" applyAlignment="1">
      <alignment vertical="center"/>
    </xf>
    <xf numFmtId="207" fontId="22" fillId="0" borderId="2" xfId="0" applyNumberFormat="1" applyFont="1" applyBorder="1" applyAlignment="1">
      <alignment vertical="center"/>
    </xf>
    <xf numFmtId="0" fontId="7" fillId="0" borderId="0" xfId="54" applyFont="1" applyBorder="1" applyAlignment="1">
      <alignment horizontal="left" vertical="center" wrapText="1"/>
    </xf>
    <xf numFmtId="0" fontId="7" fillId="0" borderId="0" xfId="51" applyFont="1" applyBorder="1"/>
    <xf numFmtId="200" fontId="23" fillId="0" borderId="0" xfId="0" applyNumberFormat="1" applyFont="1" applyAlignment="1">
      <alignment vertical="center"/>
    </xf>
    <xf numFmtId="187" fontId="12" fillId="0" borderId="0" xfId="0" applyNumberFormat="1" applyFont="1" applyFill="1" applyBorder="1" applyAlignment="1">
      <alignment horizontal="center" vertical="center"/>
    </xf>
    <xf numFmtId="0" fontId="13" fillId="0" borderId="0" xfId="54" applyFont="1" applyBorder="1" applyAlignment="1">
      <alignment horizontal="left" vertical="top" wrapText="1"/>
    </xf>
    <xf numFmtId="0" fontId="24" fillId="0" borderId="0" xfId="51" applyFont="1" applyAlignment="1">
      <alignment vertical="top"/>
    </xf>
    <xf numFmtId="0" fontId="25" fillId="0" borderId="0" xfId="51" applyFont="1" applyAlignment="1">
      <alignment vertical="top"/>
    </xf>
    <xf numFmtId="0" fontId="2" fillId="0" borderId="0" xfId="51" applyFont="1" applyFill="1" applyBorder="1" applyAlignment="1">
      <alignment vertical="center"/>
    </xf>
    <xf numFmtId="0" fontId="7" fillId="0" borderId="0" xfId="54" applyFont="1" applyBorder="1" applyAlignment="1">
      <alignment horizontal="right" vertical="center" wrapText="1"/>
    </xf>
    <xf numFmtId="0" fontId="2" fillId="0" borderId="0" xfId="51" applyFont="1" applyAlignment="1">
      <alignment vertical="center" wrapText="1"/>
    </xf>
    <xf numFmtId="0" fontId="25" fillId="0" borderId="0" xfId="51" applyFont="1" applyAlignment="1">
      <alignment horizontal="right" vertical="top"/>
    </xf>
    <xf numFmtId="0" fontId="2" fillId="0" borderId="0" xfId="51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51" applyFont="1" applyAlignment="1">
      <alignment horizontal="center" vertical="center" wrapText="1"/>
    </xf>
    <xf numFmtId="0" fontId="54" fillId="0" borderId="0" xfId="0" applyFont="1" applyAlignment="1">
      <alignment vertical="center"/>
    </xf>
    <xf numFmtId="208" fontId="2" fillId="0" borderId="0" xfId="0" applyNumberFormat="1" applyFont="1" applyFill="1" applyAlignment="1">
      <alignment vertical="center"/>
    </xf>
    <xf numFmtId="0" fontId="2" fillId="0" borderId="2" xfId="0" applyFont="1" applyBorder="1" applyAlignment="1">
      <alignment vertical="center" wrapText="1"/>
    </xf>
    <xf numFmtId="208" fontId="2" fillId="0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91" fontId="7" fillId="0" borderId="2" xfId="0" applyNumberFormat="1" applyFont="1" applyFill="1" applyBorder="1" applyAlignment="1">
      <alignment horizontal="center" vertical="center"/>
    </xf>
    <xf numFmtId="191" fontId="7" fillId="0" borderId="2" xfId="0" applyNumberFormat="1" applyFont="1" applyBorder="1" applyAlignment="1">
      <alignment horizontal="center" vertical="center"/>
    </xf>
    <xf numFmtId="209" fontId="2" fillId="0" borderId="0" xfId="0" applyNumberFormat="1" applyFont="1" applyBorder="1" applyAlignment="1">
      <alignment vertical="center"/>
    </xf>
    <xf numFmtId="187" fontId="13" fillId="0" borderId="0" xfId="0" applyNumberFormat="1" applyFont="1" applyAlignment="1">
      <alignment horizontal="center" vertical="center"/>
    </xf>
    <xf numFmtId="187" fontId="2" fillId="0" borderId="0" xfId="0" applyNumberFormat="1" applyFont="1" applyAlignment="1">
      <alignment vertical="center"/>
    </xf>
    <xf numFmtId="0" fontId="22" fillId="0" borderId="0" xfId="0" applyFont="1" applyFill="1" applyAlignment="1">
      <alignment vertical="center"/>
    </xf>
    <xf numFmtId="200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87" fontId="12" fillId="0" borderId="0" xfId="51" applyNumberFormat="1" applyFont="1" applyAlignment="1">
      <alignment horizontal="center"/>
    </xf>
    <xf numFmtId="187" fontId="2" fillId="0" borderId="0" xfId="51" applyNumberFormat="1" applyFont="1" applyAlignment="1">
      <alignment horizontal="center"/>
    </xf>
    <xf numFmtId="49" fontId="2" fillId="0" borderId="0" xfId="51" applyNumberFormat="1" applyFont="1" applyAlignment="1">
      <alignment horizontal="center"/>
    </xf>
    <xf numFmtId="0" fontId="22" fillId="0" borderId="0" xfId="0" applyFont="1" applyAlignment="1">
      <alignment horizontal="left"/>
    </xf>
    <xf numFmtId="187" fontId="2" fillId="0" borderId="0" xfId="0" applyNumberFormat="1" applyFont="1" applyFill="1" applyAlignment="1">
      <alignment horizontal="left"/>
    </xf>
    <xf numFmtId="200" fontId="34" fillId="0" borderId="0" xfId="0" applyNumberFormat="1" applyFont="1" applyAlignment="1">
      <alignment horizontal="left"/>
    </xf>
    <xf numFmtId="187" fontId="7" fillId="0" borderId="0" xfId="51" applyNumberFormat="1" applyFont="1" applyAlignment="1">
      <alignment horizontal="right"/>
    </xf>
    <xf numFmtId="187" fontId="7" fillId="0" borderId="0" xfId="51" applyNumberFormat="1" applyFont="1" applyAlignment="1">
      <alignment horizontal="center"/>
    </xf>
    <xf numFmtId="196" fontId="34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187" fontId="7" fillId="0" borderId="0" xfId="51" applyNumberFormat="1" applyFont="1" applyFill="1" applyAlignment="1">
      <alignment horizontal="left"/>
    </xf>
    <xf numFmtId="187" fontId="7" fillId="0" borderId="0" xfId="0" applyNumberFormat="1" applyFont="1" applyAlignment="1">
      <alignment horizontal="left"/>
    </xf>
    <xf numFmtId="187" fontId="2" fillId="0" borderId="0" xfId="51" applyNumberFormat="1" applyFont="1" applyAlignment="1">
      <alignment horizontal="right"/>
    </xf>
    <xf numFmtId="187" fontId="2" fillId="0" borderId="0" xfId="51" applyNumberFormat="1" applyFont="1" applyFill="1" applyAlignment="1">
      <alignment horizontal="right"/>
    </xf>
    <xf numFmtId="200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187" fontId="13" fillId="0" borderId="0" xfId="0" applyNumberFormat="1" applyFont="1" applyFill="1" applyAlignment="1">
      <alignment horizontal="left"/>
    </xf>
    <xf numFmtId="192" fontId="2" fillId="0" borderId="0" xfId="0" applyNumberFormat="1" applyFont="1" applyAlignment="1">
      <alignment vertical="center"/>
    </xf>
    <xf numFmtId="196" fontId="2" fillId="0" borderId="0" xfId="0" applyNumberFormat="1" applyFont="1" applyAlignment="1">
      <alignment vertical="center"/>
    </xf>
    <xf numFmtId="0" fontId="19" fillId="0" borderId="0" xfId="51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192" fontId="13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87" fontId="12" fillId="0" borderId="0" xfId="51" applyNumberFormat="1" applyFont="1" applyFill="1" applyAlignment="1">
      <alignment horizontal="center" vertical="center"/>
    </xf>
    <xf numFmtId="187" fontId="7" fillId="0" borderId="0" xfId="51" applyNumberFormat="1" applyFont="1" applyFill="1" applyAlignment="1">
      <alignment horizontal="center" vertical="center"/>
    </xf>
    <xf numFmtId="0" fontId="7" fillId="0" borderId="0" xfId="51" applyFont="1" applyFill="1" applyAlignment="1">
      <alignment horizontal="center" vertical="center"/>
    </xf>
    <xf numFmtId="191" fontId="13" fillId="0" borderId="0" xfId="0" applyNumberFormat="1" applyFont="1" applyAlignment="1">
      <alignment horizontal="center" vertical="center"/>
    </xf>
    <xf numFmtId="2" fontId="2" fillId="0" borderId="0" xfId="0" applyNumberFormat="1" applyFont="1"/>
    <xf numFmtId="49" fontId="7" fillId="0" borderId="0" xfId="0" applyNumberFormat="1" applyFont="1" applyFill="1" applyBorder="1" applyAlignment="1">
      <alignment horizontal="right" wrapText="1"/>
    </xf>
    <xf numFmtId="0" fontId="7" fillId="0" borderId="1" xfId="0" applyFont="1" applyBorder="1"/>
    <xf numFmtId="49" fontId="7" fillId="0" borderId="0" xfId="0" applyNumberFormat="1" applyFont="1" applyFill="1" applyBorder="1" applyAlignment="1">
      <alignment wrapText="1"/>
    </xf>
    <xf numFmtId="0" fontId="2" fillId="0" borderId="1" xfId="0" applyFont="1" applyBorder="1"/>
    <xf numFmtId="0" fontId="55" fillId="2" borderId="0" xfId="56" applyFont="1" applyFill="1" applyAlignment="1">
      <alignment horizontal="center" vertical="center" wrapText="1"/>
    </xf>
    <xf numFmtId="0" fontId="56" fillId="2" borderId="0" xfId="56" applyFont="1" applyFill="1" applyAlignment="1">
      <alignment horizontal="center" vertical="center" wrapText="1"/>
    </xf>
    <xf numFmtId="0" fontId="57" fillId="2" borderId="0" xfId="56" applyFont="1" applyFill="1" applyAlignment="1">
      <alignment horizontal="left" vertical="center" wrapText="1"/>
    </xf>
    <xf numFmtId="0" fontId="57" fillId="2" borderId="0" xfId="56" applyFont="1" applyFill="1" applyAlignment="1">
      <alignment horizontal="center" vertical="center" wrapText="1"/>
    </xf>
    <xf numFmtId="0" fontId="7" fillId="2" borderId="0" xfId="56" applyFont="1" applyFill="1" applyAlignment="1">
      <alignment horizontal="right" vertical="center" wrapText="1"/>
    </xf>
    <xf numFmtId="0" fontId="55" fillId="2" borderId="0" xfId="56" applyFont="1" applyFill="1" applyAlignment="1">
      <alignment horizontal="left" vertical="center" wrapText="1"/>
    </xf>
    <xf numFmtId="180" fontId="57" fillId="2" borderId="0" xfId="56" applyNumberFormat="1" applyFont="1" applyFill="1" applyAlignment="1">
      <alignment horizontal="center" vertical="center" wrapText="1"/>
    </xf>
    <xf numFmtId="180" fontId="55" fillId="2" borderId="0" xfId="56" applyNumberFormat="1" applyFont="1" applyFill="1" applyAlignment="1">
      <alignment horizontal="center" vertical="center"/>
    </xf>
    <xf numFmtId="180" fontId="57" fillId="2" borderId="2" xfId="56" applyNumberFormat="1" applyFont="1" applyFill="1" applyBorder="1" applyAlignment="1">
      <alignment horizontal="center" vertical="center" wrapText="1"/>
    </xf>
    <xf numFmtId="180" fontId="57" fillId="2" borderId="7" xfId="56" applyNumberFormat="1" applyFont="1" applyFill="1" applyBorder="1" applyAlignment="1">
      <alignment horizontal="center" vertical="center" wrapText="1"/>
    </xf>
    <xf numFmtId="180" fontId="57" fillId="2" borderId="16" xfId="56" applyNumberFormat="1" applyFont="1" applyFill="1" applyBorder="1" applyAlignment="1">
      <alignment horizontal="center" vertical="center" wrapText="1"/>
    </xf>
    <xf numFmtId="180" fontId="57" fillId="2" borderId="8" xfId="56" applyNumberFormat="1" applyFont="1" applyFill="1" applyBorder="1" applyAlignment="1">
      <alignment horizontal="center" vertical="center" wrapText="1"/>
    </xf>
    <xf numFmtId="0" fontId="57" fillId="2" borderId="2" xfId="56" applyFont="1" applyFill="1" applyBorder="1" applyAlignment="1">
      <alignment horizontal="center" vertical="center" wrapText="1"/>
    </xf>
    <xf numFmtId="1" fontId="57" fillId="2" borderId="2" xfId="56" applyNumberFormat="1" applyFont="1" applyFill="1" applyBorder="1" applyAlignment="1">
      <alignment horizontal="center" vertical="center" wrapText="1"/>
    </xf>
    <xf numFmtId="183" fontId="57" fillId="2" borderId="0" xfId="56" applyNumberFormat="1" applyFont="1" applyFill="1" applyAlignment="1">
      <alignment horizontal="center" vertical="center" wrapText="1"/>
    </xf>
    <xf numFmtId="180" fontId="55" fillId="10" borderId="2" xfId="56" applyNumberFormat="1" applyFont="1" applyFill="1" applyBorder="1" applyAlignment="1">
      <alignment horizontal="left" vertical="center" wrapText="1"/>
    </xf>
    <xf numFmtId="183" fontId="55" fillId="10" borderId="2" xfId="56" applyNumberFormat="1" applyFont="1" applyFill="1" applyBorder="1" applyAlignment="1">
      <alignment horizontal="center" vertical="center" wrapText="1"/>
    </xf>
    <xf numFmtId="183" fontId="58" fillId="2" borderId="0" xfId="56" applyNumberFormat="1" applyFont="1" applyFill="1" applyAlignment="1">
      <alignment horizontal="center" vertical="center" wrapText="1"/>
    </xf>
    <xf numFmtId="180" fontId="59" fillId="2" borderId="2" xfId="56" applyNumberFormat="1" applyFont="1" applyFill="1" applyBorder="1" applyAlignment="1">
      <alignment horizontal="left" vertical="center" wrapText="1"/>
    </xf>
    <xf numFmtId="183" fontId="59" fillId="2" borderId="2" xfId="56" applyNumberFormat="1" applyFont="1" applyFill="1" applyBorder="1" applyAlignment="1">
      <alignment horizontal="center" vertical="center" wrapText="1"/>
    </xf>
    <xf numFmtId="180" fontId="57" fillId="2" borderId="2" xfId="56" applyNumberFormat="1" applyFont="1" applyFill="1" applyBorder="1" applyAlignment="1">
      <alignment horizontal="left" vertical="center" wrapText="1"/>
    </xf>
    <xf numFmtId="183" fontId="57" fillId="2" borderId="2" xfId="56" applyNumberFormat="1" applyFont="1" applyFill="1" applyBorder="1" applyAlignment="1">
      <alignment horizontal="center" vertical="center" wrapText="1"/>
    </xf>
    <xf numFmtId="183" fontId="57" fillId="11" borderId="2" xfId="56" applyNumberFormat="1" applyFont="1" applyFill="1" applyBorder="1" applyAlignment="1">
      <alignment horizontal="center" vertical="center" wrapText="1"/>
    </xf>
    <xf numFmtId="183" fontId="55" fillId="2" borderId="0" xfId="56" applyNumberFormat="1" applyFont="1" applyFill="1" applyAlignment="1">
      <alignment horizontal="center" vertical="center" wrapText="1"/>
    </xf>
    <xf numFmtId="183" fontId="60" fillId="2" borderId="2" xfId="56" applyNumberFormat="1" applyFont="1" applyFill="1" applyBorder="1" applyAlignment="1">
      <alignment horizontal="center" vertical="center" wrapText="1"/>
    </xf>
    <xf numFmtId="202" fontId="55" fillId="2" borderId="0" xfId="56" applyNumberFormat="1" applyFont="1" applyFill="1" applyAlignment="1">
      <alignment horizontal="center" vertical="center" wrapText="1"/>
    </xf>
    <xf numFmtId="2" fontId="55" fillId="2" borderId="0" xfId="56" applyNumberFormat="1" applyFont="1" applyFill="1" applyAlignment="1">
      <alignment horizontal="center" vertical="center" wrapText="1"/>
    </xf>
    <xf numFmtId="180" fontId="56" fillId="2" borderId="2" xfId="56" applyNumberFormat="1" applyFont="1" applyFill="1" applyBorder="1" applyAlignment="1">
      <alignment horizontal="left" vertical="center" wrapText="1"/>
    </xf>
    <xf numFmtId="183" fontId="56" fillId="2" borderId="2" xfId="56" applyNumberFormat="1" applyFont="1" applyFill="1" applyBorder="1" applyAlignment="1">
      <alignment horizontal="center" vertical="center" wrapText="1"/>
    </xf>
    <xf numFmtId="0" fontId="55" fillId="2" borderId="2" xfId="56" applyFont="1" applyFill="1" applyBorder="1" applyAlignment="1">
      <alignment horizontal="center" vertical="center" wrapText="1"/>
    </xf>
    <xf numFmtId="183" fontId="57" fillId="2" borderId="0" xfId="56" applyNumberFormat="1" applyFont="1" applyFill="1" applyBorder="1" applyAlignment="1">
      <alignment horizontal="center" vertical="center" wrapText="1"/>
    </xf>
    <xf numFmtId="183" fontId="61" fillId="2" borderId="2" xfId="56" applyNumberFormat="1" applyFont="1" applyFill="1" applyBorder="1" applyAlignment="1">
      <alignment horizontal="center" vertical="center" wrapText="1"/>
    </xf>
    <xf numFmtId="183" fontId="7" fillId="2" borderId="17" xfId="56" applyNumberFormat="1" applyFont="1" applyFill="1" applyBorder="1" applyAlignment="1">
      <alignment horizontal="center" vertical="center" wrapText="1"/>
    </xf>
    <xf numFmtId="183" fontId="7" fillId="2" borderId="31" xfId="56" applyNumberFormat="1" applyFont="1" applyFill="1" applyBorder="1" applyAlignment="1">
      <alignment horizontal="center" vertical="center" wrapText="1"/>
    </xf>
    <xf numFmtId="186" fontId="55" fillId="2" borderId="0" xfId="56" applyNumberFormat="1" applyFont="1" applyFill="1" applyAlignment="1">
      <alignment horizontal="center" vertical="center" wrapText="1"/>
    </xf>
    <xf numFmtId="183" fontId="7" fillId="2" borderId="23" xfId="56" applyNumberFormat="1" applyFont="1" applyFill="1" applyBorder="1" applyAlignment="1">
      <alignment horizontal="center" vertical="center" wrapText="1"/>
    </xf>
    <xf numFmtId="210" fontId="55" fillId="10" borderId="2" xfId="56" applyNumberFormat="1" applyFont="1" applyFill="1" applyBorder="1" applyAlignment="1">
      <alignment horizontal="center" vertical="center" wrapText="1"/>
    </xf>
    <xf numFmtId="211" fontId="55" fillId="10" borderId="2" xfId="56" applyNumberFormat="1" applyFont="1" applyFill="1" applyBorder="1" applyAlignment="1">
      <alignment horizontal="center" vertical="center" wrapText="1"/>
    </xf>
    <xf numFmtId="183" fontId="55" fillId="2" borderId="2" xfId="56" applyNumberFormat="1" applyFont="1" applyFill="1" applyBorder="1" applyAlignment="1">
      <alignment horizontal="center" vertical="center" wrapText="1"/>
    </xf>
    <xf numFmtId="210" fontId="55" fillId="2" borderId="2" xfId="56" applyNumberFormat="1" applyFont="1" applyFill="1" applyBorder="1" applyAlignment="1">
      <alignment horizontal="center" vertical="center" wrapText="1"/>
    </xf>
    <xf numFmtId="211" fontId="55" fillId="2" borderId="2" xfId="56" applyNumberFormat="1" applyFont="1" applyFill="1" applyBorder="1" applyAlignment="1">
      <alignment horizontal="center" vertical="center" wrapText="1"/>
    </xf>
    <xf numFmtId="180" fontId="55" fillId="2" borderId="2" xfId="56" applyNumberFormat="1" applyFont="1" applyFill="1" applyBorder="1" applyAlignment="1">
      <alignment vertical="center" wrapText="1"/>
    </xf>
    <xf numFmtId="181" fontId="55" fillId="2" borderId="0" xfId="56" applyNumberFormat="1" applyFont="1" applyFill="1" applyAlignment="1">
      <alignment horizontal="center" vertical="center" wrapText="1"/>
    </xf>
    <xf numFmtId="180" fontId="56" fillId="2" borderId="2" xfId="56" applyNumberFormat="1" applyFont="1" applyFill="1" applyBorder="1" applyAlignment="1">
      <alignment vertical="center" wrapText="1"/>
    </xf>
    <xf numFmtId="210" fontId="57" fillId="2" borderId="2" xfId="56" applyNumberFormat="1" applyFont="1" applyFill="1" applyBorder="1" applyAlignment="1">
      <alignment horizontal="center" vertical="center" wrapText="1"/>
    </xf>
    <xf numFmtId="181" fontId="57" fillId="2" borderId="0" xfId="56" applyNumberFormat="1" applyFont="1" applyFill="1" applyAlignment="1">
      <alignment horizontal="center" vertical="center" wrapText="1"/>
    </xf>
    <xf numFmtId="202" fontId="57" fillId="2" borderId="0" xfId="56" applyNumberFormat="1" applyFont="1" applyFill="1" applyAlignment="1">
      <alignment horizontal="center" vertical="center" wrapText="1"/>
    </xf>
    <xf numFmtId="198" fontId="57" fillId="2" borderId="0" xfId="56" applyNumberFormat="1" applyFont="1" applyFill="1" applyAlignment="1">
      <alignment horizontal="center" vertical="center" wrapText="1"/>
    </xf>
    <xf numFmtId="180" fontId="55" fillId="2" borderId="2" xfId="55" applyNumberFormat="1" applyFont="1" applyFill="1" applyBorder="1" applyAlignment="1">
      <alignment horizontal="left" vertical="center" wrapText="1"/>
    </xf>
    <xf numFmtId="183" fontId="55" fillId="11" borderId="2" xfId="56" applyNumberFormat="1" applyFont="1" applyFill="1" applyBorder="1" applyAlignment="1">
      <alignment horizontal="center" vertical="center" wrapText="1"/>
    </xf>
    <xf numFmtId="180" fontId="57" fillId="2" borderId="2" xfId="55" applyNumberFormat="1" applyFont="1" applyFill="1" applyBorder="1" applyAlignment="1">
      <alignment horizontal="left" vertical="center" wrapText="1"/>
    </xf>
    <xf numFmtId="180" fontId="55" fillId="2" borderId="2" xfId="56" applyNumberFormat="1" applyFont="1" applyFill="1" applyBorder="1" applyAlignment="1">
      <alignment horizontal="left" vertical="center" wrapText="1"/>
    </xf>
    <xf numFmtId="210" fontId="59" fillId="2" borderId="2" xfId="56" applyNumberFormat="1" applyFont="1" applyFill="1" applyBorder="1" applyAlignment="1">
      <alignment horizontal="center" vertical="center" wrapText="1"/>
    </xf>
    <xf numFmtId="183" fontId="55" fillId="2" borderId="2" xfId="55" applyNumberFormat="1" applyFont="1" applyFill="1" applyBorder="1" applyAlignment="1">
      <alignment horizontal="center" vertical="center" wrapText="1"/>
    </xf>
    <xf numFmtId="210" fontId="55" fillId="2" borderId="2" xfId="55" applyNumberFormat="1" applyFont="1" applyFill="1" applyBorder="1" applyAlignment="1">
      <alignment horizontal="center" vertical="center" wrapText="1"/>
    </xf>
    <xf numFmtId="183" fontId="55" fillId="11" borderId="2" xfId="55" applyNumberFormat="1" applyFont="1" applyFill="1" applyBorder="1" applyAlignment="1">
      <alignment horizontal="center" vertical="center" wrapText="1"/>
    </xf>
    <xf numFmtId="183" fontId="57" fillId="2" borderId="2" xfId="55" applyNumberFormat="1" applyFont="1" applyFill="1" applyBorder="1" applyAlignment="1">
      <alignment horizontal="center" vertical="center" wrapText="1"/>
    </xf>
    <xf numFmtId="210" fontId="57" fillId="2" borderId="2" xfId="55" applyNumberFormat="1" applyFont="1" applyFill="1" applyBorder="1" applyAlignment="1">
      <alignment horizontal="center" vertical="center" wrapText="1"/>
    </xf>
    <xf numFmtId="2" fontId="57" fillId="2" borderId="0" xfId="56" applyNumberFormat="1" applyFont="1" applyFill="1" applyAlignment="1">
      <alignment horizontal="center" vertical="center" wrapText="1"/>
    </xf>
    <xf numFmtId="210" fontId="56" fillId="2" borderId="2" xfId="56" applyNumberFormat="1" applyFont="1" applyFill="1" applyBorder="1" applyAlignment="1">
      <alignment horizontal="center" vertical="center" wrapText="1"/>
    </xf>
    <xf numFmtId="198" fontId="56" fillId="2" borderId="0" xfId="56" applyNumberFormat="1" applyFont="1" applyFill="1" applyAlignment="1">
      <alignment horizontal="center" vertical="center" wrapText="1"/>
    </xf>
    <xf numFmtId="202" fontId="56" fillId="2" borderId="0" xfId="56" applyNumberFormat="1" applyFont="1" applyFill="1" applyAlignment="1">
      <alignment horizontal="center" vertical="center" wrapText="1"/>
    </xf>
    <xf numFmtId="183" fontId="56" fillId="2" borderId="0" xfId="56" applyNumberFormat="1" applyFont="1" applyFill="1" applyAlignment="1">
      <alignment horizontal="center" vertical="center" wrapText="1"/>
    </xf>
    <xf numFmtId="180" fontId="56" fillId="2" borderId="0" xfId="56" applyNumberFormat="1" applyFont="1" applyFill="1" applyBorder="1" applyAlignment="1">
      <alignment horizontal="left" vertical="center" wrapText="1"/>
    </xf>
    <xf numFmtId="183" fontId="56" fillId="2" borderId="0" xfId="56" applyNumberFormat="1" applyFont="1" applyFill="1" applyBorder="1" applyAlignment="1">
      <alignment horizontal="center" vertical="center" wrapText="1"/>
    </xf>
    <xf numFmtId="0" fontId="57" fillId="2" borderId="0" xfId="54" applyFont="1" applyFill="1" applyBorder="1" applyAlignment="1">
      <alignment wrapText="1"/>
    </xf>
    <xf numFmtId="183" fontId="57" fillId="2" borderId="0" xfId="54" applyNumberFormat="1" applyFont="1" applyFill="1" applyBorder="1" applyAlignment="1">
      <alignment wrapText="1"/>
    </xf>
    <xf numFmtId="0" fontId="57" fillId="2" borderId="0" xfId="56" applyFont="1" applyFill="1" applyBorder="1" applyAlignment="1">
      <alignment horizontal="left" vertical="center" wrapText="1"/>
    </xf>
    <xf numFmtId="198" fontId="57" fillId="2" borderId="0" xfId="56" applyNumberFormat="1" applyFont="1" applyFill="1" applyBorder="1" applyAlignment="1">
      <alignment horizontal="center" vertical="center" wrapText="1"/>
    </xf>
    <xf numFmtId="0" fontId="1" fillId="0" borderId="0" xfId="53" applyFont="1" applyAlignment="1">
      <alignment vertical="center"/>
    </xf>
    <xf numFmtId="0" fontId="2" fillId="0" borderId="0" xfId="53" applyFont="1"/>
    <xf numFmtId="0" fontId="1" fillId="0" borderId="0" xfId="53" applyFont="1" applyAlignment="1"/>
    <xf numFmtId="0" fontId="11" fillId="0" borderId="0" xfId="54" applyFont="1" applyAlignment="1">
      <alignment horizontal="center"/>
    </xf>
    <xf numFmtId="0" fontId="10" fillId="0" borderId="0" xfId="54" applyFont="1" applyAlignment="1">
      <alignment horizontal="center"/>
    </xf>
    <xf numFmtId="0" fontId="10" fillId="0" borderId="0" xfId="54" applyFont="1" applyAlignment="1">
      <alignment horizontal="center" vertical="top" wrapText="1"/>
    </xf>
    <xf numFmtId="0" fontId="7" fillId="0" borderId="0" xfId="54" applyFont="1" applyAlignment="1">
      <alignment horizontal="left" vertical="top"/>
    </xf>
    <xf numFmtId="0" fontId="14" fillId="0" borderId="0" xfId="54" applyFont="1" applyBorder="1" applyAlignment="1">
      <alignment vertical="center" wrapText="1"/>
    </xf>
    <xf numFmtId="0" fontId="7" fillId="0" borderId="0" xfId="54" applyFont="1" applyAlignment="1">
      <alignment horizontal="left" vertical="center"/>
    </xf>
    <xf numFmtId="0" fontId="7" fillId="2" borderId="3" xfId="54" applyFont="1" applyFill="1" applyBorder="1" applyAlignment="1">
      <alignment horizontal="center" vertical="center" wrapText="1"/>
    </xf>
    <xf numFmtId="0" fontId="7" fillId="2" borderId="4" xfId="54" applyFont="1" applyFill="1" applyBorder="1" applyAlignment="1">
      <alignment horizontal="center" vertical="center" wrapText="1"/>
    </xf>
    <xf numFmtId="0" fontId="7" fillId="2" borderId="37" xfId="54" applyFont="1" applyFill="1" applyBorder="1" applyAlignment="1">
      <alignment horizontal="center" vertical="center" wrapText="1"/>
    </xf>
    <xf numFmtId="0" fontId="7" fillId="2" borderId="38" xfId="54" applyFont="1" applyFill="1" applyBorder="1" applyAlignment="1">
      <alignment horizontal="center" vertical="center" wrapText="1"/>
    </xf>
    <xf numFmtId="0" fontId="7" fillId="2" borderId="39" xfId="54" applyFont="1" applyFill="1" applyBorder="1" applyAlignment="1">
      <alignment horizontal="center" vertical="center" wrapText="1"/>
    </xf>
    <xf numFmtId="0" fontId="7" fillId="2" borderId="25" xfId="54" applyFont="1" applyFill="1" applyBorder="1" applyAlignment="1">
      <alignment horizontal="center" vertical="center" wrapText="1"/>
    </xf>
    <xf numFmtId="0" fontId="7" fillId="2" borderId="33" xfId="54" applyFont="1" applyFill="1" applyBorder="1" applyAlignment="1">
      <alignment horizontal="center" vertical="center" wrapText="1"/>
    </xf>
    <xf numFmtId="0" fontId="7" fillId="2" borderId="26" xfId="54" applyFont="1" applyFill="1" applyBorder="1" applyAlignment="1">
      <alignment horizontal="center" vertical="center" wrapText="1"/>
    </xf>
    <xf numFmtId="0" fontId="7" fillId="2" borderId="5" xfId="54" applyFont="1" applyFill="1" applyBorder="1" applyAlignment="1">
      <alignment horizontal="center" vertical="center" wrapText="1"/>
    </xf>
    <xf numFmtId="0" fontId="7" fillId="2" borderId="10" xfId="54" applyFont="1" applyFill="1" applyBorder="1" applyAlignment="1">
      <alignment horizontal="center" vertical="center" wrapText="1"/>
    </xf>
    <xf numFmtId="0" fontId="7" fillId="2" borderId="11" xfId="54" applyFont="1" applyFill="1" applyBorder="1" applyAlignment="1">
      <alignment horizontal="center" vertical="center" wrapText="1"/>
    </xf>
    <xf numFmtId="0" fontId="7" fillId="2" borderId="34" xfId="54" applyFont="1" applyFill="1" applyBorder="1" applyAlignment="1">
      <alignment horizontal="center" vertical="center" wrapText="1"/>
    </xf>
    <xf numFmtId="0" fontId="7" fillId="2" borderId="40" xfId="54" applyFont="1" applyFill="1" applyBorder="1" applyAlignment="1">
      <alignment horizontal="center" vertical="center" wrapText="1"/>
    </xf>
    <xf numFmtId="0" fontId="7" fillId="2" borderId="41" xfId="54" applyFont="1" applyFill="1" applyBorder="1" applyAlignment="1">
      <alignment horizontal="center" vertical="center" wrapText="1"/>
    </xf>
    <xf numFmtId="0" fontId="7" fillId="2" borderId="12" xfId="54" applyFont="1" applyFill="1" applyBorder="1" applyAlignment="1">
      <alignment horizontal="center" vertical="center" wrapText="1"/>
    </xf>
    <xf numFmtId="0" fontId="7" fillId="2" borderId="42" xfId="54" applyFont="1" applyFill="1" applyBorder="1" applyAlignment="1">
      <alignment horizontal="center" vertical="center" wrapText="1"/>
    </xf>
    <xf numFmtId="0" fontId="7" fillId="2" borderId="13" xfId="54" applyFont="1" applyFill="1" applyBorder="1" applyAlignment="1">
      <alignment horizontal="center" vertical="center" wrapText="1"/>
    </xf>
    <xf numFmtId="0" fontId="7" fillId="2" borderId="14" xfId="54" applyFont="1" applyFill="1" applyBorder="1" applyAlignment="1">
      <alignment horizontal="center" vertical="center" wrapText="1"/>
    </xf>
    <xf numFmtId="0" fontId="7" fillId="2" borderId="18" xfId="54" applyFont="1" applyFill="1" applyBorder="1" applyAlignment="1">
      <alignment horizontal="center" vertical="top" wrapText="1"/>
    </xf>
    <xf numFmtId="0" fontId="7" fillId="2" borderId="19" xfId="54" applyFont="1" applyFill="1" applyBorder="1" applyAlignment="1">
      <alignment horizontal="center" vertical="center"/>
    </xf>
    <xf numFmtId="0" fontId="7" fillId="2" borderId="19" xfId="54" applyFont="1" applyFill="1" applyBorder="1" applyAlignment="1">
      <alignment horizontal="center" vertical="top" wrapText="1"/>
    </xf>
    <xf numFmtId="0" fontId="7" fillId="2" borderId="35" xfId="54" applyFont="1" applyFill="1" applyBorder="1" applyAlignment="1">
      <alignment horizontal="center" vertical="center"/>
    </xf>
    <xf numFmtId="0" fontId="7" fillId="2" borderId="36" xfId="54" applyFont="1" applyFill="1" applyBorder="1" applyAlignment="1">
      <alignment horizontal="center" vertical="center"/>
    </xf>
    <xf numFmtId="0" fontId="7" fillId="2" borderId="35" xfId="54" applyFont="1" applyFill="1" applyBorder="1" applyAlignment="1">
      <alignment horizontal="center" vertical="top" wrapText="1"/>
    </xf>
    <xf numFmtId="0" fontId="7" fillId="2" borderId="32" xfId="54" applyFont="1" applyFill="1" applyBorder="1" applyAlignment="1">
      <alignment horizontal="center" vertical="top" wrapText="1"/>
    </xf>
    <xf numFmtId="0" fontId="7" fillId="2" borderId="36" xfId="54" applyFont="1" applyFill="1" applyBorder="1" applyAlignment="1">
      <alignment horizontal="center" vertical="top" wrapText="1"/>
    </xf>
    <xf numFmtId="0" fontId="7" fillId="2" borderId="32" xfId="54" applyFont="1" applyFill="1" applyBorder="1" applyAlignment="1">
      <alignment horizontal="center" vertical="center"/>
    </xf>
    <xf numFmtId="0" fontId="7" fillId="2" borderId="20" xfId="54" applyFont="1" applyFill="1" applyBorder="1" applyAlignment="1">
      <alignment horizontal="center" vertical="center"/>
    </xf>
    <xf numFmtId="0" fontId="11" fillId="2" borderId="43" xfId="54" applyFont="1" applyFill="1" applyBorder="1" applyAlignment="1">
      <alignment vertical="top" wrapText="1"/>
    </xf>
    <xf numFmtId="198" fontId="62" fillId="2" borderId="23" xfId="54" applyNumberFormat="1" applyFont="1" applyFill="1" applyBorder="1" applyAlignment="1">
      <alignment horizontal="center" vertical="center" wrapText="1"/>
    </xf>
    <xf numFmtId="181" fontId="62" fillId="2" borderId="23" xfId="54" applyNumberFormat="1" applyFont="1" applyFill="1" applyBorder="1" applyAlignment="1">
      <alignment horizontal="center" vertical="center" wrapText="1"/>
    </xf>
    <xf numFmtId="183" fontId="62" fillId="2" borderId="23" xfId="54" applyNumberFormat="1" applyFont="1" applyFill="1" applyBorder="1" applyAlignment="1">
      <alignment horizontal="center" vertical="center" wrapText="1"/>
    </xf>
    <xf numFmtId="198" fontId="62" fillId="2" borderId="25" xfId="54" applyNumberFormat="1" applyFont="1" applyFill="1" applyBorder="1" applyAlignment="1">
      <alignment horizontal="center" vertical="center"/>
    </xf>
    <xf numFmtId="198" fontId="62" fillId="2" borderId="33" xfId="54" applyNumberFormat="1" applyFont="1" applyFill="1" applyBorder="1" applyAlignment="1">
      <alignment horizontal="center" vertical="center"/>
    </xf>
    <xf numFmtId="198" fontId="62" fillId="2" borderId="26" xfId="54" applyNumberFormat="1" applyFont="1" applyFill="1" applyBorder="1" applyAlignment="1">
      <alignment horizontal="center" vertical="center"/>
    </xf>
    <xf numFmtId="183" fontId="62" fillId="2" borderId="37" xfId="54" applyNumberFormat="1" applyFont="1" applyFill="1" applyBorder="1" applyAlignment="1">
      <alignment horizontal="center" vertical="center" wrapText="1"/>
    </xf>
    <xf numFmtId="183" fontId="62" fillId="2" borderId="38" xfId="54" applyNumberFormat="1" applyFont="1" applyFill="1" applyBorder="1" applyAlignment="1">
      <alignment horizontal="center" vertical="center" wrapText="1"/>
    </xf>
    <xf numFmtId="198" fontId="62" fillId="2" borderId="25" xfId="54" applyNumberFormat="1" applyFont="1" applyFill="1" applyBorder="1" applyAlignment="1">
      <alignment horizontal="center" vertical="center" wrapText="1"/>
    </xf>
    <xf numFmtId="198" fontId="62" fillId="2" borderId="33" xfId="54" applyNumberFormat="1" applyFont="1" applyFill="1" applyBorder="1" applyAlignment="1">
      <alignment horizontal="center" vertical="center" wrapText="1"/>
    </xf>
    <xf numFmtId="198" fontId="62" fillId="2" borderId="26" xfId="54" applyNumberFormat="1" applyFont="1" applyFill="1" applyBorder="1" applyAlignment="1">
      <alignment horizontal="center" vertical="center" wrapText="1"/>
    </xf>
    <xf numFmtId="181" fontId="62" fillId="2" borderId="37" xfId="54" applyNumberFormat="1" applyFont="1" applyFill="1" applyBorder="1" applyAlignment="1">
      <alignment horizontal="center" vertical="center" wrapText="1"/>
    </xf>
    <xf numFmtId="181" fontId="62" fillId="2" borderId="39" xfId="54" applyNumberFormat="1" applyFont="1" applyFill="1" applyBorder="1" applyAlignment="1">
      <alignment horizontal="center" vertical="center" wrapText="1"/>
    </xf>
    <xf numFmtId="181" fontId="62" fillId="2" borderId="38" xfId="54" applyNumberFormat="1" applyFont="1" applyFill="1" applyBorder="1" applyAlignment="1">
      <alignment horizontal="center" vertical="center" wrapText="1"/>
    </xf>
    <xf numFmtId="198" fontId="62" fillId="2" borderId="44" xfId="54" applyNumberFormat="1" applyFont="1" applyFill="1" applyBorder="1" applyAlignment="1">
      <alignment horizontal="center" vertical="center" wrapText="1"/>
    </xf>
    <xf numFmtId="198" fontId="63" fillId="2" borderId="23" xfId="54" applyNumberFormat="1" applyFont="1" applyFill="1" applyBorder="1" applyAlignment="1">
      <alignment horizontal="center" vertical="center" wrapText="1"/>
    </xf>
    <xf numFmtId="198" fontId="62" fillId="2" borderId="30" xfId="54" applyNumberFormat="1" applyFont="1" applyFill="1" applyBorder="1" applyAlignment="1">
      <alignment horizontal="center" vertical="center" wrapText="1"/>
    </xf>
    <xf numFmtId="212" fontId="1" fillId="0" borderId="0" xfId="3" applyNumberFormat="1" applyFont="1"/>
    <xf numFmtId="0" fontId="64" fillId="2" borderId="6" xfId="54" applyFont="1" applyFill="1" applyBorder="1" applyAlignment="1">
      <alignment vertical="top" wrapText="1"/>
    </xf>
    <xf numFmtId="198" fontId="64" fillId="2" borderId="2" xfId="54" applyNumberFormat="1" applyFont="1" applyFill="1" applyBorder="1" applyAlignment="1">
      <alignment horizontal="center" vertical="center" wrapText="1"/>
    </xf>
    <xf numFmtId="181" fontId="64" fillId="2" borderId="2" xfId="54" applyNumberFormat="1" applyFont="1" applyFill="1" applyBorder="1" applyAlignment="1">
      <alignment horizontal="center" vertical="center" wrapText="1"/>
    </xf>
    <xf numFmtId="183" fontId="62" fillId="2" borderId="2" xfId="54" applyNumberFormat="1" applyFont="1" applyFill="1" applyBorder="1" applyAlignment="1">
      <alignment horizontal="center" vertical="center" wrapText="1"/>
    </xf>
    <xf numFmtId="198" fontId="64" fillId="2" borderId="7" xfId="54" applyNumberFormat="1" applyFont="1" applyFill="1" applyBorder="1" applyAlignment="1">
      <alignment horizontal="center" vertical="center" wrapText="1"/>
    </xf>
    <xf numFmtId="198" fontId="64" fillId="2" borderId="16" xfId="54" applyNumberFormat="1" applyFont="1" applyFill="1" applyBorder="1" applyAlignment="1">
      <alignment horizontal="center" vertical="center" wrapText="1"/>
    </xf>
    <xf numFmtId="198" fontId="64" fillId="2" borderId="8" xfId="54" applyNumberFormat="1" applyFont="1" applyFill="1" applyBorder="1" applyAlignment="1">
      <alignment horizontal="center" vertical="center" wrapText="1"/>
    </xf>
    <xf numFmtId="181" fontId="62" fillId="2" borderId="2" xfId="54" applyNumberFormat="1" applyFont="1" applyFill="1" applyBorder="1" applyAlignment="1">
      <alignment horizontal="center" vertical="center" wrapText="1"/>
    </xf>
    <xf numFmtId="210" fontId="65" fillId="0" borderId="2" xfId="54" applyNumberFormat="1" applyFont="1" applyFill="1" applyBorder="1" applyAlignment="1">
      <alignment horizontal="center" vertical="center" wrapText="1"/>
    </xf>
    <xf numFmtId="198" fontId="65" fillId="0" borderId="2" xfId="54" applyNumberFormat="1" applyFont="1" applyFill="1" applyBorder="1" applyAlignment="1">
      <alignment horizontal="center" vertical="center" wrapText="1"/>
    </xf>
    <xf numFmtId="198" fontId="64" fillId="2" borderId="9" xfId="54" applyNumberFormat="1" applyFont="1" applyFill="1" applyBorder="1" applyAlignment="1">
      <alignment horizontal="center" vertical="center" wrapText="1"/>
    </xf>
    <xf numFmtId="0" fontId="11" fillId="2" borderId="6" xfId="54" applyFont="1" applyFill="1" applyBorder="1" applyAlignment="1">
      <alignment vertical="top" wrapText="1"/>
    </xf>
    <xf numFmtId="198" fontId="62" fillId="2" borderId="2" xfId="54" applyNumberFormat="1" applyFont="1" applyFill="1" applyBorder="1" applyAlignment="1">
      <alignment horizontal="center" vertical="center" wrapText="1"/>
    </xf>
    <xf numFmtId="210" fontId="62" fillId="2" borderId="2" xfId="54" applyNumberFormat="1" applyFont="1" applyFill="1" applyBorder="1" applyAlignment="1">
      <alignment horizontal="center" vertical="center" wrapText="1"/>
    </xf>
    <xf numFmtId="198" fontId="63" fillId="2" borderId="7" xfId="54" applyNumberFormat="1" applyFont="1" applyFill="1" applyBorder="1" applyAlignment="1">
      <alignment horizontal="center" vertical="center" wrapText="1"/>
    </xf>
    <xf numFmtId="198" fontId="63" fillId="2" borderId="16" xfId="54" applyNumberFormat="1" applyFont="1" applyFill="1" applyBorder="1" applyAlignment="1">
      <alignment horizontal="center" vertical="center" wrapText="1"/>
    </xf>
    <xf numFmtId="198" fontId="63" fillId="2" borderId="8" xfId="54" applyNumberFormat="1" applyFont="1" applyFill="1" applyBorder="1" applyAlignment="1">
      <alignment horizontal="center" vertical="center" wrapText="1"/>
    </xf>
    <xf numFmtId="213" fontId="62" fillId="2" borderId="2" xfId="54" applyNumberFormat="1" applyFont="1" applyFill="1" applyBorder="1" applyAlignment="1">
      <alignment horizontal="center" vertical="center" wrapText="1"/>
    </xf>
    <xf numFmtId="198" fontId="62" fillId="2" borderId="7" xfId="54" applyNumberFormat="1" applyFont="1" applyFill="1" applyBorder="1" applyAlignment="1">
      <alignment horizontal="center" vertical="center" wrapText="1"/>
    </xf>
    <xf numFmtId="198" fontId="62" fillId="2" borderId="16" xfId="54" applyNumberFormat="1" applyFont="1" applyFill="1" applyBorder="1" applyAlignment="1">
      <alignment horizontal="center" vertical="center" wrapText="1"/>
    </xf>
    <xf numFmtId="198" fontId="62" fillId="2" borderId="8" xfId="54" applyNumberFormat="1" applyFont="1" applyFill="1" applyBorder="1" applyAlignment="1">
      <alignment horizontal="center" vertical="center" wrapText="1"/>
    </xf>
    <xf numFmtId="198" fontId="63" fillId="2" borderId="2" xfId="54" applyNumberFormat="1" applyFont="1" applyFill="1" applyBorder="1" applyAlignment="1">
      <alignment horizontal="center" vertical="center" wrapText="1"/>
    </xf>
    <xf numFmtId="198" fontId="62" fillId="2" borderId="9" xfId="54" applyNumberFormat="1" applyFont="1" applyFill="1" applyBorder="1" applyAlignment="1">
      <alignment horizontal="center" vertical="center" wrapText="1"/>
    </xf>
    <xf numFmtId="0" fontId="10" fillId="2" borderId="6" xfId="54" applyFont="1" applyFill="1" applyBorder="1" applyAlignment="1">
      <alignment vertical="top" wrapText="1"/>
    </xf>
    <xf numFmtId="181" fontId="63" fillId="2" borderId="2" xfId="54" applyNumberFormat="1" applyFont="1" applyFill="1" applyBorder="1" applyAlignment="1">
      <alignment horizontal="center" vertical="center" wrapText="1"/>
    </xf>
    <xf numFmtId="210" fontId="63" fillId="2" borderId="2" xfId="54" applyNumberFormat="1" applyFont="1" applyFill="1" applyBorder="1" applyAlignment="1">
      <alignment horizontal="center" vertical="center" wrapText="1"/>
    </xf>
    <xf numFmtId="198" fontId="63" fillId="2" borderId="9" xfId="54" applyNumberFormat="1" applyFont="1" applyFill="1" applyBorder="1" applyAlignment="1">
      <alignment horizontal="center" vertical="center" wrapText="1"/>
    </xf>
    <xf numFmtId="183" fontId="63" fillId="2" borderId="2" xfId="54" applyNumberFormat="1" applyFont="1" applyFill="1" applyBorder="1" applyAlignment="1">
      <alignment horizontal="center" vertical="center" wrapText="1"/>
    </xf>
    <xf numFmtId="181" fontId="63" fillId="2" borderId="7" xfId="54" applyNumberFormat="1" applyFont="1" applyFill="1" applyBorder="1" applyAlignment="1">
      <alignment horizontal="center" vertical="center" wrapText="1"/>
    </xf>
    <xf numFmtId="181" fontId="63" fillId="2" borderId="8" xfId="54" applyNumberFormat="1" applyFont="1" applyFill="1" applyBorder="1" applyAlignment="1">
      <alignment horizontal="center" vertical="center" wrapText="1"/>
    </xf>
    <xf numFmtId="183" fontId="1" fillId="0" borderId="0" xfId="53" applyNumberFormat="1" applyFont="1"/>
    <xf numFmtId="0" fontId="10" fillId="2" borderId="10" xfId="54" applyFont="1" applyFill="1" applyBorder="1" applyAlignment="1">
      <alignment vertical="top" wrapText="1"/>
    </xf>
    <xf numFmtId="181" fontId="63" fillId="2" borderId="11" xfId="54" applyNumberFormat="1" applyFont="1" applyFill="1" applyBorder="1" applyAlignment="1">
      <alignment horizontal="center" vertical="center" wrapText="1"/>
    </xf>
    <xf numFmtId="183" fontId="62" fillId="2" borderId="11" xfId="54" applyNumberFormat="1" applyFont="1" applyFill="1" applyBorder="1" applyAlignment="1">
      <alignment horizontal="center" vertical="center" wrapText="1"/>
    </xf>
    <xf numFmtId="183" fontId="63" fillId="2" borderId="12" xfId="54" applyNumberFormat="1" applyFont="1" applyFill="1" applyBorder="1" applyAlignment="1">
      <alignment horizontal="center" vertical="center" wrapText="1"/>
    </xf>
    <xf numFmtId="183" fontId="63" fillId="2" borderId="42" xfId="54" applyNumberFormat="1" applyFont="1" applyFill="1" applyBorder="1" applyAlignment="1">
      <alignment horizontal="center" vertical="center" wrapText="1"/>
    </xf>
    <xf numFmtId="183" fontId="63" fillId="2" borderId="13" xfId="54" applyNumberFormat="1" applyFont="1" applyFill="1" applyBorder="1" applyAlignment="1">
      <alignment horizontal="center" vertical="center" wrapText="1"/>
    </xf>
    <xf numFmtId="181" fontId="63" fillId="2" borderId="12" xfId="54" applyNumberFormat="1" applyFont="1" applyFill="1" applyBorder="1" applyAlignment="1">
      <alignment horizontal="center" vertical="center" wrapText="1"/>
    </xf>
    <xf numFmtId="181" fontId="63" fillId="2" borderId="42" xfId="54" applyNumberFormat="1" applyFont="1" applyFill="1" applyBorder="1" applyAlignment="1">
      <alignment horizontal="center" vertical="center" wrapText="1"/>
    </xf>
    <xf numFmtId="181" fontId="63" fillId="2" borderId="13" xfId="54" applyNumberFormat="1" applyFont="1" applyFill="1" applyBorder="1" applyAlignment="1">
      <alignment horizontal="center" vertical="center" wrapText="1"/>
    </xf>
    <xf numFmtId="181" fontId="62" fillId="2" borderId="11" xfId="54" applyNumberFormat="1" applyFont="1" applyFill="1" applyBorder="1" applyAlignment="1">
      <alignment horizontal="center" vertical="center" wrapText="1"/>
    </xf>
    <xf numFmtId="181" fontId="63" fillId="2" borderId="14" xfId="54" applyNumberFormat="1" applyFont="1" applyFill="1" applyBorder="1" applyAlignment="1">
      <alignment horizontal="center" vertical="center" wrapText="1"/>
    </xf>
    <xf numFmtId="207" fontId="2" fillId="0" borderId="0" xfId="53" applyNumberFormat="1" applyFont="1" applyAlignment="1">
      <alignment horizontal="left"/>
    </xf>
    <xf numFmtId="0" fontId="2" fillId="0" borderId="0" xfId="53" applyFont="1" applyAlignment="1">
      <alignment horizontal="left"/>
    </xf>
    <xf numFmtId="213" fontId="66" fillId="0" borderId="0" xfId="53" applyNumberFormat="1" applyFont="1" applyAlignment="1">
      <alignment horizontal="right"/>
    </xf>
    <xf numFmtId="198" fontId="67" fillId="2" borderId="0" xfId="54" applyNumberFormat="1" applyFont="1" applyFill="1" applyBorder="1" applyAlignment="1">
      <alignment horizontal="right" vertical="center" wrapText="1"/>
    </xf>
    <xf numFmtId="194" fontId="2" fillId="0" borderId="0" xfId="53" applyNumberFormat="1" applyFont="1" applyAlignment="1">
      <alignment horizontal="center" vertical="center"/>
    </xf>
    <xf numFmtId="198" fontId="63" fillId="2" borderId="0" xfId="54" applyNumberFormat="1" applyFont="1" applyFill="1" applyBorder="1" applyAlignment="1">
      <alignment horizontal="center" vertical="center" wrapText="1"/>
    </xf>
    <xf numFmtId="183" fontId="2" fillId="0" borderId="0" xfId="53" applyNumberFormat="1" applyFont="1"/>
    <xf numFmtId="183" fontId="2" fillId="0" borderId="0" xfId="53" applyNumberFormat="1" applyFont="1" applyBorder="1"/>
    <xf numFmtId="0" fontId="12" fillId="0" borderId="0" xfId="53" applyFont="1" applyAlignment="1">
      <alignment horizontal="left" vertical="top" wrapText="1"/>
    </xf>
    <xf numFmtId="0" fontId="12" fillId="0" borderId="0" xfId="53" applyFont="1" applyAlignment="1"/>
    <xf numFmtId="0" fontId="13" fillId="0" borderId="0" xfId="54" applyFont="1" applyFill="1" applyBorder="1" applyAlignment="1">
      <alignment vertical="top" wrapText="1"/>
    </xf>
    <xf numFmtId="2" fontId="13" fillId="0" borderId="0" xfId="54" applyNumberFormat="1" applyFont="1" applyFill="1" applyBorder="1" applyAlignment="1">
      <alignment vertical="top" wrapText="1"/>
    </xf>
    <xf numFmtId="186" fontId="13" fillId="0" borderId="0" xfId="54" applyNumberFormat="1" applyFont="1" applyFill="1" applyBorder="1" applyAlignment="1">
      <alignment vertical="top" wrapText="1"/>
    </xf>
    <xf numFmtId="0" fontId="25" fillId="0" borderId="0" xfId="51" applyFont="1" applyFill="1" applyAlignment="1">
      <alignment vertical="top"/>
    </xf>
    <xf numFmtId="186" fontId="1" fillId="0" borderId="15" xfId="51" applyNumberFormat="1" applyFont="1" applyFill="1" applyBorder="1" applyAlignment="1">
      <alignment vertical="center"/>
    </xf>
    <xf numFmtId="185" fontId="12" fillId="0" borderId="0" xfId="51" applyNumberFormat="1" applyFont="1" applyFill="1" applyAlignment="1">
      <alignment vertical="center"/>
    </xf>
    <xf numFmtId="186" fontId="1" fillId="0" borderId="0" xfId="51" applyNumberFormat="1" applyFont="1" applyFill="1" applyBorder="1" applyAlignment="1">
      <alignment vertical="center"/>
    </xf>
    <xf numFmtId="0" fontId="2" fillId="2" borderId="15" xfId="51" applyFont="1" applyFill="1" applyBorder="1" applyAlignment="1">
      <alignment vertical="center"/>
    </xf>
    <xf numFmtId="0" fontId="2" fillId="2" borderId="0" xfId="51" applyFont="1" applyFill="1" applyBorder="1" applyAlignment="1">
      <alignment vertical="center"/>
    </xf>
    <xf numFmtId="207" fontId="2" fillId="0" borderId="2" xfId="51" applyNumberFormat="1" applyFont="1" applyBorder="1"/>
    <xf numFmtId="0" fontId="12" fillId="0" borderId="0" xfId="53" applyFont="1" applyAlignment="1">
      <alignment horizontal="left" wrapText="1"/>
    </xf>
    <xf numFmtId="207" fontId="2" fillId="0" borderId="0" xfId="51" applyNumberFormat="1" applyFont="1" applyBorder="1"/>
    <xf numFmtId="0" fontId="2" fillId="2" borderId="1" xfId="51" applyFont="1" applyFill="1" applyBorder="1" applyAlignment="1">
      <alignment vertical="center"/>
    </xf>
    <xf numFmtId="0" fontId="1" fillId="0" borderId="0" xfId="53" applyFont="1" applyAlignment="1">
      <alignment horizontal="left" vertical="center"/>
    </xf>
    <xf numFmtId="0" fontId="23" fillId="0" borderId="0" xfId="54" applyFont="1" applyBorder="1" applyAlignment="1">
      <alignment horizontal="left" vertical="top" wrapText="1"/>
    </xf>
    <xf numFmtId="0" fontId="2" fillId="2" borderId="0" xfId="51" applyFont="1" applyFill="1" applyBorder="1" applyAlignment="1">
      <alignment horizontal="center" vertical="center"/>
    </xf>
    <xf numFmtId="187" fontId="26" fillId="0" borderId="0" xfId="51" applyNumberFormat="1" applyFont="1" applyAlignment="1">
      <alignment horizontal="center" vertical="center"/>
    </xf>
    <xf numFmtId="0" fontId="7" fillId="0" borderId="0" xfId="54" applyFont="1" applyBorder="1" applyAlignment="1">
      <alignment horizontal="center" vertical="top" wrapText="1"/>
    </xf>
    <xf numFmtId="187" fontId="7" fillId="0" borderId="0" xfId="54" applyNumberFormat="1" applyFont="1" applyBorder="1" applyAlignment="1">
      <alignment horizontal="left" vertical="top" wrapText="1"/>
    </xf>
    <xf numFmtId="0" fontId="53" fillId="0" borderId="0" xfId="54" applyFont="1" applyBorder="1" applyAlignment="1">
      <alignment horizontal="left" vertical="top" wrapText="1"/>
    </xf>
    <xf numFmtId="187" fontId="53" fillId="0" borderId="0" xfId="51" applyNumberFormat="1" applyFont="1" applyAlignment="1">
      <alignment horizontal="right"/>
    </xf>
    <xf numFmtId="0" fontId="12" fillId="0" borderId="0" xfId="51" applyFont="1" applyAlignment="1">
      <alignment horizontal="right"/>
    </xf>
    <xf numFmtId="187" fontId="2" fillId="0" borderId="0" xfId="51" applyNumberFormat="1" applyFont="1"/>
    <xf numFmtId="187" fontId="24" fillId="0" borderId="0" xfId="51" applyNumberFormat="1" applyFont="1" applyAlignment="1">
      <alignment horizontal="left"/>
    </xf>
    <xf numFmtId="0" fontId="12" fillId="0" borderId="0" xfId="51" applyFont="1" applyAlignment="1">
      <alignment horizontal="center"/>
    </xf>
    <xf numFmtId="187" fontId="7" fillId="0" borderId="0" xfId="54" applyNumberFormat="1" applyFont="1" applyFill="1" applyBorder="1" applyAlignment="1">
      <alignment horizontal="center" wrapText="1"/>
    </xf>
    <xf numFmtId="187" fontId="12" fillId="0" borderId="0" xfId="51" applyNumberFormat="1" applyFont="1" applyFill="1" applyAlignment="1">
      <alignment horizontal="center"/>
    </xf>
    <xf numFmtId="187" fontId="7" fillId="0" borderId="0" xfId="54" applyNumberFormat="1" applyFont="1" applyBorder="1" applyAlignment="1">
      <alignment horizontal="center" wrapText="1"/>
    </xf>
    <xf numFmtId="187" fontId="2" fillId="0" borderId="0" xfId="51" applyNumberFormat="1" applyFont="1" applyAlignment="1"/>
    <xf numFmtId="0" fontId="2" fillId="0" borderId="0" xfId="51" applyFont="1" applyAlignment="1"/>
    <xf numFmtId="0" fontId="7" fillId="0" borderId="0" xfId="54" applyFont="1" applyBorder="1" applyAlignment="1">
      <alignment horizontal="left" wrapText="1"/>
    </xf>
    <xf numFmtId="0" fontId="7" fillId="0" borderId="0" xfId="54" applyFont="1" applyBorder="1" applyAlignment="1">
      <alignment wrapText="1"/>
    </xf>
    <xf numFmtId="187" fontId="2" fillId="0" borderId="0" xfId="51" applyNumberFormat="1" applyFont="1" applyAlignment="1">
      <alignment horizontal="center" vertical="center"/>
    </xf>
    <xf numFmtId="186" fontId="2" fillId="0" borderId="0" xfId="51" applyNumberFormat="1" applyFont="1" applyAlignment="1">
      <alignment horizontal="center" vertical="center"/>
    </xf>
    <xf numFmtId="187" fontId="7" fillId="0" borderId="0" xfId="54" applyNumberFormat="1" applyFont="1" applyBorder="1" applyAlignment="1">
      <alignment horizontal="center" vertical="center" wrapText="1"/>
    </xf>
    <xf numFmtId="0" fontId="7" fillId="0" borderId="0" xfId="54" applyFont="1" applyBorder="1" applyAlignment="1">
      <alignment horizontal="center" vertical="center" wrapText="1"/>
    </xf>
    <xf numFmtId="187" fontId="7" fillId="0" borderId="0" xfId="54" applyNumberFormat="1" applyFont="1" applyBorder="1" applyAlignment="1">
      <alignment horizontal="center" vertical="top" wrapText="1"/>
    </xf>
    <xf numFmtId="187" fontId="12" fillId="0" borderId="0" xfId="53" applyNumberFormat="1" applyFont="1" applyAlignment="1">
      <alignment horizontal="center"/>
    </xf>
    <xf numFmtId="0" fontId="7" fillId="0" borderId="0" xfId="51" applyFont="1" applyAlignment="1">
      <alignment horizontal="right"/>
    </xf>
    <xf numFmtId="187" fontId="7" fillId="0" borderId="0" xfId="51" applyNumberFormat="1" applyFont="1" applyAlignment="1">
      <alignment horizontal="center" vertical="center"/>
    </xf>
    <xf numFmtId="187" fontId="7" fillId="0" borderId="0" xfId="53" applyNumberFormat="1" applyFont="1" applyAlignment="1">
      <alignment horizontal="center" vertical="center"/>
    </xf>
    <xf numFmtId="0" fontId="12" fillId="0" borderId="0" xfId="51" applyFont="1" applyAlignment="1"/>
    <xf numFmtId="0" fontId="22" fillId="0" borderId="0" xfId="51" applyFont="1"/>
    <xf numFmtId="0" fontId="17" fillId="0" borderId="0" xfId="54" applyFont="1" applyAlignment="1">
      <alignment wrapText="1"/>
    </xf>
  </cellXfs>
  <cellStyles count="57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2 3" xfId="50"/>
    <cellStyle name="Обычный 39" xfId="51"/>
    <cellStyle name="Обычный 5" xfId="52"/>
    <cellStyle name="Обычный 6" xfId="53"/>
    <cellStyle name="Обычный_Расчет вновь начинаемого объекта Прил 1" xfId="54"/>
    <cellStyle name="Обычный_Свод.см" xfId="55"/>
    <cellStyle name="Обычный_Справка о стоимости объекта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66"/>
  <sheetViews>
    <sheetView view="pageBreakPreview" zoomScale="60" zoomScaleNormal="90" workbookViewId="0">
      <selection activeCell="B5" sqref="B5:AA5"/>
    </sheetView>
  </sheetViews>
  <sheetFormatPr defaultColWidth="9" defaultRowHeight="15"/>
  <cols>
    <col min="1" max="1" width="30.4285714285714" style="149" customWidth="1"/>
    <col min="2" max="2" width="19.8571428571429" style="149" customWidth="1"/>
    <col min="3" max="3" width="18" style="149" customWidth="1"/>
    <col min="4" max="4" width="18.7142857142857" style="149" customWidth="1"/>
    <col min="5" max="5" width="18" style="149" customWidth="1"/>
    <col min="6" max="6" width="10.4285714285714" style="149" customWidth="1"/>
    <col min="7" max="7" width="5.42857142857143" style="149" customWidth="1"/>
    <col min="8" max="8" width="17.2857142857143" style="149" customWidth="1"/>
    <col min="9" max="9" width="5" style="149" customWidth="1"/>
    <col min="10" max="10" width="9" style="149" customWidth="1"/>
    <col min="11" max="11" width="3.71428571428571" style="149" customWidth="1"/>
    <col min="12" max="12" width="13.7142857142857" style="149" customWidth="1"/>
    <col min="13" max="13" width="6.57142857142857" style="149" customWidth="1"/>
    <col min="14" max="14" width="3.85714285714286" style="149" customWidth="1"/>
    <col min="15" max="15" width="6.28571428571429" style="149" customWidth="1"/>
    <col min="16" max="16" width="5.14285714285714" style="149" customWidth="1"/>
    <col min="17" max="17" width="4.28571428571429" style="149" hidden="1" customWidth="1"/>
    <col min="18" max="18" width="4.71428571428571" style="149" hidden="1" customWidth="1"/>
    <col min="19" max="19" width="7.14285714285714" style="149" hidden="1" customWidth="1"/>
    <col min="20" max="20" width="2.42857142857143" style="149" hidden="1" customWidth="1"/>
    <col min="21" max="21" width="11.1428571428571" style="149" customWidth="1"/>
    <col min="22" max="22" width="6.57142857142857" style="149" customWidth="1"/>
    <col min="23" max="24" width="9.57142857142857" style="149" customWidth="1"/>
    <col min="25" max="25" width="18.2857142857143" style="149" customWidth="1"/>
    <col min="26" max="26" width="19.8571428571429" style="149" customWidth="1"/>
    <col min="27" max="27" width="20.8571428571429" style="149" customWidth="1"/>
    <col min="28" max="28" width="17.7142857142857" style="149" customWidth="1"/>
    <col min="29" max="29" width="11" style="149" customWidth="1"/>
    <col min="30" max="267" width="9.14285714285714" style="149"/>
    <col min="268" max="268" width="4.14285714285714" style="149" customWidth="1"/>
    <col min="269" max="269" width="27.8571428571429" style="149" customWidth="1"/>
    <col min="270" max="271" width="19.8571428571429" style="149" customWidth="1"/>
    <col min="272" max="272" width="14.2857142857143" style="149" customWidth="1"/>
    <col min="273" max="273" width="15.7142857142857" style="149" customWidth="1"/>
    <col min="274" max="274" width="14.2857142857143" style="149" customWidth="1"/>
    <col min="275" max="275" width="16.1428571428571" style="149" customWidth="1"/>
    <col min="276" max="276" width="14.2857142857143" style="149" customWidth="1"/>
    <col min="277" max="277" width="16.1428571428571" style="149" customWidth="1"/>
    <col min="278" max="278" width="15.1428571428571" style="149" customWidth="1"/>
    <col min="279" max="279" width="19.1428571428571" style="149" customWidth="1"/>
    <col min="280" max="280" width="15.7142857142857" style="149" customWidth="1"/>
    <col min="281" max="282" width="19.1428571428571" style="149" customWidth="1"/>
    <col min="283" max="283" width="16.8571428571429" style="149" customWidth="1"/>
    <col min="284" max="523" width="9.14285714285714" style="149"/>
    <col min="524" max="524" width="4.14285714285714" style="149" customWidth="1"/>
    <col min="525" max="525" width="27.8571428571429" style="149" customWidth="1"/>
    <col min="526" max="527" width="19.8571428571429" style="149" customWidth="1"/>
    <col min="528" max="528" width="14.2857142857143" style="149" customWidth="1"/>
    <col min="529" max="529" width="15.7142857142857" style="149" customWidth="1"/>
    <col min="530" max="530" width="14.2857142857143" style="149" customWidth="1"/>
    <col min="531" max="531" width="16.1428571428571" style="149" customWidth="1"/>
    <col min="532" max="532" width="14.2857142857143" style="149" customWidth="1"/>
    <col min="533" max="533" width="16.1428571428571" style="149" customWidth="1"/>
    <col min="534" max="534" width="15.1428571428571" style="149" customWidth="1"/>
    <col min="535" max="535" width="19.1428571428571" style="149" customWidth="1"/>
    <col min="536" max="536" width="15.7142857142857" style="149" customWidth="1"/>
    <col min="537" max="538" width="19.1428571428571" style="149" customWidth="1"/>
    <col min="539" max="539" width="16.8571428571429" style="149" customWidth="1"/>
    <col min="540" max="779" width="9.14285714285714" style="149"/>
    <col min="780" max="780" width="4.14285714285714" style="149" customWidth="1"/>
    <col min="781" max="781" width="27.8571428571429" style="149" customWidth="1"/>
    <col min="782" max="783" width="19.8571428571429" style="149" customWidth="1"/>
    <col min="784" max="784" width="14.2857142857143" style="149" customWidth="1"/>
    <col min="785" max="785" width="15.7142857142857" style="149" customWidth="1"/>
    <col min="786" max="786" width="14.2857142857143" style="149" customWidth="1"/>
    <col min="787" max="787" width="16.1428571428571" style="149" customWidth="1"/>
    <col min="788" max="788" width="14.2857142857143" style="149" customWidth="1"/>
    <col min="789" max="789" width="16.1428571428571" style="149" customWidth="1"/>
    <col min="790" max="790" width="15.1428571428571" style="149" customWidth="1"/>
    <col min="791" max="791" width="19.1428571428571" style="149" customWidth="1"/>
    <col min="792" max="792" width="15.7142857142857" style="149" customWidth="1"/>
    <col min="793" max="794" width="19.1428571428571" style="149" customWidth="1"/>
    <col min="795" max="795" width="16.8571428571429" style="149" customWidth="1"/>
    <col min="796" max="1035" width="9.14285714285714" style="149"/>
    <col min="1036" max="1036" width="4.14285714285714" style="149" customWidth="1"/>
    <col min="1037" max="1037" width="27.8571428571429" style="149" customWidth="1"/>
    <col min="1038" max="1039" width="19.8571428571429" style="149" customWidth="1"/>
    <col min="1040" max="1040" width="14.2857142857143" style="149" customWidth="1"/>
    <col min="1041" max="1041" width="15.7142857142857" style="149" customWidth="1"/>
    <col min="1042" max="1042" width="14.2857142857143" style="149" customWidth="1"/>
    <col min="1043" max="1043" width="16.1428571428571" style="149" customWidth="1"/>
    <col min="1044" max="1044" width="14.2857142857143" style="149" customWidth="1"/>
    <col min="1045" max="1045" width="16.1428571428571" style="149" customWidth="1"/>
    <col min="1046" max="1046" width="15.1428571428571" style="149" customWidth="1"/>
    <col min="1047" max="1047" width="19.1428571428571" style="149" customWidth="1"/>
    <col min="1048" max="1048" width="15.7142857142857" style="149" customWidth="1"/>
    <col min="1049" max="1050" width="19.1428571428571" style="149" customWidth="1"/>
    <col min="1051" max="1051" width="16.8571428571429" style="149" customWidth="1"/>
    <col min="1052" max="1291" width="9.14285714285714" style="149"/>
    <col min="1292" max="1292" width="4.14285714285714" style="149" customWidth="1"/>
    <col min="1293" max="1293" width="27.8571428571429" style="149" customWidth="1"/>
    <col min="1294" max="1295" width="19.8571428571429" style="149" customWidth="1"/>
    <col min="1296" max="1296" width="14.2857142857143" style="149" customWidth="1"/>
    <col min="1297" max="1297" width="15.7142857142857" style="149" customWidth="1"/>
    <col min="1298" max="1298" width="14.2857142857143" style="149" customWidth="1"/>
    <col min="1299" max="1299" width="16.1428571428571" style="149" customWidth="1"/>
    <col min="1300" max="1300" width="14.2857142857143" style="149" customWidth="1"/>
    <col min="1301" max="1301" width="16.1428571428571" style="149" customWidth="1"/>
    <col min="1302" max="1302" width="15.1428571428571" style="149" customWidth="1"/>
    <col min="1303" max="1303" width="19.1428571428571" style="149" customWidth="1"/>
    <col min="1304" max="1304" width="15.7142857142857" style="149" customWidth="1"/>
    <col min="1305" max="1306" width="19.1428571428571" style="149" customWidth="1"/>
    <col min="1307" max="1307" width="16.8571428571429" style="149" customWidth="1"/>
    <col min="1308" max="1547" width="9.14285714285714" style="149"/>
    <col min="1548" max="1548" width="4.14285714285714" style="149" customWidth="1"/>
    <col min="1549" max="1549" width="27.8571428571429" style="149" customWidth="1"/>
    <col min="1550" max="1551" width="19.8571428571429" style="149" customWidth="1"/>
    <col min="1552" max="1552" width="14.2857142857143" style="149" customWidth="1"/>
    <col min="1553" max="1553" width="15.7142857142857" style="149" customWidth="1"/>
    <col min="1554" max="1554" width="14.2857142857143" style="149" customWidth="1"/>
    <col min="1555" max="1555" width="16.1428571428571" style="149" customWidth="1"/>
    <col min="1556" max="1556" width="14.2857142857143" style="149" customWidth="1"/>
    <col min="1557" max="1557" width="16.1428571428571" style="149" customWidth="1"/>
    <col min="1558" max="1558" width="15.1428571428571" style="149" customWidth="1"/>
    <col min="1559" max="1559" width="19.1428571428571" style="149" customWidth="1"/>
    <col min="1560" max="1560" width="15.7142857142857" style="149" customWidth="1"/>
    <col min="1561" max="1562" width="19.1428571428571" style="149" customWidth="1"/>
    <col min="1563" max="1563" width="16.8571428571429" style="149" customWidth="1"/>
    <col min="1564" max="1803" width="9.14285714285714" style="149"/>
    <col min="1804" max="1804" width="4.14285714285714" style="149" customWidth="1"/>
    <col min="1805" max="1805" width="27.8571428571429" style="149" customWidth="1"/>
    <col min="1806" max="1807" width="19.8571428571429" style="149" customWidth="1"/>
    <col min="1808" max="1808" width="14.2857142857143" style="149" customWidth="1"/>
    <col min="1809" max="1809" width="15.7142857142857" style="149" customWidth="1"/>
    <col min="1810" max="1810" width="14.2857142857143" style="149" customWidth="1"/>
    <col min="1811" max="1811" width="16.1428571428571" style="149" customWidth="1"/>
    <col min="1812" max="1812" width="14.2857142857143" style="149" customWidth="1"/>
    <col min="1813" max="1813" width="16.1428571428571" style="149" customWidth="1"/>
    <col min="1814" max="1814" width="15.1428571428571" style="149" customWidth="1"/>
    <col min="1815" max="1815" width="19.1428571428571" style="149" customWidth="1"/>
    <col min="1816" max="1816" width="15.7142857142857" style="149" customWidth="1"/>
    <col min="1817" max="1818" width="19.1428571428571" style="149" customWidth="1"/>
    <col min="1819" max="1819" width="16.8571428571429" style="149" customWidth="1"/>
    <col min="1820" max="2059" width="9.14285714285714" style="149"/>
    <col min="2060" max="2060" width="4.14285714285714" style="149" customWidth="1"/>
    <col min="2061" max="2061" width="27.8571428571429" style="149" customWidth="1"/>
    <col min="2062" max="2063" width="19.8571428571429" style="149" customWidth="1"/>
    <col min="2064" max="2064" width="14.2857142857143" style="149" customWidth="1"/>
    <col min="2065" max="2065" width="15.7142857142857" style="149" customWidth="1"/>
    <col min="2066" max="2066" width="14.2857142857143" style="149" customWidth="1"/>
    <col min="2067" max="2067" width="16.1428571428571" style="149" customWidth="1"/>
    <col min="2068" max="2068" width="14.2857142857143" style="149" customWidth="1"/>
    <col min="2069" max="2069" width="16.1428571428571" style="149" customWidth="1"/>
    <col min="2070" max="2070" width="15.1428571428571" style="149" customWidth="1"/>
    <col min="2071" max="2071" width="19.1428571428571" style="149" customWidth="1"/>
    <col min="2072" max="2072" width="15.7142857142857" style="149" customWidth="1"/>
    <col min="2073" max="2074" width="19.1428571428571" style="149" customWidth="1"/>
    <col min="2075" max="2075" width="16.8571428571429" style="149" customWidth="1"/>
    <col min="2076" max="2315" width="9.14285714285714" style="149"/>
    <col min="2316" max="2316" width="4.14285714285714" style="149" customWidth="1"/>
    <col min="2317" max="2317" width="27.8571428571429" style="149" customWidth="1"/>
    <col min="2318" max="2319" width="19.8571428571429" style="149" customWidth="1"/>
    <col min="2320" max="2320" width="14.2857142857143" style="149" customWidth="1"/>
    <col min="2321" max="2321" width="15.7142857142857" style="149" customWidth="1"/>
    <col min="2322" max="2322" width="14.2857142857143" style="149" customWidth="1"/>
    <col min="2323" max="2323" width="16.1428571428571" style="149" customWidth="1"/>
    <col min="2324" max="2324" width="14.2857142857143" style="149" customWidth="1"/>
    <col min="2325" max="2325" width="16.1428571428571" style="149" customWidth="1"/>
    <col min="2326" max="2326" width="15.1428571428571" style="149" customWidth="1"/>
    <col min="2327" max="2327" width="19.1428571428571" style="149" customWidth="1"/>
    <col min="2328" max="2328" width="15.7142857142857" style="149" customWidth="1"/>
    <col min="2329" max="2330" width="19.1428571428571" style="149" customWidth="1"/>
    <col min="2331" max="2331" width="16.8571428571429" style="149" customWidth="1"/>
    <col min="2332" max="2571" width="9.14285714285714" style="149"/>
    <col min="2572" max="2572" width="4.14285714285714" style="149" customWidth="1"/>
    <col min="2573" max="2573" width="27.8571428571429" style="149" customWidth="1"/>
    <col min="2574" max="2575" width="19.8571428571429" style="149" customWidth="1"/>
    <col min="2576" max="2576" width="14.2857142857143" style="149" customWidth="1"/>
    <col min="2577" max="2577" width="15.7142857142857" style="149" customWidth="1"/>
    <col min="2578" max="2578" width="14.2857142857143" style="149" customWidth="1"/>
    <col min="2579" max="2579" width="16.1428571428571" style="149" customWidth="1"/>
    <col min="2580" max="2580" width="14.2857142857143" style="149" customWidth="1"/>
    <col min="2581" max="2581" width="16.1428571428571" style="149" customWidth="1"/>
    <col min="2582" max="2582" width="15.1428571428571" style="149" customWidth="1"/>
    <col min="2583" max="2583" width="19.1428571428571" style="149" customWidth="1"/>
    <col min="2584" max="2584" width="15.7142857142857" style="149" customWidth="1"/>
    <col min="2585" max="2586" width="19.1428571428571" style="149" customWidth="1"/>
    <col min="2587" max="2587" width="16.8571428571429" style="149" customWidth="1"/>
    <col min="2588" max="2827" width="9.14285714285714" style="149"/>
    <col min="2828" max="2828" width="4.14285714285714" style="149" customWidth="1"/>
    <col min="2829" max="2829" width="27.8571428571429" style="149" customWidth="1"/>
    <col min="2830" max="2831" width="19.8571428571429" style="149" customWidth="1"/>
    <col min="2832" max="2832" width="14.2857142857143" style="149" customWidth="1"/>
    <col min="2833" max="2833" width="15.7142857142857" style="149" customWidth="1"/>
    <col min="2834" max="2834" width="14.2857142857143" style="149" customWidth="1"/>
    <col min="2835" max="2835" width="16.1428571428571" style="149" customWidth="1"/>
    <col min="2836" max="2836" width="14.2857142857143" style="149" customWidth="1"/>
    <col min="2837" max="2837" width="16.1428571428571" style="149" customWidth="1"/>
    <col min="2838" max="2838" width="15.1428571428571" style="149" customWidth="1"/>
    <col min="2839" max="2839" width="19.1428571428571" style="149" customWidth="1"/>
    <col min="2840" max="2840" width="15.7142857142857" style="149" customWidth="1"/>
    <col min="2841" max="2842" width="19.1428571428571" style="149" customWidth="1"/>
    <col min="2843" max="2843" width="16.8571428571429" style="149" customWidth="1"/>
    <col min="2844" max="3083" width="9.14285714285714" style="149"/>
    <col min="3084" max="3084" width="4.14285714285714" style="149" customWidth="1"/>
    <col min="3085" max="3085" width="27.8571428571429" style="149" customWidth="1"/>
    <col min="3086" max="3087" width="19.8571428571429" style="149" customWidth="1"/>
    <col min="3088" max="3088" width="14.2857142857143" style="149" customWidth="1"/>
    <col min="3089" max="3089" width="15.7142857142857" style="149" customWidth="1"/>
    <col min="3090" max="3090" width="14.2857142857143" style="149" customWidth="1"/>
    <col min="3091" max="3091" width="16.1428571428571" style="149" customWidth="1"/>
    <col min="3092" max="3092" width="14.2857142857143" style="149" customWidth="1"/>
    <col min="3093" max="3093" width="16.1428571428571" style="149" customWidth="1"/>
    <col min="3094" max="3094" width="15.1428571428571" style="149" customWidth="1"/>
    <col min="3095" max="3095" width="19.1428571428571" style="149" customWidth="1"/>
    <col min="3096" max="3096" width="15.7142857142857" style="149" customWidth="1"/>
    <col min="3097" max="3098" width="19.1428571428571" style="149" customWidth="1"/>
    <col min="3099" max="3099" width="16.8571428571429" style="149" customWidth="1"/>
    <col min="3100" max="3339" width="9.14285714285714" style="149"/>
    <col min="3340" max="3340" width="4.14285714285714" style="149" customWidth="1"/>
    <col min="3341" max="3341" width="27.8571428571429" style="149" customWidth="1"/>
    <col min="3342" max="3343" width="19.8571428571429" style="149" customWidth="1"/>
    <col min="3344" max="3344" width="14.2857142857143" style="149" customWidth="1"/>
    <col min="3345" max="3345" width="15.7142857142857" style="149" customWidth="1"/>
    <col min="3346" max="3346" width="14.2857142857143" style="149" customWidth="1"/>
    <col min="3347" max="3347" width="16.1428571428571" style="149" customWidth="1"/>
    <col min="3348" max="3348" width="14.2857142857143" style="149" customWidth="1"/>
    <col min="3349" max="3349" width="16.1428571428571" style="149" customWidth="1"/>
    <col min="3350" max="3350" width="15.1428571428571" style="149" customWidth="1"/>
    <col min="3351" max="3351" width="19.1428571428571" style="149" customWidth="1"/>
    <col min="3352" max="3352" width="15.7142857142857" style="149" customWidth="1"/>
    <col min="3353" max="3354" width="19.1428571428571" style="149" customWidth="1"/>
    <col min="3355" max="3355" width="16.8571428571429" style="149" customWidth="1"/>
    <col min="3356" max="3595" width="9.14285714285714" style="149"/>
    <col min="3596" max="3596" width="4.14285714285714" style="149" customWidth="1"/>
    <col min="3597" max="3597" width="27.8571428571429" style="149" customWidth="1"/>
    <col min="3598" max="3599" width="19.8571428571429" style="149" customWidth="1"/>
    <col min="3600" max="3600" width="14.2857142857143" style="149" customWidth="1"/>
    <col min="3601" max="3601" width="15.7142857142857" style="149" customWidth="1"/>
    <col min="3602" max="3602" width="14.2857142857143" style="149" customWidth="1"/>
    <col min="3603" max="3603" width="16.1428571428571" style="149" customWidth="1"/>
    <col min="3604" max="3604" width="14.2857142857143" style="149" customWidth="1"/>
    <col min="3605" max="3605" width="16.1428571428571" style="149" customWidth="1"/>
    <col min="3606" max="3606" width="15.1428571428571" style="149" customWidth="1"/>
    <col min="3607" max="3607" width="19.1428571428571" style="149" customWidth="1"/>
    <col min="3608" max="3608" width="15.7142857142857" style="149" customWidth="1"/>
    <col min="3609" max="3610" width="19.1428571428571" style="149" customWidth="1"/>
    <col min="3611" max="3611" width="16.8571428571429" style="149" customWidth="1"/>
    <col min="3612" max="3851" width="9.14285714285714" style="149"/>
    <col min="3852" max="3852" width="4.14285714285714" style="149" customWidth="1"/>
    <col min="3853" max="3853" width="27.8571428571429" style="149" customWidth="1"/>
    <col min="3854" max="3855" width="19.8571428571429" style="149" customWidth="1"/>
    <col min="3856" max="3856" width="14.2857142857143" style="149" customWidth="1"/>
    <col min="3857" max="3857" width="15.7142857142857" style="149" customWidth="1"/>
    <col min="3858" max="3858" width="14.2857142857143" style="149" customWidth="1"/>
    <col min="3859" max="3859" width="16.1428571428571" style="149" customWidth="1"/>
    <col min="3860" max="3860" width="14.2857142857143" style="149" customWidth="1"/>
    <col min="3861" max="3861" width="16.1428571428571" style="149" customWidth="1"/>
    <col min="3862" max="3862" width="15.1428571428571" style="149" customWidth="1"/>
    <col min="3863" max="3863" width="19.1428571428571" style="149" customWidth="1"/>
    <col min="3864" max="3864" width="15.7142857142857" style="149" customWidth="1"/>
    <col min="3865" max="3866" width="19.1428571428571" style="149" customWidth="1"/>
    <col min="3867" max="3867" width="16.8571428571429" style="149" customWidth="1"/>
    <col min="3868" max="4107" width="9.14285714285714" style="149"/>
    <col min="4108" max="4108" width="4.14285714285714" style="149" customWidth="1"/>
    <col min="4109" max="4109" width="27.8571428571429" style="149" customWidth="1"/>
    <col min="4110" max="4111" width="19.8571428571429" style="149" customWidth="1"/>
    <col min="4112" max="4112" width="14.2857142857143" style="149" customWidth="1"/>
    <col min="4113" max="4113" width="15.7142857142857" style="149" customWidth="1"/>
    <col min="4114" max="4114" width="14.2857142857143" style="149" customWidth="1"/>
    <col min="4115" max="4115" width="16.1428571428571" style="149" customWidth="1"/>
    <col min="4116" max="4116" width="14.2857142857143" style="149" customWidth="1"/>
    <col min="4117" max="4117" width="16.1428571428571" style="149" customWidth="1"/>
    <col min="4118" max="4118" width="15.1428571428571" style="149" customWidth="1"/>
    <col min="4119" max="4119" width="19.1428571428571" style="149" customWidth="1"/>
    <col min="4120" max="4120" width="15.7142857142857" style="149" customWidth="1"/>
    <col min="4121" max="4122" width="19.1428571428571" style="149" customWidth="1"/>
    <col min="4123" max="4123" width="16.8571428571429" style="149" customWidth="1"/>
    <col min="4124" max="4363" width="9.14285714285714" style="149"/>
    <col min="4364" max="4364" width="4.14285714285714" style="149" customWidth="1"/>
    <col min="4365" max="4365" width="27.8571428571429" style="149" customWidth="1"/>
    <col min="4366" max="4367" width="19.8571428571429" style="149" customWidth="1"/>
    <col min="4368" max="4368" width="14.2857142857143" style="149" customWidth="1"/>
    <col min="4369" max="4369" width="15.7142857142857" style="149" customWidth="1"/>
    <col min="4370" max="4370" width="14.2857142857143" style="149" customWidth="1"/>
    <col min="4371" max="4371" width="16.1428571428571" style="149" customWidth="1"/>
    <col min="4372" max="4372" width="14.2857142857143" style="149" customWidth="1"/>
    <col min="4373" max="4373" width="16.1428571428571" style="149" customWidth="1"/>
    <col min="4374" max="4374" width="15.1428571428571" style="149" customWidth="1"/>
    <col min="4375" max="4375" width="19.1428571428571" style="149" customWidth="1"/>
    <col min="4376" max="4376" width="15.7142857142857" style="149" customWidth="1"/>
    <col min="4377" max="4378" width="19.1428571428571" style="149" customWidth="1"/>
    <col min="4379" max="4379" width="16.8571428571429" style="149" customWidth="1"/>
    <col min="4380" max="4619" width="9.14285714285714" style="149"/>
    <col min="4620" max="4620" width="4.14285714285714" style="149" customWidth="1"/>
    <col min="4621" max="4621" width="27.8571428571429" style="149" customWidth="1"/>
    <col min="4622" max="4623" width="19.8571428571429" style="149" customWidth="1"/>
    <col min="4624" max="4624" width="14.2857142857143" style="149" customWidth="1"/>
    <col min="4625" max="4625" width="15.7142857142857" style="149" customWidth="1"/>
    <col min="4626" max="4626" width="14.2857142857143" style="149" customWidth="1"/>
    <col min="4627" max="4627" width="16.1428571428571" style="149" customWidth="1"/>
    <col min="4628" max="4628" width="14.2857142857143" style="149" customWidth="1"/>
    <col min="4629" max="4629" width="16.1428571428571" style="149" customWidth="1"/>
    <col min="4630" max="4630" width="15.1428571428571" style="149" customWidth="1"/>
    <col min="4631" max="4631" width="19.1428571428571" style="149" customWidth="1"/>
    <col min="4632" max="4632" width="15.7142857142857" style="149" customWidth="1"/>
    <col min="4633" max="4634" width="19.1428571428571" style="149" customWidth="1"/>
    <col min="4635" max="4635" width="16.8571428571429" style="149" customWidth="1"/>
    <col min="4636" max="4875" width="9.14285714285714" style="149"/>
    <col min="4876" max="4876" width="4.14285714285714" style="149" customWidth="1"/>
    <col min="4877" max="4877" width="27.8571428571429" style="149" customWidth="1"/>
    <col min="4878" max="4879" width="19.8571428571429" style="149" customWidth="1"/>
    <col min="4880" max="4880" width="14.2857142857143" style="149" customWidth="1"/>
    <col min="4881" max="4881" width="15.7142857142857" style="149" customWidth="1"/>
    <col min="4882" max="4882" width="14.2857142857143" style="149" customWidth="1"/>
    <col min="4883" max="4883" width="16.1428571428571" style="149" customWidth="1"/>
    <col min="4884" max="4884" width="14.2857142857143" style="149" customWidth="1"/>
    <col min="4885" max="4885" width="16.1428571428571" style="149" customWidth="1"/>
    <col min="4886" max="4886" width="15.1428571428571" style="149" customWidth="1"/>
    <col min="4887" max="4887" width="19.1428571428571" style="149" customWidth="1"/>
    <col min="4888" max="4888" width="15.7142857142857" style="149" customWidth="1"/>
    <col min="4889" max="4890" width="19.1428571428571" style="149" customWidth="1"/>
    <col min="4891" max="4891" width="16.8571428571429" style="149" customWidth="1"/>
    <col min="4892" max="5131" width="9.14285714285714" style="149"/>
    <col min="5132" max="5132" width="4.14285714285714" style="149" customWidth="1"/>
    <col min="5133" max="5133" width="27.8571428571429" style="149" customWidth="1"/>
    <col min="5134" max="5135" width="19.8571428571429" style="149" customWidth="1"/>
    <col min="5136" max="5136" width="14.2857142857143" style="149" customWidth="1"/>
    <col min="5137" max="5137" width="15.7142857142857" style="149" customWidth="1"/>
    <col min="5138" max="5138" width="14.2857142857143" style="149" customWidth="1"/>
    <col min="5139" max="5139" width="16.1428571428571" style="149" customWidth="1"/>
    <col min="5140" max="5140" width="14.2857142857143" style="149" customWidth="1"/>
    <col min="5141" max="5141" width="16.1428571428571" style="149" customWidth="1"/>
    <col min="5142" max="5142" width="15.1428571428571" style="149" customWidth="1"/>
    <col min="5143" max="5143" width="19.1428571428571" style="149" customWidth="1"/>
    <col min="5144" max="5144" width="15.7142857142857" style="149" customWidth="1"/>
    <col min="5145" max="5146" width="19.1428571428571" style="149" customWidth="1"/>
    <col min="5147" max="5147" width="16.8571428571429" style="149" customWidth="1"/>
    <col min="5148" max="5387" width="9.14285714285714" style="149"/>
    <col min="5388" max="5388" width="4.14285714285714" style="149" customWidth="1"/>
    <col min="5389" max="5389" width="27.8571428571429" style="149" customWidth="1"/>
    <col min="5390" max="5391" width="19.8571428571429" style="149" customWidth="1"/>
    <col min="5392" max="5392" width="14.2857142857143" style="149" customWidth="1"/>
    <col min="5393" max="5393" width="15.7142857142857" style="149" customWidth="1"/>
    <col min="5394" max="5394" width="14.2857142857143" style="149" customWidth="1"/>
    <col min="5395" max="5395" width="16.1428571428571" style="149" customWidth="1"/>
    <col min="5396" max="5396" width="14.2857142857143" style="149" customWidth="1"/>
    <col min="5397" max="5397" width="16.1428571428571" style="149" customWidth="1"/>
    <col min="5398" max="5398" width="15.1428571428571" style="149" customWidth="1"/>
    <col min="5399" max="5399" width="19.1428571428571" style="149" customWidth="1"/>
    <col min="5400" max="5400" width="15.7142857142857" style="149" customWidth="1"/>
    <col min="5401" max="5402" width="19.1428571428571" style="149" customWidth="1"/>
    <col min="5403" max="5403" width="16.8571428571429" style="149" customWidth="1"/>
    <col min="5404" max="5643" width="9.14285714285714" style="149"/>
    <col min="5644" max="5644" width="4.14285714285714" style="149" customWidth="1"/>
    <col min="5645" max="5645" width="27.8571428571429" style="149" customWidth="1"/>
    <col min="5646" max="5647" width="19.8571428571429" style="149" customWidth="1"/>
    <col min="5648" max="5648" width="14.2857142857143" style="149" customWidth="1"/>
    <col min="5649" max="5649" width="15.7142857142857" style="149" customWidth="1"/>
    <col min="5650" max="5650" width="14.2857142857143" style="149" customWidth="1"/>
    <col min="5651" max="5651" width="16.1428571428571" style="149" customWidth="1"/>
    <col min="5652" max="5652" width="14.2857142857143" style="149" customWidth="1"/>
    <col min="5653" max="5653" width="16.1428571428571" style="149" customWidth="1"/>
    <col min="5654" max="5654" width="15.1428571428571" style="149" customWidth="1"/>
    <col min="5655" max="5655" width="19.1428571428571" style="149" customWidth="1"/>
    <col min="5656" max="5656" width="15.7142857142857" style="149" customWidth="1"/>
    <col min="5657" max="5658" width="19.1428571428571" style="149" customWidth="1"/>
    <col min="5659" max="5659" width="16.8571428571429" style="149" customWidth="1"/>
    <col min="5660" max="5899" width="9.14285714285714" style="149"/>
    <col min="5900" max="5900" width="4.14285714285714" style="149" customWidth="1"/>
    <col min="5901" max="5901" width="27.8571428571429" style="149" customWidth="1"/>
    <col min="5902" max="5903" width="19.8571428571429" style="149" customWidth="1"/>
    <col min="5904" max="5904" width="14.2857142857143" style="149" customWidth="1"/>
    <col min="5905" max="5905" width="15.7142857142857" style="149" customWidth="1"/>
    <col min="5906" max="5906" width="14.2857142857143" style="149" customWidth="1"/>
    <col min="5907" max="5907" width="16.1428571428571" style="149" customWidth="1"/>
    <col min="5908" max="5908" width="14.2857142857143" style="149" customWidth="1"/>
    <col min="5909" max="5909" width="16.1428571428571" style="149" customWidth="1"/>
    <col min="5910" max="5910" width="15.1428571428571" style="149" customWidth="1"/>
    <col min="5911" max="5911" width="19.1428571428571" style="149" customWidth="1"/>
    <col min="5912" max="5912" width="15.7142857142857" style="149" customWidth="1"/>
    <col min="5913" max="5914" width="19.1428571428571" style="149" customWidth="1"/>
    <col min="5915" max="5915" width="16.8571428571429" style="149" customWidth="1"/>
    <col min="5916" max="6155" width="9.14285714285714" style="149"/>
    <col min="6156" max="6156" width="4.14285714285714" style="149" customWidth="1"/>
    <col min="6157" max="6157" width="27.8571428571429" style="149" customWidth="1"/>
    <col min="6158" max="6159" width="19.8571428571429" style="149" customWidth="1"/>
    <col min="6160" max="6160" width="14.2857142857143" style="149" customWidth="1"/>
    <col min="6161" max="6161" width="15.7142857142857" style="149" customWidth="1"/>
    <col min="6162" max="6162" width="14.2857142857143" style="149" customWidth="1"/>
    <col min="6163" max="6163" width="16.1428571428571" style="149" customWidth="1"/>
    <col min="6164" max="6164" width="14.2857142857143" style="149" customWidth="1"/>
    <col min="6165" max="6165" width="16.1428571428571" style="149" customWidth="1"/>
    <col min="6166" max="6166" width="15.1428571428571" style="149" customWidth="1"/>
    <col min="6167" max="6167" width="19.1428571428571" style="149" customWidth="1"/>
    <col min="6168" max="6168" width="15.7142857142857" style="149" customWidth="1"/>
    <col min="6169" max="6170" width="19.1428571428571" style="149" customWidth="1"/>
    <col min="6171" max="6171" width="16.8571428571429" style="149" customWidth="1"/>
    <col min="6172" max="6411" width="9.14285714285714" style="149"/>
    <col min="6412" max="6412" width="4.14285714285714" style="149" customWidth="1"/>
    <col min="6413" max="6413" width="27.8571428571429" style="149" customWidth="1"/>
    <col min="6414" max="6415" width="19.8571428571429" style="149" customWidth="1"/>
    <col min="6416" max="6416" width="14.2857142857143" style="149" customWidth="1"/>
    <col min="6417" max="6417" width="15.7142857142857" style="149" customWidth="1"/>
    <col min="6418" max="6418" width="14.2857142857143" style="149" customWidth="1"/>
    <col min="6419" max="6419" width="16.1428571428571" style="149" customWidth="1"/>
    <col min="6420" max="6420" width="14.2857142857143" style="149" customWidth="1"/>
    <col min="6421" max="6421" width="16.1428571428571" style="149" customWidth="1"/>
    <col min="6422" max="6422" width="15.1428571428571" style="149" customWidth="1"/>
    <col min="6423" max="6423" width="19.1428571428571" style="149" customWidth="1"/>
    <col min="6424" max="6424" width="15.7142857142857" style="149" customWidth="1"/>
    <col min="6425" max="6426" width="19.1428571428571" style="149" customWidth="1"/>
    <col min="6427" max="6427" width="16.8571428571429" style="149" customWidth="1"/>
    <col min="6428" max="6667" width="9.14285714285714" style="149"/>
    <col min="6668" max="6668" width="4.14285714285714" style="149" customWidth="1"/>
    <col min="6669" max="6669" width="27.8571428571429" style="149" customWidth="1"/>
    <col min="6670" max="6671" width="19.8571428571429" style="149" customWidth="1"/>
    <col min="6672" max="6672" width="14.2857142857143" style="149" customWidth="1"/>
    <col min="6673" max="6673" width="15.7142857142857" style="149" customWidth="1"/>
    <col min="6674" max="6674" width="14.2857142857143" style="149" customWidth="1"/>
    <col min="6675" max="6675" width="16.1428571428571" style="149" customWidth="1"/>
    <col min="6676" max="6676" width="14.2857142857143" style="149" customWidth="1"/>
    <col min="6677" max="6677" width="16.1428571428571" style="149" customWidth="1"/>
    <col min="6678" max="6678" width="15.1428571428571" style="149" customWidth="1"/>
    <col min="6679" max="6679" width="19.1428571428571" style="149" customWidth="1"/>
    <col min="6680" max="6680" width="15.7142857142857" style="149" customWidth="1"/>
    <col min="6681" max="6682" width="19.1428571428571" style="149" customWidth="1"/>
    <col min="6683" max="6683" width="16.8571428571429" style="149" customWidth="1"/>
    <col min="6684" max="6923" width="9.14285714285714" style="149"/>
    <col min="6924" max="6924" width="4.14285714285714" style="149" customWidth="1"/>
    <col min="6925" max="6925" width="27.8571428571429" style="149" customWidth="1"/>
    <col min="6926" max="6927" width="19.8571428571429" style="149" customWidth="1"/>
    <col min="6928" max="6928" width="14.2857142857143" style="149" customWidth="1"/>
    <col min="6929" max="6929" width="15.7142857142857" style="149" customWidth="1"/>
    <col min="6930" max="6930" width="14.2857142857143" style="149" customWidth="1"/>
    <col min="6931" max="6931" width="16.1428571428571" style="149" customWidth="1"/>
    <col min="6932" max="6932" width="14.2857142857143" style="149" customWidth="1"/>
    <col min="6933" max="6933" width="16.1428571428571" style="149" customWidth="1"/>
    <col min="6934" max="6934" width="15.1428571428571" style="149" customWidth="1"/>
    <col min="6935" max="6935" width="19.1428571428571" style="149" customWidth="1"/>
    <col min="6936" max="6936" width="15.7142857142857" style="149" customWidth="1"/>
    <col min="6937" max="6938" width="19.1428571428571" style="149" customWidth="1"/>
    <col min="6939" max="6939" width="16.8571428571429" style="149" customWidth="1"/>
    <col min="6940" max="7179" width="9.14285714285714" style="149"/>
    <col min="7180" max="7180" width="4.14285714285714" style="149" customWidth="1"/>
    <col min="7181" max="7181" width="27.8571428571429" style="149" customWidth="1"/>
    <col min="7182" max="7183" width="19.8571428571429" style="149" customWidth="1"/>
    <col min="7184" max="7184" width="14.2857142857143" style="149" customWidth="1"/>
    <col min="7185" max="7185" width="15.7142857142857" style="149" customWidth="1"/>
    <col min="7186" max="7186" width="14.2857142857143" style="149" customWidth="1"/>
    <col min="7187" max="7187" width="16.1428571428571" style="149" customWidth="1"/>
    <col min="7188" max="7188" width="14.2857142857143" style="149" customWidth="1"/>
    <col min="7189" max="7189" width="16.1428571428571" style="149" customWidth="1"/>
    <col min="7190" max="7190" width="15.1428571428571" style="149" customWidth="1"/>
    <col min="7191" max="7191" width="19.1428571428571" style="149" customWidth="1"/>
    <col min="7192" max="7192" width="15.7142857142857" style="149" customWidth="1"/>
    <col min="7193" max="7194" width="19.1428571428571" style="149" customWidth="1"/>
    <col min="7195" max="7195" width="16.8571428571429" style="149" customWidth="1"/>
    <col min="7196" max="7435" width="9.14285714285714" style="149"/>
    <col min="7436" max="7436" width="4.14285714285714" style="149" customWidth="1"/>
    <col min="7437" max="7437" width="27.8571428571429" style="149" customWidth="1"/>
    <col min="7438" max="7439" width="19.8571428571429" style="149" customWidth="1"/>
    <col min="7440" max="7440" width="14.2857142857143" style="149" customWidth="1"/>
    <col min="7441" max="7441" width="15.7142857142857" style="149" customWidth="1"/>
    <col min="7442" max="7442" width="14.2857142857143" style="149" customWidth="1"/>
    <col min="7443" max="7443" width="16.1428571428571" style="149" customWidth="1"/>
    <col min="7444" max="7444" width="14.2857142857143" style="149" customWidth="1"/>
    <col min="7445" max="7445" width="16.1428571428571" style="149" customWidth="1"/>
    <col min="7446" max="7446" width="15.1428571428571" style="149" customWidth="1"/>
    <col min="7447" max="7447" width="19.1428571428571" style="149" customWidth="1"/>
    <col min="7448" max="7448" width="15.7142857142857" style="149" customWidth="1"/>
    <col min="7449" max="7450" width="19.1428571428571" style="149" customWidth="1"/>
    <col min="7451" max="7451" width="16.8571428571429" style="149" customWidth="1"/>
    <col min="7452" max="7691" width="9.14285714285714" style="149"/>
    <col min="7692" max="7692" width="4.14285714285714" style="149" customWidth="1"/>
    <col min="7693" max="7693" width="27.8571428571429" style="149" customWidth="1"/>
    <col min="7694" max="7695" width="19.8571428571429" style="149" customWidth="1"/>
    <col min="7696" max="7696" width="14.2857142857143" style="149" customWidth="1"/>
    <col min="7697" max="7697" width="15.7142857142857" style="149" customWidth="1"/>
    <col min="7698" max="7698" width="14.2857142857143" style="149" customWidth="1"/>
    <col min="7699" max="7699" width="16.1428571428571" style="149" customWidth="1"/>
    <col min="7700" max="7700" width="14.2857142857143" style="149" customWidth="1"/>
    <col min="7701" max="7701" width="16.1428571428571" style="149" customWidth="1"/>
    <col min="7702" max="7702" width="15.1428571428571" style="149" customWidth="1"/>
    <col min="7703" max="7703" width="19.1428571428571" style="149" customWidth="1"/>
    <col min="7704" max="7704" width="15.7142857142857" style="149" customWidth="1"/>
    <col min="7705" max="7706" width="19.1428571428571" style="149" customWidth="1"/>
    <col min="7707" max="7707" width="16.8571428571429" style="149" customWidth="1"/>
    <col min="7708" max="7947" width="9.14285714285714" style="149"/>
    <col min="7948" max="7948" width="4.14285714285714" style="149" customWidth="1"/>
    <col min="7949" max="7949" width="27.8571428571429" style="149" customWidth="1"/>
    <col min="7950" max="7951" width="19.8571428571429" style="149" customWidth="1"/>
    <col min="7952" max="7952" width="14.2857142857143" style="149" customWidth="1"/>
    <col min="7953" max="7953" width="15.7142857142857" style="149" customWidth="1"/>
    <col min="7954" max="7954" width="14.2857142857143" style="149" customWidth="1"/>
    <col min="7955" max="7955" width="16.1428571428571" style="149" customWidth="1"/>
    <col min="7956" max="7956" width="14.2857142857143" style="149" customWidth="1"/>
    <col min="7957" max="7957" width="16.1428571428571" style="149" customWidth="1"/>
    <col min="7958" max="7958" width="15.1428571428571" style="149" customWidth="1"/>
    <col min="7959" max="7959" width="19.1428571428571" style="149" customWidth="1"/>
    <col min="7960" max="7960" width="15.7142857142857" style="149" customWidth="1"/>
    <col min="7961" max="7962" width="19.1428571428571" style="149" customWidth="1"/>
    <col min="7963" max="7963" width="16.8571428571429" style="149" customWidth="1"/>
    <col min="7964" max="8203" width="9.14285714285714" style="149"/>
    <col min="8204" max="8204" width="4.14285714285714" style="149" customWidth="1"/>
    <col min="8205" max="8205" width="27.8571428571429" style="149" customWidth="1"/>
    <col min="8206" max="8207" width="19.8571428571429" style="149" customWidth="1"/>
    <col min="8208" max="8208" width="14.2857142857143" style="149" customWidth="1"/>
    <col min="8209" max="8209" width="15.7142857142857" style="149" customWidth="1"/>
    <col min="8210" max="8210" width="14.2857142857143" style="149" customWidth="1"/>
    <col min="8211" max="8211" width="16.1428571428571" style="149" customWidth="1"/>
    <col min="8212" max="8212" width="14.2857142857143" style="149" customWidth="1"/>
    <col min="8213" max="8213" width="16.1428571428571" style="149" customWidth="1"/>
    <col min="8214" max="8214" width="15.1428571428571" style="149" customWidth="1"/>
    <col min="8215" max="8215" width="19.1428571428571" style="149" customWidth="1"/>
    <col min="8216" max="8216" width="15.7142857142857" style="149" customWidth="1"/>
    <col min="8217" max="8218" width="19.1428571428571" style="149" customWidth="1"/>
    <col min="8219" max="8219" width="16.8571428571429" style="149" customWidth="1"/>
    <col min="8220" max="8459" width="9.14285714285714" style="149"/>
    <col min="8460" max="8460" width="4.14285714285714" style="149" customWidth="1"/>
    <col min="8461" max="8461" width="27.8571428571429" style="149" customWidth="1"/>
    <col min="8462" max="8463" width="19.8571428571429" style="149" customWidth="1"/>
    <col min="8464" max="8464" width="14.2857142857143" style="149" customWidth="1"/>
    <col min="8465" max="8465" width="15.7142857142857" style="149" customWidth="1"/>
    <col min="8466" max="8466" width="14.2857142857143" style="149" customWidth="1"/>
    <col min="8467" max="8467" width="16.1428571428571" style="149" customWidth="1"/>
    <col min="8468" max="8468" width="14.2857142857143" style="149" customWidth="1"/>
    <col min="8469" max="8469" width="16.1428571428571" style="149" customWidth="1"/>
    <col min="8470" max="8470" width="15.1428571428571" style="149" customWidth="1"/>
    <col min="8471" max="8471" width="19.1428571428571" style="149" customWidth="1"/>
    <col min="8472" max="8472" width="15.7142857142857" style="149" customWidth="1"/>
    <col min="8473" max="8474" width="19.1428571428571" style="149" customWidth="1"/>
    <col min="8475" max="8475" width="16.8571428571429" style="149" customWidth="1"/>
    <col min="8476" max="8715" width="9.14285714285714" style="149"/>
    <col min="8716" max="8716" width="4.14285714285714" style="149" customWidth="1"/>
    <col min="8717" max="8717" width="27.8571428571429" style="149" customWidth="1"/>
    <col min="8718" max="8719" width="19.8571428571429" style="149" customWidth="1"/>
    <col min="8720" max="8720" width="14.2857142857143" style="149" customWidth="1"/>
    <col min="8721" max="8721" width="15.7142857142857" style="149" customWidth="1"/>
    <col min="8722" max="8722" width="14.2857142857143" style="149" customWidth="1"/>
    <col min="8723" max="8723" width="16.1428571428571" style="149" customWidth="1"/>
    <col min="8724" max="8724" width="14.2857142857143" style="149" customWidth="1"/>
    <col min="8725" max="8725" width="16.1428571428571" style="149" customWidth="1"/>
    <col min="8726" max="8726" width="15.1428571428571" style="149" customWidth="1"/>
    <col min="8727" max="8727" width="19.1428571428571" style="149" customWidth="1"/>
    <col min="8728" max="8728" width="15.7142857142857" style="149" customWidth="1"/>
    <col min="8729" max="8730" width="19.1428571428571" style="149" customWidth="1"/>
    <col min="8731" max="8731" width="16.8571428571429" style="149" customWidth="1"/>
    <col min="8732" max="8971" width="9.14285714285714" style="149"/>
    <col min="8972" max="8972" width="4.14285714285714" style="149" customWidth="1"/>
    <col min="8973" max="8973" width="27.8571428571429" style="149" customWidth="1"/>
    <col min="8974" max="8975" width="19.8571428571429" style="149" customWidth="1"/>
    <col min="8976" max="8976" width="14.2857142857143" style="149" customWidth="1"/>
    <col min="8977" max="8977" width="15.7142857142857" style="149" customWidth="1"/>
    <col min="8978" max="8978" width="14.2857142857143" style="149" customWidth="1"/>
    <col min="8979" max="8979" width="16.1428571428571" style="149" customWidth="1"/>
    <col min="8980" max="8980" width="14.2857142857143" style="149" customWidth="1"/>
    <col min="8981" max="8981" width="16.1428571428571" style="149" customWidth="1"/>
    <col min="8982" max="8982" width="15.1428571428571" style="149" customWidth="1"/>
    <col min="8983" max="8983" width="19.1428571428571" style="149" customWidth="1"/>
    <col min="8984" max="8984" width="15.7142857142857" style="149" customWidth="1"/>
    <col min="8985" max="8986" width="19.1428571428571" style="149" customWidth="1"/>
    <col min="8987" max="8987" width="16.8571428571429" style="149" customWidth="1"/>
    <col min="8988" max="9227" width="9.14285714285714" style="149"/>
    <col min="9228" max="9228" width="4.14285714285714" style="149" customWidth="1"/>
    <col min="9229" max="9229" width="27.8571428571429" style="149" customWidth="1"/>
    <col min="9230" max="9231" width="19.8571428571429" style="149" customWidth="1"/>
    <col min="9232" max="9232" width="14.2857142857143" style="149" customWidth="1"/>
    <col min="9233" max="9233" width="15.7142857142857" style="149" customWidth="1"/>
    <col min="9234" max="9234" width="14.2857142857143" style="149" customWidth="1"/>
    <col min="9235" max="9235" width="16.1428571428571" style="149" customWidth="1"/>
    <col min="9236" max="9236" width="14.2857142857143" style="149" customWidth="1"/>
    <col min="9237" max="9237" width="16.1428571428571" style="149" customWidth="1"/>
    <col min="9238" max="9238" width="15.1428571428571" style="149" customWidth="1"/>
    <col min="9239" max="9239" width="19.1428571428571" style="149" customWidth="1"/>
    <col min="9240" max="9240" width="15.7142857142857" style="149" customWidth="1"/>
    <col min="9241" max="9242" width="19.1428571428571" style="149" customWidth="1"/>
    <col min="9243" max="9243" width="16.8571428571429" style="149" customWidth="1"/>
    <col min="9244" max="9483" width="9.14285714285714" style="149"/>
    <col min="9484" max="9484" width="4.14285714285714" style="149" customWidth="1"/>
    <col min="9485" max="9485" width="27.8571428571429" style="149" customWidth="1"/>
    <col min="9486" max="9487" width="19.8571428571429" style="149" customWidth="1"/>
    <col min="9488" max="9488" width="14.2857142857143" style="149" customWidth="1"/>
    <col min="9489" max="9489" width="15.7142857142857" style="149" customWidth="1"/>
    <col min="9490" max="9490" width="14.2857142857143" style="149" customWidth="1"/>
    <col min="9491" max="9491" width="16.1428571428571" style="149" customWidth="1"/>
    <col min="9492" max="9492" width="14.2857142857143" style="149" customWidth="1"/>
    <col min="9493" max="9493" width="16.1428571428571" style="149" customWidth="1"/>
    <col min="9494" max="9494" width="15.1428571428571" style="149" customWidth="1"/>
    <col min="9495" max="9495" width="19.1428571428571" style="149" customWidth="1"/>
    <col min="9496" max="9496" width="15.7142857142857" style="149" customWidth="1"/>
    <col min="9497" max="9498" width="19.1428571428571" style="149" customWidth="1"/>
    <col min="9499" max="9499" width="16.8571428571429" style="149" customWidth="1"/>
    <col min="9500" max="9739" width="9.14285714285714" style="149"/>
    <col min="9740" max="9740" width="4.14285714285714" style="149" customWidth="1"/>
    <col min="9741" max="9741" width="27.8571428571429" style="149" customWidth="1"/>
    <col min="9742" max="9743" width="19.8571428571429" style="149" customWidth="1"/>
    <col min="9744" max="9744" width="14.2857142857143" style="149" customWidth="1"/>
    <col min="9745" max="9745" width="15.7142857142857" style="149" customWidth="1"/>
    <col min="9746" max="9746" width="14.2857142857143" style="149" customWidth="1"/>
    <col min="9747" max="9747" width="16.1428571428571" style="149" customWidth="1"/>
    <col min="9748" max="9748" width="14.2857142857143" style="149" customWidth="1"/>
    <col min="9749" max="9749" width="16.1428571428571" style="149" customWidth="1"/>
    <col min="9750" max="9750" width="15.1428571428571" style="149" customWidth="1"/>
    <col min="9751" max="9751" width="19.1428571428571" style="149" customWidth="1"/>
    <col min="9752" max="9752" width="15.7142857142857" style="149" customWidth="1"/>
    <col min="9753" max="9754" width="19.1428571428571" style="149" customWidth="1"/>
    <col min="9755" max="9755" width="16.8571428571429" style="149" customWidth="1"/>
    <col min="9756" max="9995" width="9.14285714285714" style="149"/>
    <col min="9996" max="9996" width="4.14285714285714" style="149" customWidth="1"/>
    <col min="9997" max="9997" width="27.8571428571429" style="149" customWidth="1"/>
    <col min="9998" max="9999" width="19.8571428571429" style="149" customWidth="1"/>
    <col min="10000" max="10000" width="14.2857142857143" style="149" customWidth="1"/>
    <col min="10001" max="10001" width="15.7142857142857" style="149" customWidth="1"/>
    <col min="10002" max="10002" width="14.2857142857143" style="149" customWidth="1"/>
    <col min="10003" max="10003" width="16.1428571428571" style="149" customWidth="1"/>
    <col min="10004" max="10004" width="14.2857142857143" style="149" customWidth="1"/>
    <col min="10005" max="10005" width="16.1428571428571" style="149" customWidth="1"/>
    <col min="10006" max="10006" width="15.1428571428571" style="149" customWidth="1"/>
    <col min="10007" max="10007" width="19.1428571428571" style="149" customWidth="1"/>
    <col min="10008" max="10008" width="15.7142857142857" style="149" customWidth="1"/>
    <col min="10009" max="10010" width="19.1428571428571" style="149" customWidth="1"/>
    <col min="10011" max="10011" width="16.8571428571429" style="149" customWidth="1"/>
    <col min="10012" max="10251" width="9.14285714285714" style="149"/>
    <col min="10252" max="10252" width="4.14285714285714" style="149" customWidth="1"/>
    <col min="10253" max="10253" width="27.8571428571429" style="149" customWidth="1"/>
    <col min="10254" max="10255" width="19.8571428571429" style="149" customWidth="1"/>
    <col min="10256" max="10256" width="14.2857142857143" style="149" customWidth="1"/>
    <col min="10257" max="10257" width="15.7142857142857" style="149" customWidth="1"/>
    <col min="10258" max="10258" width="14.2857142857143" style="149" customWidth="1"/>
    <col min="10259" max="10259" width="16.1428571428571" style="149" customWidth="1"/>
    <col min="10260" max="10260" width="14.2857142857143" style="149" customWidth="1"/>
    <col min="10261" max="10261" width="16.1428571428571" style="149" customWidth="1"/>
    <col min="10262" max="10262" width="15.1428571428571" style="149" customWidth="1"/>
    <col min="10263" max="10263" width="19.1428571428571" style="149" customWidth="1"/>
    <col min="10264" max="10264" width="15.7142857142857" style="149" customWidth="1"/>
    <col min="10265" max="10266" width="19.1428571428571" style="149" customWidth="1"/>
    <col min="10267" max="10267" width="16.8571428571429" style="149" customWidth="1"/>
    <col min="10268" max="10507" width="9.14285714285714" style="149"/>
    <col min="10508" max="10508" width="4.14285714285714" style="149" customWidth="1"/>
    <col min="10509" max="10509" width="27.8571428571429" style="149" customWidth="1"/>
    <col min="10510" max="10511" width="19.8571428571429" style="149" customWidth="1"/>
    <col min="10512" max="10512" width="14.2857142857143" style="149" customWidth="1"/>
    <col min="10513" max="10513" width="15.7142857142857" style="149" customWidth="1"/>
    <col min="10514" max="10514" width="14.2857142857143" style="149" customWidth="1"/>
    <col min="10515" max="10515" width="16.1428571428571" style="149" customWidth="1"/>
    <col min="10516" max="10516" width="14.2857142857143" style="149" customWidth="1"/>
    <col min="10517" max="10517" width="16.1428571428571" style="149" customWidth="1"/>
    <col min="10518" max="10518" width="15.1428571428571" style="149" customWidth="1"/>
    <col min="10519" max="10519" width="19.1428571428571" style="149" customWidth="1"/>
    <col min="10520" max="10520" width="15.7142857142857" style="149" customWidth="1"/>
    <col min="10521" max="10522" width="19.1428571428571" style="149" customWidth="1"/>
    <col min="10523" max="10523" width="16.8571428571429" style="149" customWidth="1"/>
    <col min="10524" max="10763" width="9.14285714285714" style="149"/>
    <col min="10764" max="10764" width="4.14285714285714" style="149" customWidth="1"/>
    <col min="10765" max="10765" width="27.8571428571429" style="149" customWidth="1"/>
    <col min="10766" max="10767" width="19.8571428571429" style="149" customWidth="1"/>
    <col min="10768" max="10768" width="14.2857142857143" style="149" customWidth="1"/>
    <col min="10769" max="10769" width="15.7142857142857" style="149" customWidth="1"/>
    <col min="10770" max="10770" width="14.2857142857143" style="149" customWidth="1"/>
    <col min="10771" max="10771" width="16.1428571428571" style="149" customWidth="1"/>
    <col min="10772" max="10772" width="14.2857142857143" style="149" customWidth="1"/>
    <col min="10773" max="10773" width="16.1428571428571" style="149" customWidth="1"/>
    <col min="10774" max="10774" width="15.1428571428571" style="149" customWidth="1"/>
    <col min="10775" max="10775" width="19.1428571428571" style="149" customWidth="1"/>
    <col min="10776" max="10776" width="15.7142857142857" style="149" customWidth="1"/>
    <col min="10777" max="10778" width="19.1428571428571" style="149" customWidth="1"/>
    <col min="10779" max="10779" width="16.8571428571429" style="149" customWidth="1"/>
    <col min="10780" max="11019" width="9.14285714285714" style="149"/>
    <col min="11020" max="11020" width="4.14285714285714" style="149" customWidth="1"/>
    <col min="11021" max="11021" width="27.8571428571429" style="149" customWidth="1"/>
    <col min="11022" max="11023" width="19.8571428571429" style="149" customWidth="1"/>
    <col min="11024" max="11024" width="14.2857142857143" style="149" customWidth="1"/>
    <col min="11025" max="11025" width="15.7142857142857" style="149" customWidth="1"/>
    <col min="11026" max="11026" width="14.2857142857143" style="149" customWidth="1"/>
    <col min="11027" max="11027" width="16.1428571428571" style="149" customWidth="1"/>
    <col min="11028" max="11028" width="14.2857142857143" style="149" customWidth="1"/>
    <col min="11029" max="11029" width="16.1428571428571" style="149" customWidth="1"/>
    <col min="11030" max="11030" width="15.1428571428571" style="149" customWidth="1"/>
    <col min="11031" max="11031" width="19.1428571428571" style="149" customWidth="1"/>
    <col min="11032" max="11032" width="15.7142857142857" style="149" customWidth="1"/>
    <col min="11033" max="11034" width="19.1428571428571" style="149" customWidth="1"/>
    <col min="11035" max="11035" width="16.8571428571429" style="149" customWidth="1"/>
    <col min="11036" max="11275" width="9.14285714285714" style="149"/>
    <col min="11276" max="11276" width="4.14285714285714" style="149" customWidth="1"/>
    <col min="11277" max="11277" width="27.8571428571429" style="149" customWidth="1"/>
    <col min="11278" max="11279" width="19.8571428571429" style="149" customWidth="1"/>
    <col min="11280" max="11280" width="14.2857142857143" style="149" customWidth="1"/>
    <col min="11281" max="11281" width="15.7142857142857" style="149" customWidth="1"/>
    <col min="11282" max="11282" width="14.2857142857143" style="149" customWidth="1"/>
    <col min="11283" max="11283" width="16.1428571428571" style="149" customWidth="1"/>
    <col min="11284" max="11284" width="14.2857142857143" style="149" customWidth="1"/>
    <col min="11285" max="11285" width="16.1428571428571" style="149" customWidth="1"/>
    <col min="11286" max="11286" width="15.1428571428571" style="149" customWidth="1"/>
    <col min="11287" max="11287" width="19.1428571428571" style="149" customWidth="1"/>
    <col min="11288" max="11288" width="15.7142857142857" style="149" customWidth="1"/>
    <col min="11289" max="11290" width="19.1428571428571" style="149" customWidth="1"/>
    <col min="11291" max="11291" width="16.8571428571429" style="149" customWidth="1"/>
    <col min="11292" max="11531" width="9.14285714285714" style="149"/>
    <col min="11532" max="11532" width="4.14285714285714" style="149" customWidth="1"/>
    <col min="11533" max="11533" width="27.8571428571429" style="149" customWidth="1"/>
    <col min="11534" max="11535" width="19.8571428571429" style="149" customWidth="1"/>
    <col min="11536" max="11536" width="14.2857142857143" style="149" customWidth="1"/>
    <col min="11537" max="11537" width="15.7142857142857" style="149" customWidth="1"/>
    <col min="11538" max="11538" width="14.2857142857143" style="149" customWidth="1"/>
    <col min="11539" max="11539" width="16.1428571428571" style="149" customWidth="1"/>
    <col min="11540" max="11540" width="14.2857142857143" style="149" customWidth="1"/>
    <col min="11541" max="11541" width="16.1428571428571" style="149" customWidth="1"/>
    <col min="11542" max="11542" width="15.1428571428571" style="149" customWidth="1"/>
    <col min="11543" max="11543" width="19.1428571428571" style="149" customWidth="1"/>
    <col min="11544" max="11544" width="15.7142857142857" style="149" customWidth="1"/>
    <col min="11545" max="11546" width="19.1428571428571" style="149" customWidth="1"/>
    <col min="11547" max="11547" width="16.8571428571429" style="149" customWidth="1"/>
    <col min="11548" max="11787" width="9.14285714285714" style="149"/>
    <col min="11788" max="11788" width="4.14285714285714" style="149" customWidth="1"/>
    <col min="11789" max="11789" width="27.8571428571429" style="149" customWidth="1"/>
    <col min="11790" max="11791" width="19.8571428571429" style="149" customWidth="1"/>
    <col min="11792" max="11792" width="14.2857142857143" style="149" customWidth="1"/>
    <col min="11793" max="11793" width="15.7142857142857" style="149" customWidth="1"/>
    <col min="11794" max="11794" width="14.2857142857143" style="149" customWidth="1"/>
    <col min="11795" max="11795" width="16.1428571428571" style="149" customWidth="1"/>
    <col min="11796" max="11796" width="14.2857142857143" style="149" customWidth="1"/>
    <col min="11797" max="11797" width="16.1428571428571" style="149" customWidth="1"/>
    <col min="11798" max="11798" width="15.1428571428571" style="149" customWidth="1"/>
    <col min="11799" max="11799" width="19.1428571428571" style="149" customWidth="1"/>
    <col min="11800" max="11800" width="15.7142857142857" style="149" customWidth="1"/>
    <col min="11801" max="11802" width="19.1428571428571" style="149" customWidth="1"/>
    <col min="11803" max="11803" width="16.8571428571429" style="149" customWidth="1"/>
    <col min="11804" max="12043" width="9.14285714285714" style="149"/>
    <col min="12044" max="12044" width="4.14285714285714" style="149" customWidth="1"/>
    <col min="12045" max="12045" width="27.8571428571429" style="149" customWidth="1"/>
    <col min="12046" max="12047" width="19.8571428571429" style="149" customWidth="1"/>
    <col min="12048" max="12048" width="14.2857142857143" style="149" customWidth="1"/>
    <col min="12049" max="12049" width="15.7142857142857" style="149" customWidth="1"/>
    <col min="12050" max="12050" width="14.2857142857143" style="149" customWidth="1"/>
    <col min="12051" max="12051" width="16.1428571428571" style="149" customWidth="1"/>
    <col min="12052" max="12052" width="14.2857142857143" style="149" customWidth="1"/>
    <col min="12053" max="12053" width="16.1428571428571" style="149" customWidth="1"/>
    <col min="12054" max="12054" width="15.1428571428571" style="149" customWidth="1"/>
    <col min="12055" max="12055" width="19.1428571428571" style="149" customWidth="1"/>
    <col min="12056" max="12056" width="15.7142857142857" style="149" customWidth="1"/>
    <col min="12057" max="12058" width="19.1428571428571" style="149" customWidth="1"/>
    <col min="12059" max="12059" width="16.8571428571429" style="149" customWidth="1"/>
    <col min="12060" max="12299" width="9.14285714285714" style="149"/>
    <col min="12300" max="12300" width="4.14285714285714" style="149" customWidth="1"/>
    <col min="12301" max="12301" width="27.8571428571429" style="149" customWidth="1"/>
    <col min="12302" max="12303" width="19.8571428571429" style="149" customWidth="1"/>
    <col min="12304" max="12304" width="14.2857142857143" style="149" customWidth="1"/>
    <col min="12305" max="12305" width="15.7142857142857" style="149" customWidth="1"/>
    <col min="12306" max="12306" width="14.2857142857143" style="149" customWidth="1"/>
    <col min="12307" max="12307" width="16.1428571428571" style="149" customWidth="1"/>
    <col min="12308" max="12308" width="14.2857142857143" style="149" customWidth="1"/>
    <col min="12309" max="12309" width="16.1428571428571" style="149" customWidth="1"/>
    <col min="12310" max="12310" width="15.1428571428571" style="149" customWidth="1"/>
    <col min="12311" max="12311" width="19.1428571428571" style="149" customWidth="1"/>
    <col min="12312" max="12312" width="15.7142857142857" style="149" customWidth="1"/>
    <col min="12313" max="12314" width="19.1428571428571" style="149" customWidth="1"/>
    <col min="12315" max="12315" width="16.8571428571429" style="149" customWidth="1"/>
    <col min="12316" max="12555" width="9.14285714285714" style="149"/>
    <col min="12556" max="12556" width="4.14285714285714" style="149" customWidth="1"/>
    <col min="12557" max="12557" width="27.8571428571429" style="149" customWidth="1"/>
    <col min="12558" max="12559" width="19.8571428571429" style="149" customWidth="1"/>
    <col min="12560" max="12560" width="14.2857142857143" style="149" customWidth="1"/>
    <col min="12561" max="12561" width="15.7142857142857" style="149" customWidth="1"/>
    <col min="12562" max="12562" width="14.2857142857143" style="149" customWidth="1"/>
    <col min="12563" max="12563" width="16.1428571428571" style="149" customWidth="1"/>
    <col min="12564" max="12564" width="14.2857142857143" style="149" customWidth="1"/>
    <col min="12565" max="12565" width="16.1428571428571" style="149" customWidth="1"/>
    <col min="12566" max="12566" width="15.1428571428571" style="149" customWidth="1"/>
    <col min="12567" max="12567" width="19.1428571428571" style="149" customWidth="1"/>
    <col min="12568" max="12568" width="15.7142857142857" style="149" customWidth="1"/>
    <col min="12569" max="12570" width="19.1428571428571" style="149" customWidth="1"/>
    <col min="12571" max="12571" width="16.8571428571429" style="149" customWidth="1"/>
    <col min="12572" max="12811" width="9.14285714285714" style="149"/>
    <col min="12812" max="12812" width="4.14285714285714" style="149" customWidth="1"/>
    <col min="12813" max="12813" width="27.8571428571429" style="149" customWidth="1"/>
    <col min="12814" max="12815" width="19.8571428571429" style="149" customWidth="1"/>
    <col min="12816" max="12816" width="14.2857142857143" style="149" customWidth="1"/>
    <col min="12817" max="12817" width="15.7142857142857" style="149" customWidth="1"/>
    <col min="12818" max="12818" width="14.2857142857143" style="149" customWidth="1"/>
    <col min="12819" max="12819" width="16.1428571428571" style="149" customWidth="1"/>
    <col min="12820" max="12820" width="14.2857142857143" style="149" customWidth="1"/>
    <col min="12821" max="12821" width="16.1428571428571" style="149" customWidth="1"/>
    <col min="12822" max="12822" width="15.1428571428571" style="149" customWidth="1"/>
    <col min="12823" max="12823" width="19.1428571428571" style="149" customWidth="1"/>
    <col min="12824" max="12824" width="15.7142857142857" style="149" customWidth="1"/>
    <col min="12825" max="12826" width="19.1428571428571" style="149" customWidth="1"/>
    <col min="12827" max="12827" width="16.8571428571429" style="149" customWidth="1"/>
    <col min="12828" max="13067" width="9.14285714285714" style="149"/>
    <col min="13068" max="13068" width="4.14285714285714" style="149" customWidth="1"/>
    <col min="13069" max="13069" width="27.8571428571429" style="149" customWidth="1"/>
    <col min="13070" max="13071" width="19.8571428571429" style="149" customWidth="1"/>
    <col min="13072" max="13072" width="14.2857142857143" style="149" customWidth="1"/>
    <col min="13073" max="13073" width="15.7142857142857" style="149" customWidth="1"/>
    <col min="13074" max="13074" width="14.2857142857143" style="149" customWidth="1"/>
    <col min="13075" max="13075" width="16.1428571428571" style="149" customWidth="1"/>
    <col min="13076" max="13076" width="14.2857142857143" style="149" customWidth="1"/>
    <col min="13077" max="13077" width="16.1428571428571" style="149" customWidth="1"/>
    <col min="13078" max="13078" width="15.1428571428571" style="149" customWidth="1"/>
    <col min="13079" max="13079" width="19.1428571428571" style="149" customWidth="1"/>
    <col min="13080" max="13080" width="15.7142857142857" style="149" customWidth="1"/>
    <col min="13081" max="13082" width="19.1428571428571" style="149" customWidth="1"/>
    <col min="13083" max="13083" width="16.8571428571429" style="149" customWidth="1"/>
    <col min="13084" max="13323" width="9.14285714285714" style="149"/>
    <col min="13324" max="13324" width="4.14285714285714" style="149" customWidth="1"/>
    <col min="13325" max="13325" width="27.8571428571429" style="149" customWidth="1"/>
    <col min="13326" max="13327" width="19.8571428571429" style="149" customWidth="1"/>
    <col min="13328" max="13328" width="14.2857142857143" style="149" customWidth="1"/>
    <col min="13329" max="13329" width="15.7142857142857" style="149" customWidth="1"/>
    <col min="13330" max="13330" width="14.2857142857143" style="149" customWidth="1"/>
    <col min="13331" max="13331" width="16.1428571428571" style="149" customWidth="1"/>
    <col min="13332" max="13332" width="14.2857142857143" style="149" customWidth="1"/>
    <col min="13333" max="13333" width="16.1428571428571" style="149" customWidth="1"/>
    <col min="13334" max="13334" width="15.1428571428571" style="149" customWidth="1"/>
    <col min="13335" max="13335" width="19.1428571428571" style="149" customWidth="1"/>
    <col min="13336" max="13336" width="15.7142857142857" style="149" customWidth="1"/>
    <col min="13337" max="13338" width="19.1428571428571" style="149" customWidth="1"/>
    <col min="13339" max="13339" width="16.8571428571429" style="149" customWidth="1"/>
    <col min="13340" max="13579" width="9.14285714285714" style="149"/>
    <col min="13580" max="13580" width="4.14285714285714" style="149" customWidth="1"/>
    <col min="13581" max="13581" width="27.8571428571429" style="149" customWidth="1"/>
    <col min="13582" max="13583" width="19.8571428571429" style="149" customWidth="1"/>
    <col min="13584" max="13584" width="14.2857142857143" style="149" customWidth="1"/>
    <col min="13585" max="13585" width="15.7142857142857" style="149" customWidth="1"/>
    <col min="13586" max="13586" width="14.2857142857143" style="149" customWidth="1"/>
    <col min="13587" max="13587" width="16.1428571428571" style="149" customWidth="1"/>
    <col min="13588" max="13588" width="14.2857142857143" style="149" customWidth="1"/>
    <col min="13589" max="13589" width="16.1428571428571" style="149" customWidth="1"/>
    <col min="13590" max="13590" width="15.1428571428571" style="149" customWidth="1"/>
    <col min="13591" max="13591" width="19.1428571428571" style="149" customWidth="1"/>
    <col min="13592" max="13592" width="15.7142857142857" style="149" customWidth="1"/>
    <col min="13593" max="13594" width="19.1428571428571" style="149" customWidth="1"/>
    <col min="13595" max="13595" width="16.8571428571429" style="149" customWidth="1"/>
    <col min="13596" max="13835" width="9.14285714285714" style="149"/>
    <col min="13836" max="13836" width="4.14285714285714" style="149" customWidth="1"/>
    <col min="13837" max="13837" width="27.8571428571429" style="149" customWidth="1"/>
    <col min="13838" max="13839" width="19.8571428571429" style="149" customWidth="1"/>
    <col min="13840" max="13840" width="14.2857142857143" style="149" customWidth="1"/>
    <col min="13841" max="13841" width="15.7142857142857" style="149" customWidth="1"/>
    <col min="13842" max="13842" width="14.2857142857143" style="149" customWidth="1"/>
    <col min="13843" max="13843" width="16.1428571428571" style="149" customWidth="1"/>
    <col min="13844" max="13844" width="14.2857142857143" style="149" customWidth="1"/>
    <col min="13845" max="13845" width="16.1428571428571" style="149" customWidth="1"/>
    <col min="13846" max="13846" width="15.1428571428571" style="149" customWidth="1"/>
    <col min="13847" max="13847" width="19.1428571428571" style="149" customWidth="1"/>
    <col min="13848" max="13848" width="15.7142857142857" style="149" customWidth="1"/>
    <col min="13849" max="13850" width="19.1428571428571" style="149" customWidth="1"/>
    <col min="13851" max="13851" width="16.8571428571429" style="149" customWidth="1"/>
    <col min="13852" max="14091" width="9.14285714285714" style="149"/>
    <col min="14092" max="14092" width="4.14285714285714" style="149" customWidth="1"/>
    <col min="14093" max="14093" width="27.8571428571429" style="149" customWidth="1"/>
    <col min="14094" max="14095" width="19.8571428571429" style="149" customWidth="1"/>
    <col min="14096" max="14096" width="14.2857142857143" style="149" customWidth="1"/>
    <col min="14097" max="14097" width="15.7142857142857" style="149" customWidth="1"/>
    <col min="14098" max="14098" width="14.2857142857143" style="149" customWidth="1"/>
    <col min="14099" max="14099" width="16.1428571428571" style="149" customWidth="1"/>
    <col min="14100" max="14100" width="14.2857142857143" style="149" customWidth="1"/>
    <col min="14101" max="14101" width="16.1428571428571" style="149" customWidth="1"/>
    <col min="14102" max="14102" width="15.1428571428571" style="149" customWidth="1"/>
    <col min="14103" max="14103" width="19.1428571428571" style="149" customWidth="1"/>
    <col min="14104" max="14104" width="15.7142857142857" style="149" customWidth="1"/>
    <col min="14105" max="14106" width="19.1428571428571" style="149" customWidth="1"/>
    <col min="14107" max="14107" width="16.8571428571429" style="149" customWidth="1"/>
    <col min="14108" max="14347" width="9.14285714285714" style="149"/>
    <col min="14348" max="14348" width="4.14285714285714" style="149" customWidth="1"/>
    <col min="14349" max="14349" width="27.8571428571429" style="149" customWidth="1"/>
    <col min="14350" max="14351" width="19.8571428571429" style="149" customWidth="1"/>
    <col min="14352" max="14352" width="14.2857142857143" style="149" customWidth="1"/>
    <col min="14353" max="14353" width="15.7142857142857" style="149" customWidth="1"/>
    <col min="14354" max="14354" width="14.2857142857143" style="149" customWidth="1"/>
    <col min="14355" max="14355" width="16.1428571428571" style="149" customWidth="1"/>
    <col min="14356" max="14356" width="14.2857142857143" style="149" customWidth="1"/>
    <col min="14357" max="14357" width="16.1428571428571" style="149" customWidth="1"/>
    <col min="14358" max="14358" width="15.1428571428571" style="149" customWidth="1"/>
    <col min="14359" max="14359" width="19.1428571428571" style="149" customWidth="1"/>
    <col min="14360" max="14360" width="15.7142857142857" style="149" customWidth="1"/>
    <col min="14361" max="14362" width="19.1428571428571" style="149" customWidth="1"/>
    <col min="14363" max="14363" width="16.8571428571429" style="149" customWidth="1"/>
    <col min="14364" max="14603" width="9.14285714285714" style="149"/>
    <col min="14604" max="14604" width="4.14285714285714" style="149" customWidth="1"/>
    <col min="14605" max="14605" width="27.8571428571429" style="149" customWidth="1"/>
    <col min="14606" max="14607" width="19.8571428571429" style="149" customWidth="1"/>
    <col min="14608" max="14608" width="14.2857142857143" style="149" customWidth="1"/>
    <col min="14609" max="14609" width="15.7142857142857" style="149" customWidth="1"/>
    <col min="14610" max="14610" width="14.2857142857143" style="149" customWidth="1"/>
    <col min="14611" max="14611" width="16.1428571428571" style="149" customWidth="1"/>
    <col min="14612" max="14612" width="14.2857142857143" style="149" customWidth="1"/>
    <col min="14613" max="14613" width="16.1428571428571" style="149" customWidth="1"/>
    <col min="14614" max="14614" width="15.1428571428571" style="149" customWidth="1"/>
    <col min="14615" max="14615" width="19.1428571428571" style="149" customWidth="1"/>
    <col min="14616" max="14616" width="15.7142857142857" style="149" customWidth="1"/>
    <col min="14617" max="14618" width="19.1428571428571" style="149" customWidth="1"/>
    <col min="14619" max="14619" width="16.8571428571429" style="149" customWidth="1"/>
    <col min="14620" max="14859" width="9.14285714285714" style="149"/>
    <col min="14860" max="14860" width="4.14285714285714" style="149" customWidth="1"/>
    <col min="14861" max="14861" width="27.8571428571429" style="149" customWidth="1"/>
    <col min="14862" max="14863" width="19.8571428571429" style="149" customWidth="1"/>
    <col min="14864" max="14864" width="14.2857142857143" style="149" customWidth="1"/>
    <col min="14865" max="14865" width="15.7142857142857" style="149" customWidth="1"/>
    <col min="14866" max="14866" width="14.2857142857143" style="149" customWidth="1"/>
    <col min="14867" max="14867" width="16.1428571428571" style="149" customWidth="1"/>
    <col min="14868" max="14868" width="14.2857142857143" style="149" customWidth="1"/>
    <col min="14869" max="14869" width="16.1428571428571" style="149" customWidth="1"/>
    <col min="14870" max="14870" width="15.1428571428571" style="149" customWidth="1"/>
    <col min="14871" max="14871" width="19.1428571428571" style="149" customWidth="1"/>
    <col min="14872" max="14872" width="15.7142857142857" style="149" customWidth="1"/>
    <col min="14873" max="14874" width="19.1428571428571" style="149" customWidth="1"/>
    <col min="14875" max="14875" width="16.8571428571429" style="149" customWidth="1"/>
    <col min="14876" max="15115" width="9.14285714285714" style="149"/>
    <col min="15116" max="15116" width="4.14285714285714" style="149" customWidth="1"/>
    <col min="15117" max="15117" width="27.8571428571429" style="149" customWidth="1"/>
    <col min="15118" max="15119" width="19.8571428571429" style="149" customWidth="1"/>
    <col min="15120" max="15120" width="14.2857142857143" style="149" customWidth="1"/>
    <col min="15121" max="15121" width="15.7142857142857" style="149" customWidth="1"/>
    <col min="15122" max="15122" width="14.2857142857143" style="149" customWidth="1"/>
    <col min="15123" max="15123" width="16.1428571428571" style="149" customWidth="1"/>
    <col min="15124" max="15124" width="14.2857142857143" style="149" customWidth="1"/>
    <col min="15125" max="15125" width="16.1428571428571" style="149" customWidth="1"/>
    <col min="15126" max="15126" width="15.1428571428571" style="149" customWidth="1"/>
    <col min="15127" max="15127" width="19.1428571428571" style="149" customWidth="1"/>
    <col min="15128" max="15128" width="15.7142857142857" style="149" customWidth="1"/>
    <col min="15129" max="15130" width="19.1428571428571" style="149" customWidth="1"/>
    <col min="15131" max="15131" width="16.8571428571429" style="149" customWidth="1"/>
    <col min="15132" max="15371" width="9.14285714285714" style="149"/>
    <col min="15372" max="15372" width="4.14285714285714" style="149" customWidth="1"/>
    <col min="15373" max="15373" width="27.8571428571429" style="149" customWidth="1"/>
    <col min="15374" max="15375" width="19.8571428571429" style="149" customWidth="1"/>
    <col min="15376" max="15376" width="14.2857142857143" style="149" customWidth="1"/>
    <col min="15377" max="15377" width="15.7142857142857" style="149" customWidth="1"/>
    <col min="15378" max="15378" width="14.2857142857143" style="149" customWidth="1"/>
    <col min="15379" max="15379" width="16.1428571428571" style="149" customWidth="1"/>
    <col min="15380" max="15380" width="14.2857142857143" style="149" customWidth="1"/>
    <col min="15381" max="15381" width="16.1428571428571" style="149" customWidth="1"/>
    <col min="15382" max="15382" width="15.1428571428571" style="149" customWidth="1"/>
    <col min="15383" max="15383" width="19.1428571428571" style="149" customWidth="1"/>
    <col min="15384" max="15384" width="15.7142857142857" style="149" customWidth="1"/>
    <col min="15385" max="15386" width="19.1428571428571" style="149" customWidth="1"/>
    <col min="15387" max="15387" width="16.8571428571429" style="149" customWidth="1"/>
    <col min="15388" max="15627" width="9.14285714285714" style="149"/>
    <col min="15628" max="15628" width="4.14285714285714" style="149" customWidth="1"/>
    <col min="15629" max="15629" width="27.8571428571429" style="149" customWidth="1"/>
    <col min="15630" max="15631" width="19.8571428571429" style="149" customWidth="1"/>
    <col min="15632" max="15632" width="14.2857142857143" style="149" customWidth="1"/>
    <col min="15633" max="15633" width="15.7142857142857" style="149" customWidth="1"/>
    <col min="15634" max="15634" width="14.2857142857143" style="149" customWidth="1"/>
    <col min="15635" max="15635" width="16.1428571428571" style="149" customWidth="1"/>
    <col min="15636" max="15636" width="14.2857142857143" style="149" customWidth="1"/>
    <col min="15637" max="15637" width="16.1428571428571" style="149" customWidth="1"/>
    <col min="15638" max="15638" width="15.1428571428571" style="149" customWidth="1"/>
    <col min="15639" max="15639" width="19.1428571428571" style="149" customWidth="1"/>
    <col min="15640" max="15640" width="15.7142857142857" style="149" customWidth="1"/>
    <col min="15641" max="15642" width="19.1428571428571" style="149" customWidth="1"/>
    <col min="15643" max="15643" width="16.8571428571429" style="149" customWidth="1"/>
    <col min="15644" max="15883" width="9.14285714285714" style="149"/>
    <col min="15884" max="15884" width="4.14285714285714" style="149" customWidth="1"/>
    <col min="15885" max="15885" width="27.8571428571429" style="149" customWidth="1"/>
    <col min="15886" max="15887" width="19.8571428571429" style="149" customWidth="1"/>
    <col min="15888" max="15888" width="14.2857142857143" style="149" customWidth="1"/>
    <col min="15889" max="15889" width="15.7142857142857" style="149" customWidth="1"/>
    <col min="15890" max="15890" width="14.2857142857143" style="149" customWidth="1"/>
    <col min="15891" max="15891" width="16.1428571428571" style="149" customWidth="1"/>
    <col min="15892" max="15892" width="14.2857142857143" style="149" customWidth="1"/>
    <col min="15893" max="15893" width="16.1428571428571" style="149" customWidth="1"/>
    <col min="15894" max="15894" width="15.1428571428571" style="149" customWidth="1"/>
    <col min="15895" max="15895" width="19.1428571428571" style="149" customWidth="1"/>
    <col min="15896" max="15896" width="15.7142857142857" style="149" customWidth="1"/>
    <col min="15897" max="15898" width="19.1428571428571" style="149" customWidth="1"/>
    <col min="15899" max="15899" width="16.8571428571429" style="149" customWidth="1"/>
    <col min="15900" max="16139" width="9.14285714285714" style="149"/>
    <col min="16140" max="16140" width="4.14285714285714" style="149" customWidth="1"/>
    <col min="16141" max="16141" width="27.8571428571429" style="149" customWidth="1"/>
    <col min="16142" max="16143" width="19.8571428571429" style="149" customWidth="1"/>
    <col min="16144" max="16144" width="14.2857142857143" style="149" customWidth="1"/>
    <col min="16145" max="16145" width="15.7142857142857" style="149" customWidth="1"/>
    <col min="16146" max="16146" width="14.2857142857143" style="149" customWidth="1"/>
    <col min="16147" max="16147" width="16.1428571428571" style="149" customWidth="1"/>
    <col min="16148" max="16148" width="14.2857142857143" style="149" customWidth="1"/>
    <col min="16149" max="16149" width="16.1428571428571" style="149" customWidth="1"/>
    <col min="16150" max="16150" width="15.1428571428571" style="149" customWidth="1"/>
    <col min="16151" max="16151" width="19.1428571428571" style="149" customWidth="1"/>
    <col min="16152" max="16152" width="15.7142857142857" style="149" customWidth="1"/>
    <col min="16153" max="16154" width="19.1428571428571" style="149" customWidth="1"/>
    <col min="16155" max="16155" width="16.8571428571429" style="149" customWidth="1"/>
    <col min="16156" max="16384" width="9.14285714285714" style="149"/>
  </cols>
  <sheetData>
    <row r="1" ht="18.75" spans="1:30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</row>
    <row r="2" ht="18.75" spans="1:30">
      <c r="A2" s="740" t="s">
        <v>1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740"/>
      <c r="AA2" s="740"/>
    </row>
    <row r="3" ht="18.75" spans="1:30">
      <c r="A3" s="741"/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1"/>
      <c r="X3" s="741"/>
      <c r="Y3" s="741"/>
      <c r="Z3" s="741"/>
      <c r="AA3" s="741"/>
    </row>
    <row r="4" ht="15.75" spans="1:30">
      <c r="A4" s="742" t="s">
        <v>2</v>
      </c>
      <c r="B4" s="743" t="s">
        <v>3</v>
      </c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743"/>
      <c r="O4" s="743"/>
      <c r="P4" s="743"/>
      <c r="Q4" s="743"/>
      <c r="R4" s="743"/>
      <c r="S4" s="743"/>
      <c r="T4" s="743"/>
      <c r="U4" s="743"/>
      <c r="V4" s="743"/>
      <c r="W4" s="743"/>
      <c r="X4" s="743"/>
      <c r="Y4" s="743"/>
      <c r="Z4" s="743"/>
      <c r="AA4" s="743"/>
    </row>
    <row r="5" ht="26.25" customHeight="1" spans="1:30">
      <c r="A5" s="744" t="s">
        <v>4</v>
      </c>
      <c r="B5" s="743" t="s">
        <v>5</v>
      </c>
      <c r="C5" s="743"/>
      <c r="D5" s="743"/>
      <c r="E5" s="743"/>
      <c r="F5" s="743"/>
      <c r="G5" s="743"/>
      <c r="H5" s="743"/>
      <c r="I5" s="743"/>
      <c r="J5" s="743"/>
      <c r="K5" s="743"/>
      <c r="L5" s="743"/>
      <c r="M5" s="743"/>
      <c r="N5" s="743"/>
      <c r="O5" s="743"/>
      <c r="P5" s="743"/>
      <c r="Q5" s="743"/>
      <c r="R5" s="743"/>
      <c r="S5" s="743"/>
      <c r="T5" s="743"/>
      <c r="U5" s="743"/>
      <c r="V5" s="743"/>
      <c r="W5" s="743"/>
      <c r="X5" s="743"/>
      <c r="Y5" s="743"/>
      <c r="Z5" s="743"/>
      <c r="AA5" s="743"/>
    </row>
    <row r="6" s="736" customFormat="1" ht="30.75" customHeight="1" spans="1:30">
      <c r="A6" s="745"/>
      <c r="B6" s="746" t="s">
        <v>6</v>
      </c>
      <c r="C6" s="746" t="s">
        <v>7</v>
      </c>
      <c r="D6" s="746" t="s">
        <v>8</v>
      </c>
      <c r="E6" s="746" t="s">
        <v>9</v>
      </c>
      <c r="F6" s="747" t="s">
        <v>10</v>
      </c>
      <c r="G6" s="748"/>
      <c r="H6" s="747" t="s">
        <v>11</v>
      </c>
      <c r="I6" s="749"/>
      <c r="J6" s="748"/>
      <c r="K6" s="747" t="s">
        <v>12</v>
      </c>
      <c r="L6" s="748"/>
      <c r="M6" s="747" t="s">
        <v>13</v>
      </c>
      <c r="N6" s="749"/>
      <c r="O6" s="749"/>
      <c r="P6" s="748"/>
      <c r="Q6" s="750" t="s">
        <v>14</v>
      </c>
      <c r="R6" s="751"/>
      <c r="S6" s="751"/>
      <c r="T6" s="751"/>
      <c r="U6" s="751"/>
      <c r="V6" s="751"/>
      <c r="W6" s="751"/>
      <c r="X6" s="751"/>
      <c r="Y6" s="752"/>
      <c r="Z6" s="746" t="s">
        <v>15</v>
      </c>
      <c r="AA6" s="753" t="s">
        <v>16</v>
      </c>
    </row>
    <row r="7" s="736" customFormat="1" ht="98.25" customHeight="1" spans="1:30">
      <c r="A7" s="754"/>
      <c r="B7" s="755"/>
      <c r="C7" s="755"/>
      <c r="D7" s="755"/>
      <c r="E7" s="755"/>
      <c r="F7" s="756"/>
      <c r="G7" s="757"/>
      <c r="H7" s="756"/>
      <c r="I7" s="758"/>
      <c r="J7" s="757"/>
      <c r="K7" s="756"/>
      <c r="L7" s="757"/>
      <c r="M7" s="756"/>
      <c r="N7" s="758"/>
      <c r="O7" s="758"/>
      <c r="P7" s="757"/>
      <c r="Q7" s="759"/>
      <c r="R7" s="760"/>
      <c r="S7" s="760"/>
      <c r="T7" s="761"/>
      <c r="U7" s="759"/>
      <c r="V7" s="761"/>
      <c r="W7" s="759" t="s">
        <v>17</v>
      </c>
      <c r="X7" s="761"/>
      <c r="Y7" s="761" t="s">
        <v>18</v>
      </c>
      <c r="Z7" s="755"/>
      <c r="AA7" s="762"/>
      <c r="AB7" s="736">
        <v>2022</v>
      </c>
      <c r="AC7" s="736">
        <v>2023</v>
      </c>
      <c r="AD7" s="736">
        <v>2024</v>
      </c>
    </row>
    <row r="8" ht="16.5" spans="1:30">
      <c r="A8" s="763">
        <v>1</v>
      </c>
      <c r="B8" s="764">
        <v>2</v>
      </c>
      <c r="C8" s="765">
        <v>3</v>
      </c>
      <c r="D8" s="764">
        <v>4</v>
      </c>
      <c r="E8" s="765">
        <v>5</v>
      </c>
      <c r="F8" s="766">
        <v>6</v>
      </c>
      <c r="G8" s="767"/>
      <c r="H8" s="768">
        <v>7</v>
      </c>
      <c r="I8" s="769"/>
      <c r="J8" s="770"/>
      <c r="K8" s="766">
        <v>8</v>
      </c>
      <c r="L8" s="767"/>
      <c r="M8" s="768">
        <v>9</v>
      </c>
      <c r="N8" s="769"/>
      <c r="O8" s="769"/>
      <c r="P8" s="770"/>
      <c r="Q8" s="766">
        <v>10</v>
      </c>
      <c r="R8" s="771"/>
      <c r="S8" s="771"/>
      <c r="T8" s="767"/>
      <c r="U8" s="766"/>
      <c r="V8" s="767"/>
      <c r="W8" s="768">
        <v>12</v>
      </c>
      <c r="X8" s="770"/>
      <c r="Y8" s="770">
        <v>13</v>
      </c>
      <c r="Z8" s="765">
        <v>14</v>
      </c>
      <c r="AA8" s="772">
        <v>15</v>
      </c>
    </row>
    <row r="9" ht="18.75" spans="1:30">
      <c r="A9" s="773" t="s">
        <v>19</v>
      </c>
      <c r="B9" s="774">
        <f>B11+B14</f>
        <v>271528193</v>
      </c>
      <c r="C9" s="774">
        <f t="shared" ref="C9" si="0">C11+C14</f>
        <v>12699227</v>
      </c>
      <c r="D9" s="775"/>
      <c r="E9" s="774">
        <f>E11+E14</f>
        <v>258828966</v>
      </c>
      <c r="F9" s="776"/>
      <c r="G9" s="776"/>
      <c r="H9" s="777">
        <f>H11+H14</f>
        <v>354766531.4</v>
      </c>
      <c r="I9" s="778"/>
      <c r="J9" s="779"/>
      <c r="K9" s="780"/>
      <c r="L9" s="781"/>
      <c r="M9" s="782">
        <f>M11+M14</f>
        <v>395555972.65</v>
      </c>
      <c r="N9" s="783"/>
      <c r="O9" s="783"/>
      <c r="P9" s="784"/>
      <c r="Q9" s="785"/>
      <c r="R9" s="786"/>
      <c r="S9" s="786"/>
      <c r="T9" s="787"/>
      <c r="U9" s="774"/>
      <c r="V9" s="774"/>
      <c r="W9" s="782">
        <f>W11+W14</f>
        <v>116779874.41</v>
      </c>
      <c r="X9" s="784"/>
      <c r="Y9" s="788">
        <f>Y11+Y14+0.001</f>
        <v>278776098.24</v>
      </c>
      <c r="Z9" s="789">
        <f>Z11+Z14+0.001</f>
        <v>408255199.65</v>
      </c>
      <c r="AA9" s="790">
        <f>AA11+AA14+0.001</f>
        <v>395555972.65</v>
      </c>
      <c r="AB9" s="791">
        <f>(U9+C9)/Z9</f>
        <v>0.031</v>
      </c>
      <c r="AC9" s="791">
        <f>(C9+U9+W9)/Z9</f>
        <v>0.317</v>
      </c>
      <c r="AD9" s="791">
        <f>(C9+Y9+U9+W9)/Z9</f>
        <v>1</v>
      </c>
    </row>
    <row r="10" ht="16.5" spans="1:30">
      <c r="A10" s="792" t="s">
        <v>20</v>
      </c>
      <c r="B10" s="793"/>
      <c r="C10" s="793"/>
      <c r="D10" s="794"/>
      <c r="E10" s="793"/>
      <c r="F10" s="795"/>
      <c r="G10" s="795"/>
      <c r="H10" s="796"/>
      <c r="I10" s="797"/>
      <c r="J10" s="798"/>
      <c r="K10" s="795"/>
      <c r="L10" s="795"/>
      <c r="M10" s="796"/>
      <c r="N10" s="797"/>
      <c r="O10" s="797"/>
      <c r="P10" s="798"/>
      <c r="Q10" s="799"/>
      <c r="R10" s="799"/>
      <c r="S10" s="799"/>
      <c r="T10" s="799"/>
      <c r="U10" s="800"/>
      <c r="V10" s="800"/>
      <c r="W10" s="801"/>
      <c r="X10" s="801"/>
      <c r="Y10" s="801"/>
      <c r="Z10" s="793"/>
      <c r="AA10" s="802"/>
    </row>
    <row r="11" ht="18.75" spans="1:30">
      <c r="A11" s="803" t="s">
        <v>21</v>
      </c>
      <c r="B11" s="804">
        <f>B12+B13</f>
        <v>17942395</v>
      </c>
      <c r="C11" s="804">
        <f t="shared" ref="C11:AA11" si="1">C12+C13</f>
        <v>12699227</v>
      </c>
      <c r="D11" s="799"/>
      <c r="E11" s="804">
        <f>B11-C11</f>
        <v>5243168</v>
      </c>
      <c r="F11" s="805">
        <f>F15</f>
        <v>1.399</v>
      </c>
      <c r="G11" s="805"/>
      <c r="H11" s="806"/>
      <c r="I11" s="807"/>
      <c r="J11" s="808"/>
      <c r="K11" s="809"/>
      <c r="L11" s="809"/>
      <c r="M11" s="810">
        <f>SUM(M12:P13)</f>
        <v>14050687.78</v>
      </c>
      <c r="N11" s="811"/>
      <c r="O11" s="811"/>
      <c r="P11" s="812"/>
      <c r="Q11" s="799"/>
      <c r="R11" s="799"/>
      <c r="S11" s="799"/>
      <c r="T11" s="799"/>
      <c r="U11" s="805"/>
      <c r="V11" s="805"/>
      <c r="W11" s="810">
        <f>W12+W13</f>
        <v>2328288.95</v>
      </c>
      <c r="X11" s="812"/>
      <c r="Y11" s="812">
        <f>Y12</f>
        <v>11722398.83</v>
      </c>
      <c r="Z11" s="813">
        <f>Z12+Z13</f>
        <v>26749914.78</v>
      </c>
      <c r="AA11" s="814">
        <f t="shared" si="1"/>
        <v>14050687.78</v>
      </c>
    </row>
    <row r="12" ht="18.75" spans="1:30">
      <c r="A12" s="815" t="s">
        <v>22</v>
      </c>
      <c r="B12" s="813">
        <f>Затраты!J11*1000</f>
        <v>6243145</v>
      </c>
      <c r="C12" s="813">
        <f>Затраты!B11*1000</f>
        <v>999977</v>
      </c>
      <c r="D12" s="816"/>
      <c r="E12" s="813">
        <f>B12-C12</f>
        <v>5243168</v>
      </c>
      <c r="F12" s="817"/>
      <c r="G12" s="817"/>
      <c r="H12" s="806"/>
      <c r="I12" s="807"/>
      <c r="J12" s="808"/>
      <c r="K12" s="817"/>
      <c r="L12" s="817"/>
      <c r="M12" s="806">
        <f>U12+W12+Y12</f>
        <v>14050687.78</v>
      </c>
      <c r="N12" s="807"/>
      <c r="O12" s="807"/>
      <c r="P12" s="808"/>
      <c r="Q12" s="816"/>
      <c r="R12" s="816"/>
      <c r="S12" s="816"/>
      <c r="T12" s="816"/>
      <c r="U12" s="817"/>
      <c r="V12" s="817"/>
      <c r="W12" s="806">
        <f>Затраты!E10*Справка!F15*Справка!K15*1000</f>
        <v>2328288.95</v>
      </c>
      <c r="X12" s="808"/>
      <c r="Y12" s="808">
        <f>Затраты!F10*Справка!F15*Справка!K15*1000</f>
        <v>11722398.83</v>
      </c>
      <c r="Z12" s="813">
        <f>M12+C12</f>
        <v>15050664.78</v>
      </c>
      <c r="AA12" s="818">
        <f>M12</f>
        <v>14050687.78</v>
      </c>
    </row>
    <row r="13" ht="18.75" spans="1:30">
      <c r="A13" s="815" t="s">
        <v>23</v>
      </c>
      <c r="B13" s="813">
        <f>Затраты!I22*1000</f>
        <v>11699250</v>
      </c>
      <c r="C13" s="813">
        <f>Затраты!B22*1000</f>
        <v>11699250</v>
      </c>
      <c r="D13" s="816"/>
      <c r="E13" s="804">
        <f t="shared" ref="E13" si="2">B13-C13</f>
        <v>0</v>
      </c>
      <c r="F13" s="819"/>
      <c r="G13" s="819"/>
      <c r="H13" s="806"/>
      <c r="I13" s="807"/>
      <c r="J13" s="808"/>
      <c r="K13" s="805"/>
      <c r="L13" s="805"/>
      <c r="M13" s="806"/>
      <c r="N13" s="807"/>
      <c r="O13" s="807"/>
      <c r="P13" s="808"/>
      <c r="Q13" s="816"/>
      <c r="R13" s="816"/>
      <c r="S13" s="816"/>
      <c r="T13" s="816"/>
      <c r="U13" s="817"/>
      <c r="V13" s="817"/>
      <c r="W13" s="820"/>
      <c r="X13" s="821"/>
      <c r="Y13" s="821"/>
      <c r="Z13" s="813">
        <f>M13+C13</f>
        <v>11699250</v>
      </c>
      <c r="AA13" s="818">
        <f>E13</f>
        <v>0</v>
      </c>
      <c r="AB13" s="822">
        <f>Z9-C9</f>
        <v>395555972.65</v>
      </c>
    </row>
    <row r="14" ht="18.75" spans="1:30">
      <c r="A14" s="803" t="s">
        <v>24</v>
      </c>
      <c r="B14" s="804">
        <f t="shared" ref="B14" si="3">B15+B16</f>
        <v>253585798</v>
      </c>
      <c r="C14" s="804"/>
      <c r="D14" s="799"/>
      <c r="E14" s="804">
        <f>E15+E16</f>
        <v>253585798</v>
      </c>
      <c r="F14" s="819"/>
      <c r="G14" s="819"/>
      <c r="H14" s="810">
        <f>SUM(H15:J16)</f>
        <v>354766531.4</v>
      </c>
      <c r="I14" s="811"/>
      <c r="J14" s="812"/>
      <c r="K14" s="805"/>
      <c r="L14" s="805"/>
      <c r="M14" s="810">
        <f>SUM(M15:P16)</f>
        <v>381505284.87</v>
      </c>
      <c r="N14" s="811"/>
      <c r="O14" s="811"/>
      <c r="P14" s="812"/>
      <c r="Q14" s="804"/>
      <c r="R14" s="804"/>
      <c r="S14" s="804"/>
      <c r="T14" s="804"/>
      <c r="U14" s="804"/>
      <c r="V14" s="804"/>
      <c r="W14" s="810">
        <f>W15+W16</f>
        <v>114451585.46</v>
      </c>
      <c r="X14" s="812"/>
      <c r="Y14" s="812">
        <f>Y15</f>
        <v>267053699.41</v>
      </c>
      <c r="Z14" s="813">
        <f>Z15+Z16</f>
        <v>381505284.87</v>
      </c>
      <c r="AA14" s="814">
        <f>AA15+AA16</f>
        <v>381505284.87</v>
      </c>
    </row>
    <row r="15" ht="18.75" spans="1:30">
      <c r="A15" s="815" t="s">
        <v>22</v>
      </c>
      <c r="B15" s="813">
        <f>Затраты!J26*1000</f>
        <v>253585798</v>
      </c>
      <c r="C15" s="813"/>
      <c r="D15" s="816"/>
      <c r="E15" s="813">
        <f>B15-C15-D15</f>
        <v>253585798</v>
      </c>
      <c r="F15" s="817">
        <f>C41</f>
        <v>1.399</v>
      </c>
      <c r="G15" s="817"/>
      <c r="H15" s="806">
        <f>E15*F15</f>
        <v>354766531.4</v>
      </c>
      <c r="I15" s="807"/>
      <c r="J15" s="808"/>
      <c r="K15" s="817">
        <f>W56</f>
        <v>1.07537</v>
      </c>
      <c r="L15" s="817"/>
      <c r="M15" s="806">
        <f>H15*K15</f>
        <v>381505284.87</v>
      </c>
      <c r="N15" s="807"/>
      <c r="O15" s="807"/>
      <c r="P15" s="808"/>
      <c r="Q15" s="813"/>
      <c r="R15" s="813"/>
      <c r="S15" s="813"/>
      <c r="T15" s="813"/>
      <c r="U15" s="813"/>
      <c r="V15" s="813"/>
      <c r="W15" s="806">
        <f>Затраты!E26*1000*Справка!K15*Справка!F15</f>
        <v>114451585.46</v>
      </c>
      <c r="X15" s="808"/>
      <c r="Y15" s="808">
        <f>Затраты!F26*Справка!F15*Справка!K15*1000</f>
        <v>267053699.41</v>
      </c>
      <c r="Z15" s="813">
        <f>M15+C15</f>
        <v>381505284.87</v>
      </c>
      <c r="AA15" s="818">
        <f>M15</f>
        <v>381505284.87</v>
      </c>
    </row>
    <row r="16" ht="19.5" spans="1:30">
      <c r="A16" s="823" t="s">
        <v>23</v>
      </c>
      <c r="B16" s="824">
        <v>0</v>
      </c>
      <c r="C16" s="824"/>
      <c r="D16" s="824"/>
      <c r="E16" s="824"/>
      <c r="F16" s="825"/>
      <c r="G16" s="825"/>
      <c r="H16" s="826"/>
      <c r="I16" s="827"/>
      <c r="J16" s="828"/>
      <c r="K16" s="826"/>
      <c r="L16" s="828"/>
      <c r="M16" s="829"/>
      <c r="N16" s="830"/>
      <c r="O16" s="830"/>
      <c r="P16" s="831"/>
      <c r="Q16" s="832"/>
      <c r="R16" s="832"/>
      <c r="S16" s="832"/>
      <c r="T16" s="832"/>
      <c r="U16" s="829"/>
      <c r="V16" s="831"/>
      <c r="W16" s="829"/>
      <c r="X16" s="831"/>
      <c r="Y16" s="831"/>
      <c r="Z16" s="824"/>
      <c r="AA16" s="833"/>
      <c r="AB16" s="822"/>
    </row>
    <row r="17" ht="15.75" spans="1:37">
      <c r="A17" s="94" t="s">
        <v>25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9" ht="16.5" spans="1:37">
      <c r="A19" s="737" t="s">
        <v>26</v>
      </c>
      <c r="B19" s="834" t="s">
        <v>27</v>
      </c>
      <c r="C19" s="835"/>
      <c r="X19" s="836" t="s">
        <v>28</v>
      </c>
      <c r="Y19" s="836"/>
      <c r="Z19" s="836"/>
      <c r="AA19" s="837">
        <f>AA14*0.3</f>
        <v>114451585.46</v>
      </c>
    </row>
    <row r="20" s="737" customFormat="1" ht="16.5" spans="1:37">
      <c r="A20" s="835" t="s">
        <v>29</v>
      </c>
      <c r="B20" s="835"/>
      <c r="Z20" s="838"/>
      <c r="AA20" s="839"/>
    </row>
    <row r="21" s="737" customFormat="1" ht="16.5" spans="1:37">
      <c r="A21" s="835" t="s">
        <v>30</v>
      </c>
      <c r="B21" s="835"/>
      <c r="Z21" s="838"/>
      <c r="AA21" s="839"/>
    </row>
    <row r="22" s="737" customFormat="1" ht="15.75" spans="1:37">
      <c r="A22" s="835"/>
      <c r="B22" s="835"/>
      <c r="Z22" s="840"/>
      <c r="AA22" s="841"/>
    </row>
    <row r="23" s="737" customFormat="1" ht="36" customHeight="1" spans="1:37">
      <c r="A23" s="842" t="s">
        <v>31</v>
      </c>
      <c r="B23" s="842"/>
      <c r="C23" s="842"/>
      <c r="D23" s="843"/>
      <c r="E23" s="844"/>
      <c r="F23" s="844"/>
      <c r="G23" s="844"/>
      <c r="H23" s="844"/>
      <c r="I23" s="844"/>
      <c r="J23" s="844"/>
      <c r="K23" s="844"/>
      <c r="L23" s="844"/>
      <c r="M23" s="844"/>
      <c r="N23" s="844"/>
      <c r="O23" s="844"/>
      <c r="P23" s="844"/>
      <c r="Q23" s="844"/>
      <c r="R23" s="844"/>
      <c r="S23" s="844"/>
      <c r="T23" s="844"/>
      <c r="U23" s="844"/>
      <c r="V23" s="844"/>
      <c r="W23" s="844"/>
      <c r="X23" s="844"/>
      <c r="Y23" s="844"/>
      <c r="Z23" s="845"/>
      <c r="AA23" s="846"/>
    </row>
    <row r="24" s="737" customFormat="1" ht="15.75" spans="1:37">
      <c r="A24" s="68" t="s">
        <v>32</v>
      </c>
      <c r="B24" s="68">
        <v>108.6</v>
      </c>
      <c r="C24" s="69">
        <f>B24/100</f>
        <v>1.086</v>
      </c>
      <c r="D24" s="843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845"/>
      <c r="AA24" s="844"/>
    </row>
    <row r="25" ht="15.75" customHeight="1" spans="1:37">
      <c r="A25" s="68" t="s">
        <v>33</v>
      </c>
      <c r="B25" s="68">
        <v>109.53</v>
      </c>
      <c r="C25" s="69">
        <f t="shared" ref="C25:C38" si="4">B25/100</f>
        <v>1.0953</v>
      </c>
      <c r="D25" s="94"/>
      <c r="E25" s="80"/>
      <c r="F25" s="4"/>
      <c r="G25" s="4"/>
      <c r="H25" s="4"/>
      <c r="I25" s="83"/>
      <c r="J25" s="83"/>
      <c r="K25" s="91"/>
      <c r="L25" s="847"/>
      <c r="M25" s="848"/>
      <c r="N25" s="612"/>
      <c r="O25" s="849"/>
      <c r="P25" s="849"/>
      <c r="AA25" s="94"/>
      <c r="AC25" s="613" t="s">
        <v>34</v>
      </c>
      <c r="AD25" s="605">
        <v>1.082</v>
      </c>
    </row>
    <row r="26" ht="15.75" customHeight="1" spans="1:37">
      <c r="A26" s="68" t="s">
        <v>35</v>
      </c>
      <c r="B26" s="68">
        <v>106.56</v>
      </c>
      <c r="C26" s="69">
        <f t="shared" si="4"/>
        <v>1.0656</v>
      </c>
      <c r="D26" s="94"/>
      <c r="E26" s="80"/>
      <c r="F26" s="81"/>
      <c r="G26" s="89"/>
      <c r="H26" s="89"/>
      <c r="I26" s="83"/>
      <c r="J26" s="83"/>
      <c r="K26" s="91"/>
      <c r="L26" s="847"/>
      <c r="M26" s="850"/>
      <c r="N26" s="612"/>
      <c r="O26" s="849"/>
      <c r="P26" s="849"/>
      <c r="Q26" s="851"/>
      <c r="R26" s="851"/>
      <c r="S26" s="852"/>
      <c r="T26" s="600"/>
      <c r="U26" s="600"/>
      <c r="V26" s="600"/>
      <c r="AA26" s="844"/>
      <c r="AB26" s="844"/>
      <c r="AC26" s="613"/>
      <c r="AD26" s="605"/>
      <c r="AE26" s="844"/>
      <c r="AF26" s="844"/>
      <c r="AG26" s="844"/>
      <c r="AH26" s="844"/>
      <c r="AI26" s="844"/>
      <c r="AJ26" s="844"/>
      <c r="AK26" s="844"/>
    </row>
    <row r="27" ht="15.75" customHeight="1" spans="1:37">
      <c r="A27" s="853">
        <v>45748</v>
      </c>
      <c r="B27" s="68">
        <v>98.08</v>
      </c>
      <c r="C27" s="69">
        <f t="shared" si="4"/>
        <v>0.9808</v>
      </c>
      <c r="D27" s="94"/>
      <c r="E27" s="80"/>
      <c r="F27" s="81"/>
      <c r="G27" s="89"/>
      <c r="H27" s="89"/>
      <c r="I27" s="83"/>
      <c r="J27" s="83"/>
      <c r="K27" s="91"/>
      <c r="L27" s="847"/>
      <c r="M27" s="850"/>
      <c r="N27" s="612"/>
      <c r="O27" s="849"/>
      <c r="P27" s="849"/>
      <c r="Q27" s="852"/>
      <c r="R27" s="852"/>
      <c r="S27" s="852"/>
      <c r="T27" s="600"/>
      <c r="U27" s="600"/>
      <c r="V27" s="600"/>
      <c r="AA27" s="844"/>
      <c r="AB27" s="844"/>
      <c r="AC27" s="613"/>
      <c r="AD27" s="605"/>
      <c r="AE27" s="844"/>
      <c r="AF27" s="844"/>
      <c r="AG27" s="844"/>
      <c r="AH27" s="844"/>
      <c r="AI27" s="844"/>
      <c r="AJ27" s="844"/>
      <c r="AK27" s="844"/>
    </row>
    <row r="28" ht="15.75" customHeight="1" spans="1:37">
      <c r="A28" s="853">
        <v>45778</v>
      </c>
      <c r="B28" s="68">
        <v>101.17</v>
      </c>
      <c r="C28" s="69">
        <f t="shared" si="4"/>
        <v>1.0117</v>
      </c>
      <c r="D28" s="94"/>
      <c r="E28" s="80"/>
      <c r="F28" s="81"/>
      <c r="G28" s="89"/>
      <c r="H28" s="89"/>
      <c r="I28" s="83"/>
      <c r="J28" s="83"/>
      <c r="K28" s="91"/>
      <c r="L28" s="847"/>
      <c r="M28" s="850"/>
      <c r="N28" s="612"/>
      <c r="O28" s="849"/>
      <c r="P28" s="849"/>
      <c r="Q28" s="852"/>
      <c r="R28" s="852"/>
      <c r="S28" s="852"/>
      <c r="T28" s="600"/>
      <c r="U28" s="600"/>
      <c r="V28" s="600"/>
      <c r="AA28" s="844"/>
      <c r="AB28" s="844"/>
      <c r="AC28" s="613" t="s">
        <v>36</v>
      </c>
      <c r="AD28" s="605">
        <v>1.078</v>
      </c>
      <c r="AE28" s="844"/>
      <c r="AF28" s="844"/>
      <c r="AG28" s="844"/>
      <c r="AH28" s="844"/>
      <c r="AI28" s="844"/>
      <c r="AJ28" s="844"/>
      <c r="AK28" s="844"/>
    </row>
    <row r="29" ht="15.75" customHeight="1" spans="1:37">
      <c r="A29" s="853">
        <v>45809</v>
      </c>
      <c r="B29" s="68">
        <v>103.19</v>
      </c>
      <c r="C29" s="69">
        <f t="shared" si="4"/>
        <v>1.0319</v>
      </c>
      <c r="D29" s="94"/>
      <c r="E29" s="80"/>
      <c r="F29" s="81"/>
      <c r="G29" s="89"/>
      <c r="H29" s="89"/>
      <c r="I29" s="83"/>
      <c r="J29" s="83"/>
      <c r="K29" s="91"/>
      <c r="L29" s="847"/>
      <c r="M29" s="850"/>
      <c r="N29" s="612"/>
      <c r="O29" s="849"/>
      <c r="P29" s="849"/>
      <c r="Q29" s="852"/>
      <c r="R29" s="852"/>
      <c r="S29" s="852"/>
      <c r="T29" s="600"/>
      <c r="U29" s="600"/>
      <c r="V29" s="600"/>
      <c r="AA29" s="844"/>
      <c r="AB29" s="844"/>
      <c r="AC29" s="613"/>
      <c r="AD29" s="605"/>
      <c r="AE29" s="844"/>
      <c r="AF29" s="844"/>
      <c r="AG29" s="844"/>
      <c r="AH29" s="844"/>
      <c r="AI29" s="844"/>
      <c r="AJ29" s="844"/>
      <c r="AK29" s="844"/>
    </row>
    <row r="30" ht="15.75" customHeight="1" spans="1:37">
      <c r="A30" s="853">
        <v>45839</v>
      </c>
      <c r="B30" s="68">
        <v>100.64</v>
      </c>
      <c r="C30" s="69">
        <f t="shared" si="4"/>
        <v>1.0064</v>
      </c>
      <c r="D30" s="94"/>
      <c r="E30" s="80"/>
      <c r="F30" s="81"/>
      <c r="G30" s="89"/>
      <c r="H30" s="89"/>
      <c r="I30" s="83"/>
      <c r="J30" s="83"/>
      <c r="K30" s="91"/>
      <c r="L30" s="847"/>
      <c r="M30" s="850"/>
      <c r="N30" s="612"/>
      <c r="O30" s="849"/>
      <c r="P30" s="849"/>
      <c r="Q30" s="852"/>
      <c r="R30" s="852"/>
      <c r="S30" s="852"/>
      <c r="T30" s="600"/>
      <c r="U30" s="600"/>
      <c r="V30" s="600"/>
      <c r="AA30" s="844"/>
      <c r="AB30" s="844"/>
      <c r="AC30" s="613"/>
      <c r="AD30" s="605"/>
      <c r="AE30" s="844"/>
      <c r="AF30" s="844"/>
      <c r="AG30" s="844"/>
      <c r="AH30" s="844"/>
      <c r="AI30" s="844"/>
      <c r="AJ30" s="844"/>
      <c r="AK30" s="844"/>
    </row>
    <row r="31" ht="15.75" customHeight="1" spans="1:37">
      <c r="A31" s="853">
        <v>45870</v>
      </c>
      <c r="B31" s="68">
        <v>100.15</v>
      </c>
      <c r="C31" s="69">
        <f t="shared" si="4"/>
        <v>1.0015</v>
      </c>
      <c r="D31" s="94"/>
      <c r="E31" s="80"/>
      <c r="F31" s="81"/>
      <c r="G31" s="89"/>
      <c r="H31" s="89"/>
      <c r="I31" s="83"/>
      <c r="J31" s="83"/>
      <c r="K31" s="91"/>
      <c r="L31" s="847"/>
      <c r="M31" s="850"/>
      <c r="N31" s="612"/>
      <c r="O31" s="849"/>
      <c r="P31" s="849"/>
      <c r="Q31" s="852"/>
      <c r="R31" s="852"/>
      <c r="S31" s="852"/>
      <c r="T31" s="600"/>
      <c r="U31" s="600"/>
      <c r="V31" s="600"/>
      <c r="AA31" s="844"/>
      <c r="AB31" s="844"/>
      <c r="AC31" s="613"/>
      <c r="AD31" s="605"/>
      <c r="AE31" s="844"/>
      <c r="AF31" s="844"/>
      <c r="AG31" s="844"/>
      <c r="AH31" s="844"/>
      <c r="AI31" s="844"/>
      <c r="AJ31" s="844"/>
      <c r="AK31" s="844"/>
    </row>
    <row r="32" ht="15.75" customHeight="1" spans="1:37">
      <c r="A32" s="853">
        <v>45901</v>
      </c>
      <c r="B32" s="68">
        <v>102.06</v>
      </c>
      <c r="C32" s="69">
        <f t="shared" si="4"/>
        <v>1.0206</v>
      </c>
      <c r="D32" s="94"/>
      <c r="E32" s="80"/>
      <c r="F32" s="81"/>
      <c r="G32" s="89"/>
      <c r="H32" s="89"/>
      <c r="I32" s="83"/>
      <c r="J32" s="83"/>
      <c r="K32" s="91"/>
      <c r="L32" s="847"/>
      <c r="M32" s="850"/>
      <c r="N32" s="612"/>
      <c r="O32" s="849"/>
      <c r="P32" s="849"/>
      <c r="Q32" s="852"/>
      <c r="R32" s="852"/>
      <c r="S32" s="852"/>
      <c r="T32" s="600"/>
      <c r="U32" s="600"/>
      <c r="V32" s="600"/>
      <c r="AA32" s="844"/>
      <c r="AB32" s="844"/>
      <c r="AC32" s="613"/>
      <c r="AD32" s="605"/>
      <c r="AE32" s="844"/>
      <c r="AF32" s="844"/>
      <c r="AG32" s="844"/>
      <c r="AH32" s="844"/>
      <c r="AI32" s="844"/>
      <c r="AJ32" s="844"/>
      <c r="AK32" s="844"/>
    </row>
    <row r="33" ht="15.75" customHeight="1" spans="1:37">
      <c r="A33" s="853">
        <v>45931</v>
      </c>
      <c r="B33" s="68">
        <v>100.26</v>
      </c>
      <c r="C33" s="69">
        <f t="shared" si="4"/>
        <v>1.0026</v>
      </c>
      <c r="D33" s="94"/>
      <c r="E33" s="80"/>
      <c r="F33" s="81"/>
      <c r="G33" s="89"/>
      <c r="H33" s="89"/>
      <c r="I33" s="83"/>
      <c r="J33" s="83"/>
      <c r="K33" s="91"/>
      <c r="L33" s="847"/>
      <c r="M33" s="850"/>
      <c r="N33" s="612"/>
      <c r="O33" s="849"/>
      <c r="P33" s="849"/>
      <c r="Q33" s="852"/>
      <c r="R33" s="852"/>
      <c r="S33" s="852"/>
      <c r="T33" s="600"/>
      <c r="U33" s="600"/>
      <c r="V33" s="600"/>
      <c r="AA33" s="844"/>
      <c r="AB33" s="844"/>
      <c r="AC33" s="613"/>
      <c r="AD33" s="605"/>
      <c r="AE33" s="844"/>
      <c r="AF33" s="844"/>
      <c r="AG33" s="844"/>
      <c r="AH33" s="844"/>
      <c r="AI33" s="844"/>
      <c r="AJ33" s="844"/>
      <c r="AK33" s="844"/>
    </row>
    <row r="34" ht="15.75" customHeight="1" spans="1:37">
      <c r="A34" s="853">
        <v>45962</v>
      </c>
      <c r="B34" s="68">
        <v>100.86</v>
      </c>
      <c r="C34" s="69">
        <f t="shared" si="4"/>
        <v>1.0086</v>
      </c>
      <c r="D34" s="94"/>
      <c r="E34" s="854" t="s">
        <v>37</v>
      </c>
      <c r="F34" s="854"/>
      <c r="G34" s="854"/>
      <c r="H34" s="854"/>
      <c r="I34" s="854"/>
      <c r="J34" s="854"/>
      <c r="K34" s="854"/>
      <c r="L34" s="854"/>
      <c r="M34" s="854"/>
      <c r="N34" s="854"/>
      <c r="O34" s="854"/>
      <c r="P34" s="854"/>
      <c r="Q34" s="852"/>
      <c r="R34" s="852"/>
      <c r="S34" s="852"/>
      <c r="T34" s="600"/>
      <c r="U34" s="600"/>
      <c r="V34" s="600"/>
      <c r="AA34" s="844"/>
      <c r="AB34" s="844"/>
      <c r="AC34" s="613"/>
      <c r="AD34" s="605"/>
      <c r="AE34" s="844"/>
      <c r="AF34" s="844"/>
      <c r="AG34" s="844"/>
      <c r="AH34" s="844"/>
      <c r="AI34" s="844"/>
      <c r="AJ34" s="844"/>
      <c r="AK34" s="844"/>
    </row>
    <row r="35" ht="15.75" customHeight="1" spans="1:37">
      <c r="A35" s="853">
        <v>45992</v>
      </c>
      <c r="B35" s="68">
        <v>100.46</v>
      </c>
      <c r="C35" s="69">
        <f t="shared" si="4"/>
        <v>1.0046</v>
      </c>
      <c r="D35" s="94"/>
      <c r="E35" s="854"/>
      <c r="F35" s="854"/>
      <c r="G35" s="854"/>
      <c r="H35" s="854"/>
      <c r="I35" s="854"/>
      <c r="J35" s="854"/>
      <c r="K35" s="854"/>
      <c r="L35" s="854"/>
      <c r="M35" s="854"/>
      <c r="N35" s="854"/>
      <c r="O35" s="854"/>
      <c r="P35" s="854"/>
      <c r="Q35" s="852"/>
      <c r="R35" s="852"/>
      <c r="S35" s="852"/>
      <c r="T35" s="600"/>
      <c r="U35" s="600"/>
      <c r="V35" s="600"/>
      <c r="AA35" s="844"/>
      <c r="AB35" s="844"/>
      <c r="AC35" s="613"/>
      <c r="AD35" s="605"/>
      <c r="AE35" s="844"/>
      <c r="AF35" s="844"/>
      <c r="AG35" s="844"/>
      <c r="AH35" s="844"/>
      <c r="AI35" s="844"/>
      <c r="AJ35" s="844"/>
      <c r="AK35" s="844"/>
    </row>
    <row r="36" ht="15.75" customHeight="1" spans="1:37">
      <c r="A36" s="853">
        <v>46023</v>
      </c>
      <c r="B36" s="68">
        <v>101.14</v>
      </c>
      <c r="C36" s="69">
        <f t="shared" si="4"/>
        <v>1.0114</v>
      </c>
      <c r="D36" s="9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2"/>
      <c r="R36" s="852"/>
      <c r="S36" s="852"/>
      <c r="T36" s="600"/>
      <c r="U36" s="600"/>
      <c r="V36" s="600"/>
      <c r="AA36" s="844"/>
      <c r="AB36" s="844"/>
      <c r="AC36" s="613"/>
      <c r="AD36" s="605"/>
      <c r="AE36" s="844"/>
      <c r="AF36" s="844"/>
      <c r="AG36" s="844"/>
      <c r="AH36" s="844"/>
      <c r="AI36" s="844"/>
      <c r="AJ36" s="844"/>
      <c r="AK36" s="844"/>
    </row>
    <row r="37" ht="15.75" customHeight="1" spans="1:37">
      <c r="A37" s="853">
        <v>46054</v>
      </c>
      <c r="B37" s="68">
        <v>100.99</v>
      </c>
      <c r="C37" s="69">
        <f t="shared" si="4"/>
        <v>1.0099</v>
      </c>
      <c r="D37" s="94"/>
      <c r="E37" s="854"/>
      <c r="F37" s="854"/>
      <c r="G37" s="854"/>
      <c r="H37" s="854"/>
      <c r="I37" s="854"/>
      <c r="J37" s="854"/>
      <c r="K37" s="854"/>
      <c r="L37" s="854"/>
      <c r="M37" s="854"/>
      <c r="N37" s="854"/>
      <c r="O37" s="854"/>
      <c r="P37" s="854"/>
      <c r="Q37" s="852"/>
      <c r="R37" s="852"/>
      <c r="S37" s="852"/>
      <c r="T37" s="600"/>
      <c r="U37" s="600"/>
      <c r="V37" s="600"/>
      <c r="AA37" s="844"/>
      <c r="AB37" s="844"/>
      <c r="AC37" s="613"/>
      <c r="AD37" s="605"/>
      <c r="AE37" s="844"/>
      <c r="AF37" s="844"/>
      <c r="AG37" s="844"/>
      <c r="AH37" s="844"/>
      <c r="AI37" s="844"/>
      <c r="AJ37" s="844"/>
      <c r="AK37" s="844"/>
    </row>
    <row r="38" ht="15.75" customHeight="1" spans="1:37">
      <c r="A38" s="853">
        <v>46082</v>
      </c>
      <c r="B38" s="68">
        <v>100.99</v>
      </c>
      <c r="C38" s="69">
        <f t="shared" si="4"/>
        <v>1.0099</v>
      </c>
      <c r="D38" s="94"/>
      <c r="E38" s="854"/>
      <c r="F38" s="854"/>
      <c r="G38" s="854"/>
      <c r="H38" s="854"/>
      <c r="I38" s="854"/>
      <c r="J38" s="854"/>
      <c r="K38" s="854"/>
      <c r="L38" s="854"/>
      <c r="M38" s="854"/>
      <c r="N38" s="854"/>
      <c r="O38" s="854"/>
      <c r="P38" s="854"/>
      <c r="Q38" s="852"/>
      <c r="R38" s="852"/>
      <c r="S38" s="852"/>
      <c r="T38" s="600"/>
      <c r="U38" s="600"/>
      <c r="V38" s="600"/>
      <c r="AA38" s="844"/>
      <c r="AB38" s="844"/>
      <c r="AC38" s="613"/>
      <c r="AD38" s="605"/>
      <c r="AE38" s="844"/>
      <c r="AF38" s="844"/>
      <c r="AG38" s="844"/>
      <c r="AH38" s="844"/>
      <c r="AI38" s="844"/>
      <c r="AJ38" s="844"/>
      <c r="AK38" s="844"/>
    </row>
    <row r="39" ht="15.75" customHeight="1" spans="1:37">
      <c r="A39" s="855"/>
      <c r="B39" s="71"/>
      <c r="C39" s="69"/>
      <c r="D39" s="94"/>
      <c r="E39" s="854"/>
      <c r="F39" s="854"/>
      <c r="G39" s="854"/>
      <c r="H39" s="854"/>
      <c r="I39" s="854"/>
      <c r="J39" s="854"/>
      <c r="K39" s="854"/>
      <c r="L39" s="854"/>
      <c r="M39" s="854"/>
      <c r="N39" s="854"/>
      <c r="O39" s="854"/>
      <c r="P39" s="854"/>
      <c r="Q39" s="852"/>
      <c r="R39" s="852"/>
      <c r="S39" s="852"/>
      <c r="T39" s="600"/>
      <c r="U39" s="600"/>
      <c r="V39" s="600"/>
      <c r="AA39" s="844"/>
      <c r="AB39" s="844"/>
      <c r="AC39" s="613"/>
      <c r="AD39" s="605"/>
      <c r="AE39" s="844"/>
      <c r="AF39" s="844"/>
      <c r="AG39" s="844"/>
      <c r="AH39" s="844"/>
      <c r="AI39" s="844"/>
      <c r="AJ39" s="844"/>
      <c r="AK39" s="844"/>
    </row>
    <row r="40" ht="15.75" customHeight="1" spans="1:37">
      <c r="D40" s="94"/>
      <c r="E40" s="82" t="s">
        <v>38</v>
      </c>
      <c r="F40" s="81"/>
      <c r="G40" s="4"/>
      <c r="H40" s="4"/>
      <c r="I40" s="83"/>
      <c r="J40" s="83"/>
      <c r="K40" s="91">
        <v>12</v>
      </c>
      <c r="L40" s="85" t="s">
        <v>39</v>
      </c>
      <c r="M40" s="86">
        <f>F41</f>
        <v>1.078</v>
      </c>
      <c r="N40" s="87" t="s">
        <v>40</v>
      </c>
      <c r="O40" s="88">
        <f>M40^(1/K40)</f>
        <v>1.0063</v>
      </c>
      <c r="P40" s="88"/>
      <c r="Q40" s="856"/>
      <c r="R40" s="856"/>
      <c r="S40" s="852"/>
      <c r="T40" s="600"/>
      <c r="U40" s="600"/>
      <c r="V40" s="600"/>
      <c r="Z40" s="77"/>
      <c r="AA40" s="77"/>
      <c r="AB40" s="78"/>
      <c r="AC40" s="613"/>
      <c r="AD40" s="605"/>
      <c r="AE40" s="79"/>
      <c r="AF40" s="80"/>
      <c r="AG40" s="80"/>
      <c r="AH40" s="80"/>
      <c r="AI40" s="80"/>
      <c r="AJ40" s="80"/>
      <c r="AK40" s="81"/>
    </row>
    <row r="41" ht="15.75" customHeight="1" spans="1:37">
      <c r="B41" s="74" t="s">
        <v>41</v>
      </c>
      <c r="C41" s="75">
        <f>C25*C26*C24*C27*C28*C29*C30*C31*C32*C33*C34*C35*C36*C37*C38</f>
        <v>1.399</v>
      </c>
      <c r="D41" s="94"/>
      <c r="E41" s="82"/>
      <c r="F41" s="81">
        <v>1.078</v>
      </c>
      <c r="G41" s="127"/>
      <c r="H41" s="127"/>
      <c r="I41" s="127"/>
      <c r="J41" s="127"/>
      <c r="K41" s="91"/>
      <c r="L41" s="85"/>
      <c r="M41" s="90"/>
      <c r="N41" s="87"/>
      <c r="O41" s="88"/>
      <c r="P41" s="88"/>
      <c r="Q41" s="851"/>
      <c r="R41" s="851"/>
      <c r="S41" s="852"/>
      <c r="T41" s="600"/>
      <c r="U41" s="600"/>
      <c r="W41" s="857"/>
      <c r="X41" s="857"/>
      <c r="Y41" s="857"/>
      <c r="AC41" s="613"/>
      <c r="AD41" s="605"/>
    </row>
    <row r="42" ht="15.75" customHeight="1" spans="1:37">
      <c r="B42" s="71"/>
      <c r="C42" s="858"/>
      <c r="D42" s="94"/>
      <c r="E42" s="82"/>
      <c r="F42" s="81"/>
      <c r="G42" s="83"/>
      <c r="H42" s="83"/>
      <c r="I42" s="83"/>
      <c r="J42" s="83"/>
      <c r="K42" s="91"/>
      <c r="L42" s="85"/>
      <c r="M42" s="90"/>
      <c r="N42" s="87"/>
      <c r="O42" s="88"/>
      <c r="P42" s="88"/>
      <c r="Q42" s="852"/>
      <c r="R42" s="852"/>
      <c r="S42" s="852"/>
      <c r="T42" s="600"/>
      <c r="U42" s="600"/>
      <c r="W42" s="857"/>
      <c r="X42" s="857"/>
      <c r="Y42" s="857"/>
    </row>
    <row r="43" ht="15.75" customHeight="1" spans="1:37">
      <c r="A43" s="71"/>
      <c r="B43" s="71"/>
      <c r="C43" s="858"/>
      <c r="D43" s="94"/>
      <c r="E43" s="82" t="s">
        <v>42</v>
      </c>
      <c r="F43" s="81"/>
      <c r="G43" s="4"/>
      <c r="H43" s="4"/>
      <c r="I43" s="83"/>
      <c r="J43" s="83"/>
      <c r="K43" s="91">
        <v>12</v>
      </c>
      <c r="L43" s="85" t="s">
        <v>39</v>
      </c>
      <c r="M43" s="86">
        <f>F44</f>
        <v>1.077</v>
      </c>
      <c r="N43" s="87" t="s">
        <v>40</v>
      </c>
      <c r="O43" s="88">
        <f>M43^(1/K43)</f>
        <v>1.0062</v>
      </c>
      <c r="P43" s="88"/>
      <c r="Q43" s="852"/>
      <c r="R43" s="852"/>
      <c r="S43" s="852"/>
      <c r="T43" s="600"/>
      <c r="U43" s="600"/>
      <c r="W43" s="857"/>
      <c r="X43" s="857"/>
      <c r="Y43" s="857"/>
    </row>
    <row r="44" ht="15.75" spans="1:37">
      <c r="A44" s="71"/>
      <c r="B44" s="71"/>
      <c r="C44" s="858"/>
      <c r="D44" s="94"/>
      <c r="E44" s="82"/>
      <c r="F44" s="81">
        <v>1.077</v>
      </c>
      <c r="G44" s="89"/>
      <c r="H44" s="89"/>
      <c r="I44" s="83"/>
      <c r="J44" s="83"/>
      <c r="K44" s="91"/>
      <c r="L44" s="85"/>
      <c r="M44" s="90"/>
      <c r="N44" s="87"/>
      <c r="O44" s="88"/>
      <c r="P44" s="88"/>
      <c r="Q44" s="859"/>
      <c r="R44" s="859"/>
      <c r="S44" s="859"/>
      <c r="T44" s="860"/>
      <c r="U44" s="860"/>
      <c r="W44" s="857"/>
      <c r="X44" s="857"/>
      <c r="Y44" s="857"/>
    </row>
    <row r="45" ht="15.75" spans="1:37">
      <c r="A45" s="94"/>
      <c r="B45" s="94"/>
      <c r="C45" s="94"/>
      <c r="D45" s="94"/>
      <c r="E45" s="82"/>
      <c r="F45" s="80"/>
      <c r="G45" s="83"/>
      <c r="H45" s="83"/>
      <c r="I45" s="83"/>
      <c r="J45" s="83"/>
      <c r="K45" s="91"/>
      <c r="L45" s="85"/>
      <c r="M45" s="90"/>
      <c r="N45" s="87"/>
      <c r="O45" s="88"/>
      <c r="P45" s="88"/>
      <c r="R45" s="94"/>
      <c r="S45" s="94"/>
      <c r="T45" s="94"/>
      <c r="U45" s="94"/>
      <c r="V45" s="94"/>
      <c r="W45" s="94"/>
      <c r="X45" s="94"/>
      <c r="Y45" s="94"/>
    </row>
    <row r="46" ht="15.75" spans="1:37">
      <c r="A46" s="861" t="s">
        <v>43</v>
      </c>
      <c r="B46" s="861"/>
      <c r="C46" s="861"/>
      <c r="D46" s="861"/>
      <c r="E46" s="862">
        <f>Затраты!E26/Затраты!J26</f>
        <v>0.3</v>
      </c>
      <c r="F46" s="109"/>
      <c r="G46" s="863" t="s">
        <v>44</v>
      </c>
      <c r="H46" s="863"/>
      <c r="I46" s="863"/>
      <c r="J46" s="863"/>
      <c r="K46" s="863"/>
      <c r="L46" s="863"/>
      <c r="M46" s="863"/>
      <c r="N46" s="863"/>
      <c r="O46" s="863"/>
      <c r="P46" s="863"/>
      <c r="Q46" s="863"/>
      <c r="R46" s="863"/>
      <c r="S46" s="863"/>
      <c r="T46" s="863"/>
      <c r="U46" s="863"/>
      <c r="V46" s="864">
        <f>Затраты!E10/(Затраты!J10-Затраты!B10)</f>
        <v>0.29517</v>
      </c>
      <c r="W46" s="94"/>
      <c r="Y46" s="94"/>
    </row>
    <row r="47" ht="15.75" spans="1:37">
      <c r="A47" s="861" t="s">
        <v>45</v>
      </c>
      <c r="B47" s="861"/>
      <c r="C47" s="861"/>
      <c r="D47" s="861"/>
      <c r="E47" s="862">
        <f>Затраты!F26/Затраты!J26</f>
        <v>0.7</v>
      </c>
      <c r="F47" s="109"/>
      <c r="G47" s="863" t="s">
        <v>46</v>
      </c>
      <c r="H47" s="863"/>
      <c r="I47" s="863"/>
      <c r="J47" s="863"/>
      <c r="K47" s="863"/>
      <c r="L47" s="863"/>
      <c r="M47" s="863"/>
      <c r="N47" s="863"/>
      <c r="O47" s="863"/>
      <c r="P47" s="863"/>
      <c r="Q47" s="863"/>
      <c r="R47" s="863"/>
      <c r="S47" s="863"/>
      <c r="T47" s="863"/>
      <c r="U47" s="863"/>
      <c r="V47" s="864">
        <f>Затраты!O11</f>
        <v>0.83429</v>
      </c>
      <c r="W47" s="94"/>
      <c r="Y47" s="94"/>
    </row>
    <row r="48" ht="15.75" spans="1:37">
      <c r="A48" s="94"/>
      <c r="B48" s="94"/>
      <c r="C48" s="94"/>
      <c r="D48" s="94"/>
      <c r="E48" s="865"/>
      <c r="F48" s="109"/>
      <c r="G48" s="109"/>
      <c r="H48" s="109"/>
      <c r="I48" s="109"/>
      <c r="J48" s="109"/>
      <c r="K48" s="109"/>
      <c r="L48" s="146"/>
      <c r="M48" s="866"/>
      <c r="N48" s="146"/>
      <c r="O48" s="146"/>
      <c r="P48" s="862"/>
      <c r="Q48" s="862"/>
      <c r="R48" s="862"/>
      <c r="S48" s="862"/>
      <c r="T48" s="862"/>
      <c r="U48" s="862"/>
      <c r="V48" s="862"/>
      <c r="W48" s="94"/>
      <c r="X48" s="94"/>
      <c r="Y48" s="94"/>
    </row>
    <row r="49" ht="15.75" spans="1:39">
      <c r="A49" s="609" t="s">
        <v>47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94"/>
      <c r="AA49" s="94"/>
    </row>
    <row r="50" ht="15.75" spans="1:39">
      <c r="A50" s="94"/>
      <c r="B50" s="94"/>
      <c r="C50" s="94"/>
      <c r="D50" s="94"/>
      <c r="E50" s="865"/>
      <c r="F50" s="109"/>
      <c r="G50" s="867"/>
      <c r="H50" s="109"/>
      <c r="I50" s="109"/>
      <c r="J50" s="109"/>
      <c r="K50" s="109"/>
      <c r="L50" s="146"/>
      <c r="M50" s="866"/>
      <c r="N50" s="146"/>
      <c r="O50" s="146"/>
      <c r="P50" s="862"/>
      <c r="Q50" s="862"/>
      <c r="R50" s="862"/>
      <c r="S50" s="862"/>
      <c r="T50" s="862"/>
      <c r="U50" s="862"/>
      <c r="V50" s="862"/>
      <c r="W50" s="94"/>
      <c r="X50" s="94"/>
      <c r="Y50" s="94"/>
      <c r="Z50" s="94"/>
      <c r="AA50" s="94"/>
    </row>
    <row r="51" ht="15.75" spans="1:39">
      <c r="A51" s="94"/>
      <c r="B51" s="106"/>
      <c r="C51" s="106"/>
      <c r="D51" s="106"/>
      <c r="E51" s="868"/>
      <c r="F51" s="869"/>
      <c r="G51" s="869"/>
      <c r="H51" s="869"/>
      <c r="I51" s="870"/>
      <c r="J51" s="870"/>
      <c r="K51" s="870"/>
      <c r="L51" s="870"/>
      <c r="M51" s="99"/>
      <c r="N51" s="99"/>
      <c r="O51" s="111"/>
      <c r="P51" s="111"/>
      <c r="Q51" s="862"/>
      <c r="R51" s="862"/>
      <c r="S51" s="862"/>
      <c r="T51" s="862"/>
      <c r="U51" s="862"/>
      <c r="V51" s="862"/>
      <c r="W51" s="94"/>
      <c r="X51" s="94"/>
      <c r="Y51" s="94"/>
    </row>
    <row r="52" ht="18" spans="1:39">
      <c r="A52" s="94"/>
      <c r="B52" s="96" t="s">
        <v>48</v>
      </c>
      <c r="C52" s="109" t="s">
        <v>49</v>
      </c>
      <c r="D52" s="114"/>
      <c r="E52" s="99"/>
      <c r="F52" s="99"/>
      <c r="G52" s="111"/>
      <c r="H52" s="111"/>
      <c r="I52" s="111"/>
      <c r="J52" s="105"/>
      <c r="K52" s="737"/>
      <c r="L52" s="99" t="s">
        <v>40</v>
      </c>
      <c r="M52" s="112">
        <f>(D63-1)/2+1</f>
        <v>1.0291</v>
      </c>
      <c r="N52" s="112"/>
      <c r="O52" s="871"/>
      <c r="P52" s="111"/>
      <c r="Q52" s="872"/>
      <c r="R52" s="872"/>
      <c r="S52" s="873"/>
      <c r="T52" s="873"/>
      <c r="U52" s="737"/>
      <c r="W52" s="113"/>
      <c r="X52" s="113"/>
      <c r="Y52" s="94"/>
    </row>
    <row r="53" ht="15.75" spans="1:39">
      <c r="A53" s="94"/>
      <c r="B53" s="96"/>
      <c r="C53" s="109"/>
      <c r="D53" s="114"/>
      <c r="E53" s="865"/>
      <c r="F53" s="99"/>
      <c r="G53" s="99"/>
      <c r="H53" s="99"/>
      <c r="I53" s="99"/>
      <c r="J53" s="99"/>
      <c r="K53" s="99"/>
      <c r="L53" s="99"/>
      <c r="M53" s="111"/>
      <c r="N53" s="111"/>
      <c r="O53" s="111"/>
      <c r="P53" s="871"/>
      <c r="Q53" s="862"/>
      <c r="R53" s="862"/>
      <c r="S53" s="862"/>
      <c r="T53" s="862"/>
      <c r="U53" s="862"/>
      <c r="V53" s="862"/>
      <c r="W53" s="94"/>
      <c r="X53" s="94"/>
      <c r="Y53" s="94"/>
    </row>
    <row r="54" s="738" customFormat="1" ht="18" spans="1:39">
      <c r="A54" s="874"/>
      <c r="B54" s="96" t="s">
        <v>50</v>
      </c>
      <c r="C54" s="109" t="s">
        <v>51</v>
      </c>
      <c r="D54" s="114"/>
      <c r="E54" s="865"/>
      <c r="F54" s="99"/>
      <c r="G54" s="99"/>
      <c r="H54" s="99"/>
      <c r="I54" s="99"/>
      <c r="J54" s="99"/>
      <c r="K54" s="99"/>
      <c r="L54" s="99" t="s">
        <v>40</v>
      </c>
      <c r="M54" s="105"/>
      <c r="N54" s="105"/>
      <c r="O54" s="111"/>
      <c r="P54" s="112">
        <f>D63*(D65+D66)/2</f>
        <v>1.0952</v>
      </c>
      <c r="Q54" s="112"/>
      <c r="R54" s="112"/>
      <c r="S54" s="112"/>
      <c r="T54" s="112"/>
      <c r="U54" s="112"/>
      <c r="V54" s="113"/>
      <c r="W54" s="875"/>
      <c r="X54" s="115"/>
      <c r="Y54" s="115"/>
    </row>
    <row r="55" s="738" customFormat="1" ht="15.75" spans="1:39">
      <c r="A55" s="874"/>
      <c r="B55" s="874"/>
      <c r="C55" s="874"/>
      <c r="D55" s="874"/>
      <c r="E55" s="865"/>
      <c r="F55" s="109"/>
      <c r="G55" s="109"/>
      <c r="H55" s="109"/>
      <c r="I55" s="109"/>
      <c r="J55" s="109"/>
      <c r="K55" s="109"/>
      <c r="L55" s="873"/>
      <c r="M55" s="636"/>
      <c r="N55" s="636"/>
      <c r="O55" s="636"/>
      <c r="P55" s="636"/>
      <c r="Q55" s="636"/>
      <c r="R55" s="873"/>
      <c r="S55" s="636"/>
      <c r="T55" s="636"/>
      <c r="U55" s="873"/>
      <c r="V55" s="113"/>
      <c r="W55" s="875"/>
      <c r="X55" s="115"/>
      <c r="Y55" s="115"/>
      <c r="Z55" s="79"/>
      <c r="AA55" s="79"/>
      <c r="AB55" s="79"/>
      <c r="AC55" s="79"/>
      <c r="AD55" s="79"/>
      <c r="AE55" s="79"/>
      <c r="AF55" s="96"/>
      <c r="AG55" s="96"/>
      <c r="AH55" s="96"/>
      <c r="AI55" s="96"/>
      <c r="AJ55" s="97"/>
      <c r="AK55" s="97"/>
      <c r="AL55" s="3"/>
      <c r="AM55" s="3"/>
    </row>
    <row r="56" ht="15.75" spans="1:39">
      <c r="A56" s="865" t="s">
        <v>52</v>
      </c>
      <c r="B56" s="865"/>
      <c r="C56" s="865"/>
      <c r="D56" s="865"/>
      <c r="E56" s="865"/>
      <c r="F56" s="876"/>
      <c r="G56" s="876"/>
      <c r="H56" s="876"/>
      <c r="I56" s="877"/>
      <c r="J56" s="876">
        <f>E46</f>
        <v>0.3</v>
      </c>
      <c r="K56" s="876" t="s">
        <v>53</v>
      </c>
      <c r="L56" s="876">
        <f>M52</f>
        <v>1.0291</v>
      </c>
      <c r="M56" s="876" t="s">
        <v>54</v>
      </c>
      <c r="N56" s="876">
        <f>E47</f>
        <v>0.7</v>
      </c>
      <c r="O56" s="876"/>
      <c r="P56" s="876" t="s">
        <v>53</v>
      </c>
      <c r="Q56" s="878" t="s">
        <v>53</v>
      </c>
      <c r="R56" s="878">
        <f>X54</f>
        <v>0</v>
      </c>
      <c r="S56" s="878"/>
      <c r="T56" s="879" t="s">
        <v>40</v>
      </c>
      <c r="U56" s="878">
        <f>P54</f>
        <v>1.0952</v>
      </c>
      <c r="V56" s="880" t="s">
        <v>40</v>
      </c>
      <c r="W56" s="881">
        <f>F56*H56+J56*L56+N56*U56</f>
        <v>1.07537</v>
      </c>
      <c r="X56" s="881"/>
      <c r="Z56" s="94"/>
      <c r="AA56" s="94"/>
    </row>
    <row r="57" ht="15.75" spans="1:39">
      <c r="A57" s="865"/>
      <c r="B57" s="865"/>
      <c r="C57" s="865"/>
      <c r="D57" s="865"/>
      <c r="E57" s="865"/>
      <c r="F57" s="876"/>
      <c r="G57" s="876"/>
      <c r="H57" s="876"/>
      <c r="I57" s="876"/>
      <c r="J57" s="876"/>
      <c r="K57" s="876"/>
      <c r="L57" s="145"/>
      <c r="M57" s="876"/>
      <c r="N57" s="145"/>
      <c r="O57" s="145"/>
      <c r="P57" s="878"/>
      <c r="Q57" s="878"/>
      <c r="R57" s="878"/>
      <c r="S57" s="878"/>
      <c r="T57" s="878"/>
      <c r="U57" s="878"/>
      <c r="V57" s="880"/>
      <c r="W57" s="861"/>
      <c r="X57" s="861"/>
      <c r="Y57" s="94"/>
      <c r="Z57" s="94"/>
      <c r="AA57" s="94"/>
    </row>
    <row r="58" ht="15.75" hidden="1" spans="1:39">
      <c r="A58" s="882" t="s">
        <v>55</v>
      </c>
      <c r="B58" s="882"/>
      <c r="C58" s="882"/>
      <c r="D58" s="882"/>
      <c r="E58" s="882"/>
      <c r="F58" s="883"/>
      <c r="G58" s="883"/>
      <c r="H58" s="883"/>
      <c r="I58" s="883"/>
      <c r="J58" s="883">
        <f>V46</f>
        <v>0.29517</v>
      </c>
      <c r="K58" s="883" t="s">
        <v>53</v>
      </c>
      <c r="L58" s="883">
        <f>M52</f>
        <v>1.0291</v>
      </c>
      <c r="M58" s="883" t="s">
        <v>54</v>
      </c>
      <c r="N58" s="883">
        <f>V47</f>
        <v>0.83429</v>
      </c>
      <c r="O58" s="883"/>
      <c r="P58" s="883" t="s">
        <v>53</v>
      </c>
      <c r="Q58" s="878" t="s">
        <v>53</v>
      </c>
      <c r="R58" s="878" t="e">
        <f>#REF!</f>
        <v>#REF!</v>
      </c>
      <c r="S58" s="878"/>
      <c r="T58" s="878" t="s">
        <v>40</v>
      </c>
      <c r="U58" s="884">
        <f>P54</f>
        <v>1.0952</v>
      </c>
      <c r="V58" s="880" t="s">
        <v>40</v>
      </c>
      <c r="W58" s="880">
        <f>F58*H58+J58*L58+N58</f>
        <v>1.13805</v>
      </c>
      <c r="X58" s="880"/>
      <c r="Y58" s="94"/>
      <c r="Z58" s="94"/>
      <c r="AA58" s="94"/>
    </row>
    <row r="59" ht="28.5" customHeight="1" spans="1:39">
      <c r="A59" s="885"/>
      <c r="B59" s="885"/>
      <c r="C59" s="885"/>
      <c r="D59" s="885"/>
      <c r="E59" s="885"/>
      <c r="F59" s="109"/>
      <c r="G59" s="109"/>
      <c r="H59" s="109"/>
      <c r="I59" s="109"/>
      <c r="J59" s="109"/>
      <c r="K59" s="109"/>
      <c r="L59" s="866"/>
      <c r="M59" s="636"/>
      <c r="N59" s="872"/>
      <c r="O59" s="872"/>
      <c r="P59" s="872"/>
      <c r="Q59" s="862" t="s">
        <v>53</v>
      </c>
      <c r="R59" s="93" t="e">
        <f>#REF!</f>
        <v>#REF!</v>
      </c>
      <c r="S59" s="93"/>
      <c r="T59" s="862" t="s">
        <v>40</v>
      </c>
      <c r="U59" s="93"/>
      <c r="V59" s="93"/>
      <c r="W59" s="94"/>
      <c r="X59" s="94"/>
      <c r="Y59" s="94"/>
      <c r="Z59" s="94"/>
      <c r="AA59" s="94"/>
    </row>
    <row r="60" ht="15.75" spans="1:39">
      <c r="A60" s="886" t="s">
        <v>56</v>
      </c>
      <c r="B60" s="146"/>
      <c r="C60" s="146"/>
      <c r="D60" s="146"/>
      <c r="E60" s="130" t="s">
        <v>57</v>
      </c>
      <c r="F60" s="145" t="s">
        <v>58</v>
      </c>
      <c r="G60" s="146"/>
      <c r="H60" s="94"/>
      <c r="I60" s="94"/>
      <c r="J60" s="94"/>
      <c r="K60" s="94"/>
      <c r="L60" s="94"/>
      <c r="M60" s="887"/>
      <c r="N60" s="887"/>
      <c r="O60" s="887"/>
      <c r="P60" s="887"/>
      <c r="Q60" s="887"/>
      <c r="R60" s="887"/>
      <c r="S60" s="887"/>
      <c r="T60" s="887"/>
      <c r="U60" s="887"/>
      <c r="V60" s="887"/>
      <c r="W60" s="887"/>
      <c r="X60" s="887"/>
      <c r="Y60" s="887"/>
      <c r="Z60" s="887"/>
      <c r="AA60" s="887"/>
    </row>
    <row r="61" ht="15.75" spans="1:39">
      <c r="B61" s="142"/>
      <c r="C61" s="143"/>
      <c r="D61" s="144"/>
      <c r="E61" s="145"/>
      <c r="F61" s="146"/>
      <c r="G61" s="146"/>
      <c r="H61" s="94"/>
      <c r="I61" s="94"/>
      <c r="J61" s="94"/>
      <c r="K61" s="94"/>
      <c r="L61" s="94"/>
    </row>
    <row r="62" ht="15.75" spans="1:39">
      <c r="B62" s="142">
        <v>2026</v>
      </c>
      <c r="C62" s="143">
        <f>O40</f>
        <v>1.0063</v>
      </c>
      <c r="D62" s="144">
        <f>POWER(C62,E62)</f>
        <v>1.0063</v>
      </c>
      <c r="E62" s="145">
        <v>1</v>
      </c>
      <c r="F62" s="147" t="s">
        <v>59</v>
      </c>
      <c r="G62" s="146"/>
      <c r="H62" s="94"/>
      <c r="I62" s="94"/>
      <c r="J62" s="94"/>
      <c r="K62" s="94"/>
      <c r="L62" s="94"/>
    </row>
    <row r="63" ht="15.75" spans="1:39">
      <c r="B63" s="142"/>
      <c r="C63" s="143">
        <f>C62</f>
        <v>1.0063</v>
      </c>
      <c r="D63" s="144">
        <f>POWER(C63,E63)</f>
        <v>1.0582</v>
      </c>
      <c r="E63" s="148">
        <v>9</v>
      </c>
      <c r="F63" s="146" t="s">
        <v>60</v>
      </c>
    </row>
    <row r="64" ht="15.75" spans="1:39">
      <c r="B64" s="142"/>
      <c r="C64" s="143"/>
      <c r="D64" s="144"/>
      <c r="E64" s="148"/>
      <c r="F64" s="146"/>
    </row>
    <row r="65" ht="15.75" spans="2:6">
      <c r="B65" s="150">
        <v>2027</v>
      </c>
      <c r="C65" s="143">
        <f>O43</f>
        <v>1.0062</v>
      </c>
      <c r="D65" s="144">
        <f t="shared" ref="D65:D66" si="5">POWER(C65,E65)</f>
        <v>1.0062</v>
      </c>
      <c r="E65" s="151">
        <v>1</v>
      </c>
      <c r="F65" s="147" t="s">
        <v>61</v>
      </c>
    </row>
    <row r="66" ht="15.75" spans="2:6">
      <c r="B66" s="150"/>
      <c r="C66" s="143">
        <f>C65</f>
        <v>1.0062</v>
      </c>
      <c r="D66" s="144">
        <f t="shared" si="5"/>
        <v>1.0638</v>
      </c>
      <c r="E66" s="151">
        <v>10</v>
      </c>
      <c r="F66" s="146" t="s">
        <v>62</v>
      </c>
    </row>
  </sheetData>
  <mergeCells count="125">
    <mergeCell ref="A1:AA1"/>
    <mergeCell ref="A2:AA2"/>
    <mergeCell ref="A3:AA3"/>
    <mergeCell ref="B4:AA4"/>
    <mergeCell ref="B5:AA5"/>
    <mergeCell ref="Q6:Y6"/>
    <mergeCell ref="Q7:T7"/>
    <mergeCell ref="U7:V7"/>
    <mergeCell ref="W7:X7"/>
    <mergeCell ref="F8:G8"/>
    <mergeCell ref="H8:J8"/>
    <mergeCell ref="K8:L8"/>
    <mergeCell ref="M8:P8"/>
    <mergeCell ref="Q8:T8"/>
    <mergeCell ref="U8:V8"/>
    <mergeCell ref="W8:X8"/>
    <mergeCell ref="F9:G9"/>
    <mergeCell ref="H9:J9"/>
    <mergeCell ref="K9:L9"/>
    <mergeCell ref="M9:P9"/>
    <mergeCell ref="Q9:T9"/>
    <mergeCell ref="U9:V9"/>
    <mergeCell ref="W9:X9"/>
    <mergeCell ref="F10:G10"/>
    <mergeCell ref="H10:J10"/>
    <mergeCell ref="K10:L10"/>
    <mergeCell ref="M10:P10"/>
    <mergeCell ref="Q10:T10"/>
    <mergeCell ref="U10:V10"/>
    <mergeCell ref="W10:X10"/>
    <mergeCell ref="F11:G11"/>
    <mergeCell ref="H11:J11"/>
    <mergeCell ref="K11:L11"/>
    <mergeCell ref="M11:P11"/>
    <mergeCell ref="Q11:T11"/>
    <mergeCell ref="U11:V11"/>
    <mergeCell ref="W11:X11"/>
    <mergeCell ref="F12:G12"/>
    <mergeCell ref="H12:J12"/>
    <mergeCell ref="K12:L12"/>
    <mergeCell ref="M12:P12"/>
    <mergeCell ref="Q12:T12"/>
    <mergeCell ref="U12:V12"/>
    <mergeCell ref="W12:X12"/>
    <mergeCell ref="F13:G13"/>
    <mergeCell ref="H13:J13"/>
    <mergeCell ref="K13:L13"/>
    <mergeCell ref="M13:P13"/>
    <mergeCell ref="Q13:T13"/>
    <mergeCell ref="U13:V13"/>
    <mergeCell ref="W13:X13"/>
    <mergeCell ref="F14:G14"/>
    <mergeCell ref="H14:J14"/>
    <mergeCell ref="K14:L14"/>
    <mergeCell ref="M14:P14"/>
    <mergeCell ref="Q14:T14"/>
    <mergeCell ref="U14:V14"/>
    <mergeCell ref="W14:X14"/>
    <mergeCell ref="F15:G15"/>
    <mergeCell ref="H15:J15"/>
    <mergeCell ref="K15:L15"/>
    <mergeCell ref="M15:P15"/>
    <mergeCell ref="Q15:T15"/>
    <mergeCell ref="U15:V15"/>
    <mergeCell ref="W15:X15"/>
    <mergeCell ref="F16:G16"/>
    <mergeCell ref="H16:J16"/>
    <mergeCell ref="K16:L16"/>
    <mergeCell ref="M16:P16"/>
    <mergeCell ref="Q16:T16"/>
    <mergeCell ref="U16:V16"/>
    <mergeCell ref="W16:X16"/>
    <mergeCell ref="A17:AA17"/>
    <mergeCell ref="B19:C19"/>
    <mergeCell ref="X19:Z19"/>
    <mergeCell ref="A20:B20"/>
    <mergeCell ref="A21:B21"/>
    <mergeCell ref="A23:C23"/>
    <mergeCell ref="G41:J41"/>
    <mergeCell ref="A46:D46"/>
    <mergeCell ref="G46:U46"/>
    <mergeCell ref="A47:D47"/>
    <mergeCell ref="G47:U47"/>
    <mergeCell ref="A49:W49"/>
    <mergeCell ref="G52:H52"/>
    <mergeCell ref="M52:N52"/>
    <mergeCell ref="J54:K54"/>
    <mergeCell ref="P54:U54"/>
    <mergeCell ref="A56:E56"/>
    <mergeCell ref="N56:O56"/>
    <mergeCell ref="R56:S56"/>
    <mergeCell ref="W56:X56"/>
    <mergeCell ref="A58:E58"/>
    <mergeCell ref="N58:O58"/>
    <mergeCell ref="W58:X58"/>
    <mergeCell ref="A6:A7"/>
    <mergeCell ref="B6:B7"/>
    <mergeCell ref="C6:C7"/>
    <mergeCell ref="D6:D7"/>
    <mergeCell ref="E6:E7"/>
    <mergeCell ref="E40:E42"/>
    <mergeCell ref="E43:E45"/>
    <mergeCell ref="K40:K42"/>
    <mergeCell ref="K43:K45"/>
    <mergeCell ref="L40:L42"/>
    <mergeCell ref="L43:L45"/>
    <mergeCell ref="M40:M42"/>
    <mergeCell ref="M43:M45"/>
    <mergeCell ref="N40:N42"/>
    <mergeCell ref="N43:N45"/>
    <mergeCell ref="Z6:Z7"/>
    <mergeCell ref="AA6:AA7"/>
    <mergeCell ref="AC25:AC27"/>
    <mergeCell ref="AC28:AC30"/>
    <mergeCell ref="AC40:AC41"/>
    <mergeCell ref="AD25:AD27"/>
    <mergeCell ref="AD28:AD30"/>
    <mergeCell ref="AD40:AD41"/>
    <mergeCell ref="O43:P45"/>
    <mergeCell ref="O40:P42"/>
    <mergeCell ref="E34:P36"/>
    <mergeCell ref="H6:J7"/>
    <mergeCell ref="K6:L7"/>
    <mergeCell ref="M6:P7"/>
    <mergeCell ref="F6:G7"/>
  </mergeCells>
  <pageMargins left="0.7" right="0.7" top="0.75" bottom="0.75" header="0.3" footer="0.3"/>
  <pageSetup paperSize="9" scale="4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8"/>
  <sheetViews>
    <sheetView view="pageBreakPreview" zoomScale="70" zoomScaleNormal="100" topLeftCell="A4" workbookViewId="0">
      <selection activeCell="F21" sqref="F21"/>
    </sheetView>
  </sheetViews>
  <sheetFormatPr defaultColWidth="9" defaultRowHeight="20.25"/>
  <cols>
    <col min="1" max="1" width="62.5714285714286" style="669" customWidth="1"/>
    <col min="2" max="2" width="22.1428571428571" style="670" customWidth="1"/>
    <col min="3" max="3" width="17" style="670" hidden="1" customWidth="1"/>
    <col min="4" max="4" width="24.5714285714286" style="670" customWidth="1"/>
    <col min="5" max="5" width="25.7142857142857" style="670" customWidth="1"/>
    <col min="6" max="6" width="26.1428571428571" style="670" customWidth="1"/>
    <col min="7" max="7" width="17" style="670" customWidth="1"/>
    <col min="8" max="8" width="27.5714285714286" style="670" customWidth="1"/>
    <col min="9" max="10" width="31.2857142857143" style="670" customWidth="1"/>
    <col min="11" max="11" width="21.5714285714286" style="670" customWidth="1"/>
    <col min="12" max="12" width="23.7142857142857" style="670" customWidth="1"/>
    <col min="13" max="13" width="18" style="670" customWidth="1"/>
    <col min="14" max="14" width="15.1428571428571" style="670" customWidth="1"/>
    <col min="15" max="15" width="44.5714285714286" style="670" customWidth="1"/>
    <col min="16" max="16" width="21" style="670" customWidth="1"/>
    <col min="17" max="17" width="25.1428571428571" style="670" customWidth="1"/>
    <col min="18" max="18" width="26.2857142857143" style="670" customWidth="1"/>
    <col min="19" max="19" width="28.8571428571429" style="670" customWidth="1"/>
    <col min="20" max="216" width="9.14285714285714" style="670"/>
    <col min="217" max="217" width="3.42857142857143" style="670" customWidth="1"/>
    <col min="218" max="218" width="62.8571428571429" style="670" customWidth="1"/>
    <col min="219" max="219" width="21.7142857142857" style="670" customWidth="1"/>
    <col min="220" max="226" width="8" style="670" customWidth="1"/>
    <col min="227" max="227" width="21.7142857142857" style="670" customWidth="1"/>
    <col min="228" max="228" width="22.1428571428571" style="670" customWidth="1"/>
    <col min="229" max="229" width="19.8571428571429" style="670" customWidth="1"/>
    <col min="230" max="230" width="8" style="670" customWidth="1"/>
    <col min="231" max="231" width="22.2857142857143" style="670" customWidth="1"/>
    <col min="232" max="234" width="22.1428571428571" style="670" customWidth="1"/>
    <col min="235" max="235" width="18.1428571428571" style="670" customWidth="1"/>
    <col min="236" max="236" width="22.1428571428571" style="670" customWidth="1"/>
    <col min="237" max="237" width="22.5714285714286" style="670" customWidth="1"/>
    <col min="238" max="238" width="22.4285714285714" style="670" customWidth="1"/>
    <col min="239" max="239" width="20.1428571428571" style="670" customWidth="1"/>
    <col min="240" max="240" width="19.4285714285714" style="670" customWidth="1"/>
    <col min="241" max="472" width="9.14285714285714" style="670"/>
    <col min="473" max="473" width="3.42857142857143" style="670" customWidth="1"/>
    <col min="474" max="474" width="62.8571428571429" style="670" customWidth="1"/>
    <col min="475" max="475" width="21.7142857142857" style="670" customWidth="1"/>
    <col min="476" max="482" width="8" style="670" customWidth="1"/>
    <col min="483" max="483" width="21.7142857142857" style="670" customWidth="1"/>
    <col min="484" max="484" width="22.1428571428571" style="670" customWidth="1"/>
    <col min="485" max="485" width="19.8571428571429" style="670" customWidth="1"/>
    <col min="486" max="486" width="8" style="670" customWidth="1"/>
    <col min="487" max="487" width="22.2857142857143" style="670" customWidth="1"/>
    <col min="488" max="490" width="22.1428571428571" style="670" customWidth="1"/>
    <col min="491" max="491" width="18.1428571428571" style="670" customWidth="1"/>
    <col min="492" max="492" width="22.1428571428571" style="670" customWidth="1"/>
    <col min="493" max="493" width="22.5714285714286" style="670" customWidth="1"/>
    <col min="494" max="494" width="22.4285714285714" style="670" customWidth="1"/>
    <col min="495" max="495" width="20.1428571428571" style="670" customWidth="1"/>
    <col min="496" max="496" width="19.4285714285714" style="670" customWidth="1"/>
    <col min="497" max="728" width="9.14285714285714" style="670"/>
    <col min="729" max="729" width="3.42857142857143" style="670" customWidth="1"/>
    <col min="730" max="730" width="62.8571428571429" style="670" customWidth="1"/>
    <col min="731" max="731" width="21.7142857142857" style="670" customWidth="1"/>
    <col min="732" max="738" width="8" style="670" customWidth="1"/>
    <col min="739" max="739" width="21.7142857142857" style="670" customWidth="1"/>
    <col min="740" max="740" width="22.1428571428571" style="670" customWidth="1"/>
    <col min="741" max="741" width="19.8571428571429" style="670" customWidth="1"/>
    <col min="742" max="742" width="8" style="670" customWidth="1"/>
    <col min="743" max="743" width="22.2857142857143" style="670" customWidth="1"/>
    <col min="744" max="746" width="22.1428571428571" style="670" customWidth="1"/>
    <col min="747" max="747" width="18.1428571428571" style="670" customWidth="1"/>
    <col min="748" max="748" width="22.1428571428571" style="670" customWidth="1"/>
    <col min="749" max="749" width="22.5714285714286" style="670" customWidth="1"/>
    <col min="750" max="750" width="22.4285714285714" style="670" customWidth="1"/>
    <col min="751" max="751" width="20.1428571428571" style="670" customWidth="1"/>
    <col min="752" max="752" width="19.4285714285714" style="670" customWidth="1"/>
    <col min="753" max="984" width="9.14285714285714" style="670"/>
    <col min="985" max="985" width="3.42857142857143" style="670" customWidth="1"/>
    <col min="986" max="986" width="62.8571428571429" style="670" customWidth="1"/>
    <col min="987" max="987" width="21.7142857142857" style="670" customWidth="1"/>
    <col min="988" max="994" width="8" style="670" customWidth="1"/>
    <col min="995" max="995" width="21.7142857142857" style="670" customWidth="1"/>
    <col min="996" max="996" width="22.1428571428571" style="670" customWidth="1"/>
    <col min="997" max="997" width="19.8571428571429" style="670" customWidth="1"/>
    <col min="998" max="998" width="8" style="670" customWidth="1"/>
    <col min="999" max="999" width="22.2857142857143" style="670" customWidth="1"/>
    <col min="1000" max="1002" width="22.1428571428571" style="670" customWidth="1"/>
    <col min="1003" max="1003" width="18.1428571428571" style="670" customWidth="1"/>
    <col min="1004" max="1004" width="22.1428571428571" style="670" customWidth="1"/>
    <col min="1005" max="1005" width="22.5714285714286" style="670" customWidth="1"/>
    <col min="1006" max="1006" width="22.4285714285714" style="670" customWidth="1"/>
    <col min="1007" max="1007" width="20.1428571428571" style="670" customWidth="1"/>
    <col min="1008" max="1008" width="19.4285714285714" style="670" customWidth="1"/>
    <col min="1009" max="1240" width="9.14285714285714" style="670"/>
    <col min="1241" max="1241" width="3.42857142857143" style="670" customWidth="1"/>
    <col min="1242" max="1242" width="62.8571428571429" style="670" customWidth="1"/>
    <col min="1243" max="1243" width="21.7142857142857" style="670" customWidth="1"/>
    <col min="1244" max="1250" width="8" style="670" customWidth="1"/>
    <col min="1251" max="1251" width="21.7142857142857" style="670" customWidth="1"/>
    <col min="1252" max="1252" width="22.1428571428571" style="670" customWidth="1"/>
    <col min="1253" max="1253" width="19.8571428571429" style="670" customWidth="1"/>
    <col min="1254" max="1254" width="8" style="670" customWidth="1"/>
    <col min="1255" max="1255" width="22.2857142857143" style="670" customWidth="1"/>
    <col min="1256" max="1258" width="22.1428571428571" style="670" customWidth="1"/>
    <col min="1259" max="1259" width="18.1428571428571" style="670" customWidth="1"/>
    <col min="1260" max="1260" width="22.1428571428571" style="670" customWidth="1"/>
    <col min="1261" max="1261" width="22.5714285714286" style="670" customWidth="1"/>
    <col min="1262" max="1262" width="22.4285714285714" style="670" customWidth="1"/>
    <col min="1263" max="1263" width="20.1428571428571" style="670" customWidth="1"/>
    <col min="1264" max="1264" width="19.4285714285714" style="670" customWidth="1"/>
    <col min="1265" max="1496" width="9.14285714285714" style="670"/>
    <col min="1497" max="1497" width="3.42857142857143" style="670" customWidth="1"/>
    <col min="1498" max="1498" width="62.8571428571429" style="670" customWidth="1"/>
    <col min="1499" max="1499" width="21.7142857142857" style="670" customWidth="1"/>
    <col min="1500" max="1506" width="8" style="670" customWidth="1"/>
    <col min="1507" max="1507" width="21.7142857142857" style="670" customWidth="1"/>
    <col min="1508" max="1508" width="22.1428571428571" style="670" customWidth="1"/>
    <col min="1509" max="1509" width="19.8571428571429" style="670" customWidth="1"/>
    <col min="1510" max="1510" width="8" style="670" customWidth="1"/>
    <col min="1511" max="1511" width="22.2857142857143" style="670" customWidth="1"/>
    <col min="1512" max="1514" width="22.1428571428571" style="670" customWidth="1"/>
    <col min="1515" max="1515" width="18.1428571428571" style="670" customWidth="1"/>
    <col min="1516" max="1516" width="22.1428571428571" style="670" customWidth="1"/>
    <col min="1517" max="1517" width="22.5714285714286" style="670" customWidth="1"/>
    <col min="1518" max="1518" width="22.4285714285714" style="670" customWidth="1"/>
    <col min="1519" max="1519" width="20.1428571428571" style="670" customWidth="1"/>
    <col min="1520" max="1520" width="19.4285714285714" style="670" customWidth="1"/>
    <col min="1521" max="1752" width="9.14285714285714" style="670"/>
    <col min="1753" max="1753" width="3.42857142857143" style="670" customWidth="1"/>
    <col min="1754" max="1754" width="62.8571428571429" style="670" customWidth="1"/>
    <col min="1755" max="1755" width="21.7142857142857" style="670" customWidth="1"/>
    <col min="1756" max="1762" width="8" style="670" customWidth="1"/>
    <col min="1763" max="1763" width="21.7142857142857" style="670" customWidth="1"/>
    <col min="1764" max="1764" width="22.1428571428571" style="670" customWidth="1"/>
    <col min="1765" max="1765" width="19.8571428571429" style="670" customWidth="1"/>
    <col min="1766" max="1766" width="8" style="670" customWidth="1"/>
    <col min="1767" max="1767" width="22.2857142857143" style="670" customWidth="1"/>
    <col min="1768" max="1770" width="22.1428571428571" style="670" customWidth="1"/>
    <col min="1771" max="1771" width="18.1428571428571" style="670" customWidth="1"/>
    <col min="1772" max="1772" width="22.1428571428571" style="670" customWidth="1"/>
    <col min="1773" max="1773" width="22.5714285714286" style="670" customWidth="1"/>
    <col min="1774" max="1774" width="22.4285714285714" style="670" customWidth="1"/>
    <col min="1775" max="1775" width="20.1428571428571" style="670" customWidth="1"/>
    <col min="1776" max="1776" width="19.4285714285714" style="670" customWidth="1"/>
    <col min="1777" max="2008" width="9.14285714285714" style="670"/>
    <col min="2009" max="2009" width="3.42857142857143" style="670" customWidth="1"/>
    <col min="2010" max="2010" width="62.8571428571429" style="670" customWidth="1"/>
    <col min="2011" max="2011" width="21.7142857142857" style="670" customWidth="1"/>
    <col min="2012" max="2018" width="8" style="670" customWidth="1"/>
    <col min="2019" max="2019" width="21.7142857142857" style="670" customWidth="1"/>
    <col min="2020" max="2020" width="22.1428571428571" style="670" customWidth="1"/>
    <col min="2021" max="2021" width="19.8571428571429" style="670" customWidth="1"/>
    <col min="2022" max="2022" width="8" style="670" customWidth="1"/>
    <col min="2023" max="2023" width="22.2857142857143" style="670" customWidth="1"/>
    <col min="2024" max="2026" width="22.1428571428571" style="670" customWidth="1"/>
    <col min="2027" max="2027" width="18.1428571428571" style="670" customWidth="1"/>
    <col min="2028" max="2028" width="22.1428571428571" style="670" customWidth="1"/>
    <col min="2029" max="2029" width="22.5714285714286" style="670" customWidth="1"/>
    <col min="2030" max="2030" width="22.4285714285714" style="670" customWidth="1"/>
    <col min="2031" max="2031" width="20.1428571428571" style="670" customWidth="1"/>
    <col min="2032" max="2032" width="19.4285714285714" style="670" customWidth="1"/>
    <col min="2033" max="2264" width="9.14285714285714" style="670"/>
    <col min="2265" max="2265" width="3.42857142857143" style="670" customWidth="1"/>
    <col min="2266" max="2266" width="62.8571428571429" style="670" customWidth="1"/>
    <col min="2267" max="2267" width="21.7142857142857" style="670" customWidth="1"/>
    <col min="2268" max="2274" width="8" style="670" customWidth="1"/>
    <col min="2275" max="2275" width="21.7142857142857" style="670" customWidth="1"/>
    <col min="2276" max="2276" width="22.1428571428571" style="670" customWidth="1"/>
    <col min="2277" max="2277" width="19.8571428571429" style="670" customWidth="1"/>
    <col min="2278" max="2278" width="8" style="670" customWidth="1"/>
    <col min="2279" max="2279" width="22.2857142857143" style="670" customWidth="1"/>
    <col min="2280" max="2282" width="22.1428571428571" style="670" customWidth="1"/>
    <col min="2283" max="2283" width="18.1428571428571" style="670" customWidth="1"/>
    <col min="2284" max="2284" width="22.1428571428571" style="670" customWidth="1"/>
    <col min="2285" max="2285" width="22.5714285714286" style="670" customWidth="1"/>
    <col min="2286" max="2286" width="22.4285714285714" style="670" customWidth="1"/>
    <col min="2287" max="2287" width="20.1428571428571" style="670" customWidth="1"/>
    <col min="2288" max="2288" width="19.4285714285714" style="670" customWidth="1"/>
    <col min="2289" max="2520" width="9.14285714285714" style="670"/>
    <col min="2521" max="2521" width="3.42857142857143" style="670" customWidth="1"/>
    <col min="2522" max="2522" width="62.8571428571429" style="670" customWidth="1"/>
    <col min="2523" max="2523" width="21.7142857142857" style="670" customWidth="1"/>
    <col min="2524" max="2530" width="8" style="670" customWidth="1"/>
    <col min="2531" max="2531" width="21.7142857142857" style="670" customWidth="1"/>
    <col min="2532" max="2532" width="22.1428571428571" style="670" customWidth="1"/>
    <col min="2533" max="2533" width="19.8571428571429" style="670" customWidth="1"/>
    <col min="2534" max="2534" width="8" style="670" customWidth="1"/>
    <col min="2535" max="2535" width="22.2857142857143" style="670" customWidth="1"/>
    <col min="2536" max="2538" width="22.1428571428571" style="670" customWidth="1"/>
    <col min="2539" max="2539" width="18.1428571428571" style="670" customWidth="1"/>
    <col min="2540" max="2540" width="22.1428571428571" style="670" customWidth="1"/>
    <col min="2541" max="2541" width="22.5714285714286" style="670" customWidth="1"/>
    <col min="2542" max="2542" width="22.4285714285714" style="670" customWidth="1"/>
    <col min="2543" max="2543" width="20.1428571428571" style="670" customWidth="1"/>
    <col min="2544" max="2544" width="19.4285714285714" style="670" customWidth="1"/>
    <col min="2545" max="2776" width="9.14285714285714" style="670"/>
    <col min="2777" max="2777" width="3.42857142857143" style="670" customWidth="1"/>
    <col min="2778" max="2778" width="62.8571428571429" style="670" customWidth="1"/>
    <col min="2779" max="2779" width="21.7142857142857" style="670" customWidth="1"/>
    <col min="2780" max="2786" width="8" style="670" customWidth="1"/>
    <col min="2787" max="2787" width="21.7142857142857" style="670" customWidth="1"/>
    <col min="2788" max="2788" width="22.1428571428571" style="670" customWidth="1"/>
    <col min="2789" max="2789" width="19.8571428571429" style="670" customWidth="1"/>
    <col min="2790" max="2790" width="8" style="670" customWidth="1"/>
    <col min="2791" max="2791" width="22.2857142857143" style="670" customWidth="1"/>
    <col min="2792" max="2794" width="22.1428571428571" style="670" customWidth="1"/>
    <col min="2795" max="2795" width="18.1428571428571" style="670" customWidth="1"/>
    <col min="2796" max="2796" width="22.1428571428571" style="670" customWidth="1"/>
    <col min="2797" max="2797" width="22.5714285714286" style="670" customWidth="1"/>
    <col min="2798" max="2798" width="22.4285714285714" style="670" customWidth="1"/>
    <col min="2799" max="2799" width="20.1428571428571" style="670" customWidth="1"/>
    <col min="2800" max="2800" width="19.4285714285714" style="670" customWidth="1"/>
    <col min="2801" max="3032" width="9.14285714285714" style="670"/>
    <col min="3033" max="3033" width="3.42857142857143" style="670" customWidth="1"/>
    <col min="3034" max="3034" width="62.8571428571429" style="670" customWidth="1"/>
    <col min="3035" max="3035" width="21.7142857142857" style="670" customWidth="1"/>
    <col min="3036" max="3042" width="8" style="670" customWidth="1"/>
    <col min="3043" max="3043" width="21.7142857142857" style="670" customWidth="1"/>
    <col min="3044" max="3044" width="22.1428571428571" style="670" customWidth="1"/>
    <col min="3045" max="3045" width="19.8571428571429" style="670" customWidth="1"/>
    <col min="3046" max="3046" width="8" style="670" customWidth="1"/>
    <col min="3047" max="3047" width="22.2857142857143" style="670" customWidth="1"/>
    <col min="3048" max="3050" width="22.1428571428571" style="670" customWidth="1"/>
    <col min="3051" max="3051" width="18.1428571428571" style="670" customWidth="1"/>
    <col min="3052" max="3052" width="22.1428571428571" style="670" customWidth="1"/>
    <col min="3053" max="3053" width="22.5714285714286" style="670" customWidth="1"/>
    <col min="3054" max="3054" width="22.4285714285714" style="670" customWidth="1"/>
    <col min="3055" max="3055" width="20.1428571428571" style="670" customWidth="1"/>
    <col min="3056" max="3056" width="19.4285714285714" style="670" customWidth="1"/>
    <col min="3057" max="3288" width="9.14285714285714" style="670"/>
    <col min="3289" max="3289" width="3.42857142857143" style="670" customWidth="1"/>
    <col min="3290" max="3290" width="62.8571428571429" style="670" customWidth="1"/>
    <col min="3291" max="3291" width="21.7142857142857" style="670" customWidth="1"/>
    <col min="3292" max="3298" width="8" style="670" customWidth="1"/>
    <col min="3299" max="3299" width="21.7142857142857" style="670" customWidth="1"/>
    <col min="3300" max="3300" width="22.1428571428571" style="670" customWidth="1"/>
    <col min="3301" max="3301" width="19.8571428571429" style="670" customWidth="1"/>
    <col min="3302" max="3302" width="8" style="670" customWidth="1"/>
    <col min="3303" max="3303" width="22.2857142857143" style="670" customWidth="1"/>
    <col min="3304" max="3306" width="22.1428571428571" style="670" customWidth="1"/>
    <col min="3307" max="3307" width="18.1428571428571" style="670" customWidth="1"/>
    <col min="3308" max="3308" width="22.1428571428571" style="670" customWidth="1"/>
    <col min="3309" max="3309" width="22.5714285714286" style="670" customWidth="1"/>
    <col min="3310" max="3310" width="22.4285714285714" style="670" customWidth="1"/>
    <col min="3311" max="3311" width="20.1428571428571" style="670" customWidth="1"/>
    <col min="3312" max="3312" width="19.4285714285714" style="670" customWidth="1"/>
    <col min="3313" max="3544" width="9.14285714285714" style="670"/>
    <col min="3545" max="3545" width="3.42857142857143" style="670" customWidth="1"/>
    <col min="3546" max="3546" width="62.8571428571429" style="670" customWidth="1"/>
    <col min="3547" max="3547" width="21.7142857142857" style="670" customWidth="1"/>
    <col min="3548" max="3554" width="8" style="670" customWidth="1"/>
    <col min="3555" max="3555" width="21.7142857142857" style="670" customWidth="1"/>
    <col min="3556" max="3556" width="22.1428571428571" style="670" customWidth="1"/>
    <col min="3557" max="3557" width="19.8571428571429" style="670" customWidth="1"/>
    <col min="3558" max="3558" width="8" style="670" customWidth="1"/>
    <col min="3559" max="3559" width="22.2857142857143" style="670" customWidth="1"/>
    <col min="3560" max="3562" width="22.1428571428571" style="670" customWidth="1"/>
    <col min="3563" max="3563" width="18.1428571428571" style="670" customWidth="1"/>
    <col min="3564" max="3564" width="22.1428571428571" style="670" customWidth="1"/>
    <col min="3565" max="3565" width="22.5714285714286" style="670" customWidth="1"/>
    <col min="3566" max="3566" width="22.4285714285714" style="670" customWidth="1"/>
    <col min="3567" max="3567" width="20.1428571428571" style="670" customWidth="1"/>
    <col min="3568" max="3568" width="19.4285714285714" style="670" customWidth="1"/>
    <col min="3569" max="3800" width="9.14285714285714" style="670"/>
    <col min="3801" max="3801" width="3.42857142857143" style="670" customWidth="1"/>
    <col min="3802" max="3802" width="62.8571428571429" style="670" customWidth="1"/>
    <col min="3803" max="3803" width="21.7142857142857" style="670" customWidth="1"/>
    <col min="3804" max="3810" width="8" style="670" customWidth="1"/>
    <col min="3811" max="3811" width="21.7142857142857" style="670" customWidth="1"/>
    <col min="3812" max="3812" width="22.1428571428571" style="670" customWidth="1"/>
    <col min="3813" max="3813" width="19.8571428571429" style="670" customWidth="1"/>
    <col min="3814" max="3814" width="8" style="670" customWidth="1"/>
    <col min="3815" max="3815" width="22.2857142857143" style="670" customWidth="1"/>
    <col min="3816" max="3818" width="22.1428571428571" style="670" customWidth="1"/>
    <col min="3819" max="3819" width="18.1428571428571" style="670" customWidth="1"/>
    <col min="3820" max="3820" width="22.1428571428571" style="670" customWidth="1"/>
    <col min="3821" max="3821" width="22.5714285714286" style="670" customWidth="1"/>
    <col min="3822" max="3822" width="22.4285714285714" style="670" customWidth="1"/>
    <col min="3823" max="3823" width="20.1428571428571" style="670" customWidth="1"/>
    <col min="3824" max="3824" width="19.4285714285714" style="670" customWidth="1"/>
    <col min="3825" max="4056" width="9.14285714285714" style="670"/>
    <col min="4057" max="4057" width="3.42857142857143" style="670" customWidth="1"/>
    <col min="4058" max="4058" width="62.8571428571429" style="670" customWidth="1"/>
    <col min="4059" max="4059" width="21.7142857142857" style="670" customWidth="1"/>
    <col min="4060" max="4066" width="8" style="670" customWidth="1"/>
    <col min="4067" max="4067" width="21.7142857142857" style="670" customWidth="1"/>
    <col min="4068" max="4068" width="22.1428571428571" style="670" customWidth="1"/>
    <col min="4069" max="4069" width="19.8571428571429" style="670" customWidth="1"/>
    <col min="4070" max="4070" width="8" style="670" customWidth="1"/>
    <col min="4071" max="4071" width="22.2857142857143" style="670" customWidth="1"/>
    <col min="4072" max="4074" width="22.1428571428571" style="670" customWidth="1"/>
    <col min="4075" max="4075" width="18.1428571428571" style="670" customWidth="1"/>
    <col min="4076" max="4076" width="22.1428571428571" style="670" customWidth="1"/>
    <col min="4077" max="4077" width="22.5714285714286" style="670" customWidth="1"/>
    <col min="4078" max="4078" width="22.4285714285714" style="670" customWidth="1"/>
    <col min="4079" max="4079" width="20.1428571428571" style="670" customWidth="1"/>
    <col min="4080" max="4080" width="19.4285714285714" style="670" customWidth="1"/>
    <col min="4081" max="4312" width="9.14285714285714" style="670"/>
    <col min="4313" max="4313" width="3.42857142857143" style="670" customWidth="1"/>
    <col min="4314" max="4314" width="62.8571428571429" style="670" customWidth="1"/>
    <col min="4315" max="4315" width="21.7142857142857" style="670" customWidth="1"/>
    <col min="4316" max="4322" width="8" style="670" customWidth="1"/>
    <col min="4323" max="4323" width="21.7142857142857" style="670" customWidth="1"/>
    <col min="4324" max="4324" width="22.1428571428571" style="670" customWidth="1"/>
    <col min="4325" max="4325" width="19.8571428571429" style="670" customWidth="1"/>
    <col min="4326" max="4326" width="8" style="670" customWidth="1"/>
    <col min="4327" max="4327" width="22.2857142857143" style="670" customWidth="1"/>
    <col min="4328" max="4330" width="22.1428571428571" style="670" customWidth="1"/>
    <col min="4331" max="4331" width="18.1428571428571" style="670" customWidth="1"/>
    <col min="4332" max="4332" width="22.1428571428571" style="670" customWidth="1"/>
    <col min="4333" max="4333" width="22.5714285714286" style="670" customWidth="1"/>
    <col min="4334" max="4334" width="22.4285714285714" style="670" customWidth="1"/>
    <col min="4335" max="4335" width="20.1428571428571" style="670" customWidth="1"/>
    <col min="4336" max="4336" width="19.4285714285714" style="670" customWidth="1"/>
    <col min="4337" max="4568" width="9.14285714285714" style="670"/>
    <col min="4569" max="4569" width="3.42857142857143" style="670" customWidth="1"/>
    <col min="4570" max="4570" width="62.8571428571429" style="670" customWidth="1"/>
    <col min="4571" max="4571" width="21.7142857142857" style="670" customWidth="1"/>
    <col min="4572" max="4578" width="8" style="670" customWidth="1"/>
    <col min="4579" max="4579" width="21.7142857142857" style="670" customWidth="1"/>
    <col min="4580" max="4580" width="22.1428571428571" style="670" customWidth="1"/>
    <col min="4581" max="4581" width="19.8571428571429" style="670" customWidth="1"/>
    <col min="4582" max="4582" width="8" style="670" customWidth="1"/>
    <col min="4583" max="4583" width="22.2857142857143" style="670" customWidth="1"/>
    <col min="4584" max="4586" width="22.1428571428571" style="670" customWidth="1"/>
    <col min="4587" max="4587" width="18.1428571428571" style="670" customWidth="1"/>
    <col min="4588" max="4588" width="22.1428571428571" style="670" customWidth="1"/>
    <col min="4589" max="4589" width="22.5714285714286" style="670" customWidth="1"/>
    <col min="4590" max="4590" width="22.4285714285714" style="670" customWidth="1"/>
    <col min="4591" max="4591" width="20.1428571428571" style="670" customWidth="1"/>
    <col min="4592" max="4592" width="19.4285714285714" style="670" customWidth="1"/>
    <col min="4593" max="4824" width="9.14285714285714" style="670"/>
    <col min="4825" max="4825" width="3.42857142857143" style="670" customWidth="1"/>
    <col min="4826" max="4826" width="62.8571428571429" style="670" customWidth="1"/>
    <col min="4827" max="4827" width="21.7142857142857" style="670" customWidth="1"/>
    <col min="4828" max="4834" width="8" style="670" customWidth="1"/>
    <col min="4835" max="4835" width="21.7142857142857" style="670" customWidth="1"/>
    <col min="4836" max="4836" width="22.1428571428571" style="670" customWidth="1"/>
    <col min="4837" max="4837" width="19.8571428571429" style="670" customWidth="1"/>
    <col min="4838" max="4838" width="8" style="670" customWidth="1"/>
    <col min="4839" max="4839" width="22.2857142857143" style="670" customWidth="1"/>
    <col min="4840" max="4842" width="22.1428571428571" style="670" customWidth="1"/>
    <col min="4843" max="4843" width="18.1428571428571" style="670" customWidth="1"/>
    <col min="4844" max="4844" width="22.1428571428571" style="670" customWidth="1"/>
    <col min="4845" max="4845" width="22.5714285714286" style="670" customWidth="1"/>
    <col min="4846" max="4846" width="22.4285714285714" style="670" customWidth="1"/>
    <col min="4847" max="4847" width="20.1428571428571" style="670" customWidth="1"/>
    <col min="4848" max="4848" width="19.4285714285714" style="670" customWidth="1"/>
    <col min="4849" max="5080" width="9.14285714285714" style="670"/>
    <col min="5081" max="5081" width="3.42857142857143" style="670" customWidth="1"/>
    <col min="5082" max="5082" width="62.8571428571429" style="670" customWidth="1"/>
    <col min="5083" max="5083" width="21.7142857142857" style="670" customWidth="1"/>
    <col min="5084" max="5090" width="8" style="670" customWidth="1"/>
    <col min="5091" max="5091" width="21.7142857142857" style="670" customWidth="1"/>
    <col min="5092" max="5092" width="22.1428571428571" style="670" customWidth="1"/>
    <col min="5093" max="5093" width="19.8571428571429" style="670" customWidth="1"/>
    <col min="5094" max="5094" width="8" style="670" customWidth="1"/>
    <col min="5095" max="5095" width="22.2857142857143" style="670" customWidth="1"/>
    <col min="5096" max="5098" width="22.1428571428571" style="670" customWidth="1"/>
    <col min="5099" max="5099" width="18.1428571428571" style="670" customWidth="1"/>
    <col min="5100" max="5100" width="22.1428571428571" style="670" customWidth="1"/>
    <col min="5101" max="5101" width="22.5714285714286" style="670" customWidth="1"/>
    <col min="5102" max="5102" width="22.4285714285714" style="670" customWidth="1"/>
    <col min="5103" max="5103" width="20.1428571428571" style="670" customWidth="1"/>
    <col min="5104" max="5104" width="19.4285714285714" style="670" customWidth="1"/>
    <col min="5105" max="5336" width="9.14285714285714" style="670"/>
    <col min="5337" max="5337" width="3.42857142857143" style="670" customWidth="1"/>
    <col min="5338" max="5338" width="62.8571428571429" style="670" customWidth="1"/>
    <col min="5339" max="5339" width="21.7142857142857" style="670" customWidth="1"/>
    <col min="5340" max="5346" width="8" style="670" customWidth="1"/>
    <col min="5347" max="5347" width="21.7142857142857" style="670" customWidth="1"/>
    <col min="5348" max="5348" width="22.1428571428571" style="670" customWidth="1"/>
    <col min="5349" max="5349" width="19.8571428571429" style="670" customWidth="1"/>
    <col min="5350" max="5350" width="8" style="670" customWidth="1"/>
    <col min="5351" max="5351" width="22.2857142857143" style="670" customWidth="1"/>
    <col min="5352" max="5354" width="22.1428571428571" style="670" customWidth="1"/>
    <col min="5355" max="5355" width="18.1428571428571" style="670" customWidth="1"/>
    <col min="5356" max="5356" width="22.1428571428571" style="670" customWidth="1"/>
    <col min="5357" max="5357" width="22.5714285714286" style="670" customWidth="1"/>
    <col min="5358" max="5358" width="22.4285714285714" style="670" customWidth="1"/>
    <col min="5359" max="5359" width="20.1428571428571" style="670" customWidth="1"/>
    <col min="5360" max="5360" width="19.4285714285714" style="670" customWidth="1"/>
    <col min="5361" max="5592" width="9.14285714285714" style="670"/>
    <col min="5593" max="5593" width="3.42857142857143" style="670" customWidth="1"/>
    <col min="5594" max="5594" width="62.8571428571429" style="670" customWidth="1"/>
    <col min="5595" max="5595" width="21.7142857142857" style="670" customWidth="1"/>
    <col min="5596" max="5602" width="8" style="670" customWidth="1"/>
    <col min="5603" max="5603" width="21.7142857142857" style="670" customWidth="1"/>
    <col min="5604" max="5604" width="22.1428571428571" style="670" customWidth="1"/>
    <col min="5605" max="5605" width="19.8571428571429" style="670" customWidth="1"/>
    <col min="5606" max="5606" width="8" style="670" customWidth="1"/>
    <col min="5607" max="5607" width="22.2857142857143" style="670" customWidth="1"/>
    <col min="5608" max="5610" width="22.1428571428571" style="670" customWidth="1"/>
    <col min="5611" max="5611" width="18.1428571428571" style="670" customWidth="1"/>
    <col min="5612" max="5612" width="22.1428571428571" style="670" customWidth="1"/>
    <col min="5613" max="5613" width="22.5714285714286" style="670" customWidth="1"/>
    <col min="5614" max="5614" width="22.4285714285714" style="670" customWidth="1"/>
    <col min="5615" max="5615" width="20.1428571428571" style="670" customWidth="1"/>
    <col min="5616" max="5616" width="19.4285714285714" style="670" customWidth="1"/>
    <col min="5617" max="5848" width="9.14285714285714" style="670"/>
    <col min="5849" max="5849" width="3.42857142857143" style="670" customWidth="1"/>
    <col min="5850" max="5850" width="62.8571428571429" style="670" customWidth="1"/>
    <col min="5851" max="5851" width="21.7142857142857" style="670" customWidth="1"/>
    <col min="5852" max="5858" width="8" style="670" customWidth="1"/>
    <col min="5859" max="5859" width="21.7142857142857" style="670" customWidth="1"/>
    <col min="5860" max="5860" width="22.1428571428571" style="670" customWidth="1"/>
    <col min="5861" max="5861" width="19.8571428571429" style="670" customWidth="1"/>
    <col min="5862" max="5862" width="8" style="670" customWidth="1"/>
    <col min="5863" max="5863" width="22.2857142857143" style="670" customWidth="1"/>
    <col min="5864" max="5866" width="22.1428571428571" style="670" customWidth="1"/>
    <col min="5867" max="5867" width="18.1428571428571" style="670" customWidth="1"/>
    <col min="5868" max="5868" width="22.1428571428571" style="670" customWidth="1"/>
    <col min="5869" max="5869" width="22.5714285714286" style="670" customWidth="1"/>
    <col min="5870" max="5870" width="22.4285714285714" style="670" customWidth="1"/>
    <col min="5871" max="5871" width="20.1428571428571" style="670" customWidth="1"/>
    <col min="5872" max="5872" width="19.4285714285714" style="670" customWidth="1"/>
    <col min="5873" max="6104" width="9.14285714285714" style="670"/>
    <col min="6105" max="6105" width="3.42857142857143" style="670" customWidth="1"/>
    <col min="6106" max="6106" width="62.8571428571429" style="670" customWidth="1"/>
    <col min="6107" max="6107" width="21.7142857142857" style="670" customWidth="1"/>
    <col min="6108" max="6114" width="8" style="670" customWidth="1"/>
    <col min="6115" max="6115" width="21.7142857142857" style="670" customWidth="1"/>
    <col min="6116" max="6116" width="22.1428571428571" style="670" customWidth="1"/>
    <col min="6117" max="6117" width="19.8571428571429" style="670" customWidth="1"/>
    <col min="6118" max="6118" width="8" style="670" customWidth="1"/>
    <col min="6119" max="6119" width="22.2857142857143" style="670" customWidth="1"/>
    <col min="6120" max="6122" width="22.1428571428571" style="670" customWidth="1"/>
    <col min="6123" max="6123" width="18.1428571428571" style="670" customWidth="1"/>
    <col min="6124" max="6124" width="22.1428571428571" style="670" customWidth="1"/>
    <col min="6125" max="6125" width="22.5714285714286" style="670" customWidth="1"/>
    <col min="6126" max="6126" width="22.4285714285714" style="670" customWidth="1"/>
    <col min="6127" max="6127" width="20.1428571428571" style="670" customWidth="1"/>
    <col min="6128" max="6128" width="19.4285714285714" style="670" customWidth="1"/>
    <col min="6129" max="6360" width="9.14285714285714" style="670"/>
    <col min="6361" max="6361" width="3.42857142857143" style="670" customWidth="1"/>
    <col min="6362" max="6362" width="62.8571428571429" style="670" customWidth="1"/>
    <col min="6363" max="6363" width="21.7142857142857" style="670" customWidth="1"/>
    <col min="6364" max="6370" width="8" style="670" customWidth="1"/>
    <col min="6371" max="6371" width="21.7142857142857" style="670" customWidth="1"/>
    <col min="6372" max="6372" width="22.1428571428571" style="670" customWidth="1"/>
    <col min="6373" max="6373" width="19.8571428571429" style="670" customWidth="1"/>
    <col min="6374" max="6374" width="8" style="670" customWidth="1"/>
    <col min="6375" max="6375" width="22.2857142857143" style="670" customWidth="1"/>
    <col min="6376" max="6378" width="22.1428571428571" style="670" customWidth="1"/>
    <col min="6379" max="6379" width="18.1428571428571" style="670" customWidth="1"/>
    <col min="6380" max="6380" width="22.1428571428571" style="670" customWidth="1"/>
    <col min="6381" max="6381" width="22.5714285714286" style="670" customWidth="1"/>
    <col min="6382" max="6382" width="22.4285714285714" style="670" customWidth="1"/>
    <col min="6383" max="6383" width="20.1428571428571" style="670" customWidth="1"/>
    <col min="6384" max="6384" width="19.4285714285714" style="670" customWidth="1"/>
    <col min="6385" max="6616" width="9.14285714285714" style="670"/>
    <col min="6617" max="6617" width="3.42857142857143" style="670" customWidth="1"/>
    <col min="6618" max="6618" width="62.8571428571429" style="670" customWidth="1"/>
    <col min="6619" max="6619" width="21.7142857142857" style="670" customWidth="1"/>
    <col min="6620" max="6626" width="8" style="670" customWidth="1"/>
    <col min="6627" max="6627" width="21.7142857142857" style="670" customWidth="1"/>
    <col min="6628" max="6628" width="22.1428571428571" style="670" customWidth="1"/>
    <col min="6629" max="6629" width="19.8571428571429" style="670" customWidth="1"/>
    <col min="6630" max="6630" width="8" style="670" customWidth="1"/>
    <col min="6631" max="6631" width="22.2857142857143" style="670" customWidth="1"/>
    <col min="6632" max="6634" width="22.1428571428571" style="670" customWidth="1"/>
    <col min="6635" max="6635" width="18.1428571428571" style="670" customWidth="1"/>
    <col min="6636" max="6636" width="22.1428571428571" style="670" customWidth="1"/>
    <col min="6637" max="6637" width="22.5714285714286" style="670" customWidth="1"/>
    <col min="6638" max="6638" width="22.4285714285714" style="670" customWidth="1"/>
    <col min="6639" max="6639" width="20.1428571428571" style="670" customWidth="1"/>
    <col min="6640" max="6640" width="19.4285714285714" style="670" customWidth="1"/>
    <col min="6641" max="6872" width="9.14285714285714" style="670"/>
    <col min="6873" max="6873" width="3.42857142857143" style="670" customWidth="1"/>
    <col min="6874" max="6874" width="62.8571428571429" style="670" customWidth="1"/>
    <col min="6875" max="6875" width="21.7142857142857" style="670" customWidth="1"/>
    <col min="6876" max="6882" width="8" style="670" customWidth="1"/>
    <col min="6883" max="6883" width="21.7142857142857" style="670" customWidth="1"/>
    <col min="6884" max="6884" width="22.1428571428571" style="670" customWidth="1"/>
    <col min="6885" max="6885" width="19.8571428571429" style="670" customWidth="1"/>
    <col min="6886" max="6886" width="8" style="670" customWidth="1"/>
    <col min="6887" max="6887" width="22.2857142857143" style="670" customWidth="1"/>
    <col min="6888" max="6890" width="22.1428571428571" style="670" customWidth="1"/>
    <col min="6891" max="6891" width="18.1428571428571" style="670" customWidth="1"/>
    <col min="6892" max="6892" width="22.1428571428571" style="670" customWidth="1"/>
    <col min="6893" max="6893" width="22.5714285714286" style="670" customWidth="1"/>
    <col min="6894" max="6894" width="22.4285714285714" style="670" customWidth="1"/>
    <col min="6895" max="6895" width="20.1428571428571" style="670" customWidth="1"/>
    <col min="6896" max="6896" width="19.4285714285714" style="670" customWidth="1"/>
    <col min="6897" max="7128" width="9.14285714285714" style="670"/>
    <col min="7129" max="7129" width="3.42857142857143" style="670" customWidth="1"/>
    <col min="7130" max="7130" width="62.8571428571429" style="670" customWidth="1"/>
    <col min="7131" max="7131" width="21.7142857142857" style="670" customWidth="1"/>
    <col min="7132" max="7138" width="8" style="670" customWidth="1"/>
    <col min="7139" max="7139" width="21.7142857142857" style="670" customWidth="1"/>
    <col min="7140" max="7140" width="22.1428571428571" style="670" customWidth="1"/>
    <col min="7141" max="7141" width="19.8571428571429" style="670" customWidth="1"/>
    <col min="7142" max="7142" width="8" style="670" customWidth="1"/>
    <col min="7143" max="7143" width="22.2857142857143" style="670" customWidth="1"/>
    <col min="7144" max="7146" width="22.1428571428571" style="670" customWidth="1"/>
    <col min="7147" max="7147" width="18.1428571428571" style="670" customWidth="1"/>
    <col min="7148" max="7148" width="22.1428571428571" style="670" customWidth="1"/>
    <col min="7149" max="7149" width="22.5714285714286" style="670" customWidth="1"/>
    <col min="7150" max="7150" width="22.4285714285714" style="670" customWidth="1"/>
    <col min="7151" max="7151" width="20.1428571428571" style="670" customWidth="1"/>
    <col min="7152" max="7152" width="19.4285714285714" style="670" customWidth="1"/>
    <col min="7153" max="7384" width="9.14285714285714" style="670"/>
    <col min="7385" max="7385" width="3.42857142857143" style="670" customWidth="1"/>
    <col min="7386" max="7386" width="62.8571428571429" style="670" customWidth="1"/>
    <col min="7387" max="7387" width="21.7142857142857" style="670" customWidth="1"/>
    <col min="7388" max="7394" width="8" style="670" customWidth="1"/>
    <col min="7395" max="7395" width="21.7142857142857" style="670" customWidth="1"/>
    <col min="7396" max="7396" width="22.1428571428571" style="670" customWidth="1"/>
    <col min="7397" max="7397" width="19.8571428571429" style="670" customWidth="1"/>
    <col min="7398" max="7398" width="8" style="670" customWidth="1"/>
    <col min="7399" max="7399" width="22.2857142857143" style="670" customWidth="1"/>
    <col min="7400" max="7402" width="22.1428571428571" style="670" customWidth="1"/>
    <col min="7403" max="7403" width="18.1428571428571" style="670" customWidth="1"/>
    <col min="7404" max="7404" width="22.1428571428571" style="670" customWidth="1"/>
    <col min="7405" max="7405" width="22.5714285714286" style="670" customWidth="1"/>
    <col min="7406" max="7406" width="22.4285714285714" style="670" customWidth="1"/>
    <col min="7407" max="7407" width="20.1428571428571" style="670" customWidth="1"/>
    <col min="7408" max="7408" width="19.4285714285714" style="670" customWidth="1"/>
    <col min="7409" max="7640" width="9.14285714285714" style="670"/>
    <col min="7641" max="7641" width="3.42857142857143" style="670" customWidth="1"/>
    <col min="7642" max="7642" width="62.8571428571429" style="670" customWidth="1"/>
    <col min="7643" max="7643" width="21.7142857142857" style="670" customWidth="1"/>
    <col min="7644" max="7650" width="8" style="670" customWidth="1"/>
    <col min="7651" max="7651" width="21.7142857142857" style="670" customWidth="1"/>
    <col min="7652" max="7652" width="22.1428571428571" style="670" customWidth="1"/>
    <col min="7653" max="7653" width="19.8571428571429" style="670" customWidth="1"/>
    <col min="7654" max="7654" width="8" style="670" customWidth="1"/>
    <col min="7655" max="7655" width="22.2857142857143" style="670" customWidth="1"/>
    <col min="7656" max="7658" width="22.1428571428571" style="670" customWidth="1"/>
    <col min="7659" max="7659" width="18.1428571428571" style="670" customWidth="1"/>
    <col min="7660" max="7660" width="22.1428571428571" style="670" customWidth="1"/>
    <col min="7661" max="7661" width="22.5714285714286" style="670" customWidth="1"/>
    <col min="7662" max="7662" width="22.4285714285714" style="670" customWidth="1"/>
    <col min="7663" max="7663" width="20.1428571428571" style="670" customWidth="1"/>
    <col min="7664" max="7664" width="19.4285714285714" style="670" customWidth="1"/>
    <col min="7665" max="7896" width="9.14285714285714" style="670"/>
    <col min="7897" max="7897" width="3.42857142857143" style="670" customWidth="1"/>
    <col min="7898" max="7898" width="62.8571428571429" style="670" customWidth="1"/>
    <col min="7899" max="7899" width="21.7142857142857" style="670" customWidth="1"/>
    <col min="7900" max="7906" width="8" style="670" customWidth="1"/>
    <col min="7907" max="7907" width="21.7142857142857" style="670" customWidth="1"/>
    <col min="7908" max="7908" width="22.1428571428571" style="670" customWidth="1"/>
    <col min="7909" max="7909" width="19.8571428571429" style="670" customWidth="1"/>
    <col min="7910" max="7910" width="8" style="670" customWidth="1"/>
    <col min="7911" max="7911" width="22.2857142857143" style="670" customWidth="1"/>
    <col min="7912" max="7914" width="22.1428571428571" style="670" customWidth="1"/>
    <col min="7915" max="7915" width="18.1428571428571" style="670" customWidth="1"/>
    <col min="7916" max="7916" width="22.1428571428571" style="670" customWidth="1"/>
    <col min="7917" max="7917" width="22.5714285714286" style="670" customWidth="1"/>
    <col min="7918" max="7918" width="22.4285714285714" style="670" customWidth="1"/>
    <col min="7919" max="7919" width="20.1428571428571" style="670" customWidth="1"/>
    <col min="7920" max="7920" width="19.4285714285714" style="670" customWidth="1"/>
    <col min="7921" max="8152" width="9.14285714285714" style="670"/>
    <col min="8153" max="8153" width="3.42857142857143" style="670" customWidth="1"/>
    <col min="8154" max="8154" width="62.8571428571429" style="670" customWidth="1"/>
    <col min="8155" max="8155" width="21.7142857142857" style="670" customWidth="1"/>
    <col min="8156" max="8162" width="8" style="670" customWidth="1"/>
    <col min="8163" max="8163" width="21.7142857142857" style="670" customWidth="1"/>
    <col min="8164" max="8164" width="22.1428571428571" style="670" customWidth="1"/>
    <col min="8165" max="8165" width="19.8571428571429" style="670" customWidth="1"/>
    <col min="8166" max="8166" width="8" style="670" customWidth="1"/>
    <col min="8167" max="8167" width="22.2857142857143" style="670" customWidth="1"/>
    <col min="8168" max="8170" width="22.1428571428571" style="670" customWidth="1"/>
    <col min="8171" max="8171" width="18.1428571428571" style="670" customWidth="1"/>
    <col min="8172" max="8172" width="22.1428571428571" style="670" customWidth="1"/>
    <col min="8173" max="8173" width="22.5714285714286" style="670" customWidth="1"/>
    <col min="8174" max="8174" width="22.4285714285714" style="670" customWidth="1"/>
    <col min="8175" max="8175" width="20.1428571428571" style="670" customWidth="1"/>
    <col min="8176" max="8176" width="19.4285714285714" style="670" customWidth="1"/>
    <col min="8177" max="8408" width="9.14285714285714" style="670"/>
    <col min="8409" max="8409" width="3.42857142857143" style="670" customWidth="1"/>
    <col min="8410" max="8410" width="62.8571428571429" style="670" customWidth="1"/>
    <col min="8411" max="8411" width="21.7142857142857" style="670" customWidth="1"/>
    <col min="8412" max="8418" width="8" style="670" customWidth="1"/>
    <col min="8419" max="8419" width="21.7142857142857" style="670" customWidth="1"/>
    <col min="8420" max="8420" width="22.1428571428571" style="670" customWidth="1"/>
    <col min="8421" max="8421" width="19.8571428571429" style="670" customWidth="1"/>
    <col min="8422" max="8422" width="8" style="670" customWidth="1"/>
    <col min="8423" max="8423" width="22.2857142857143" style="670" customWidth="1"/>
    <col min="8424" max="8426" width="22.1428571428571" style="670" customWidth="1"/>
    <col min="8427" max="8427" width="18.1428571428571" style="670" customWidth="1"/>
    <col min="8428" max="8428" width="22.1428571428571" style="670" customWidth="1"/>
    <col min="8429" max="8429" width="22.5714285714286" style="670" customWidth="1"/>
    <col min="8430" max="8430" width="22.4285714285714" style="670" customWidth="1"/>
    <col min="8431" max="8431" width="20.1428571428571" style="670" customWidth="1"/>
    <col min="8432" max="8432" width="19.4285714285714" style="670" customWidth="1"/>
    <col min="8433" max="8664" width="9.14285714285714" style="670"/>
    <col min="8665" max="8665" width="3.42857142857143" style="670" customWidth="1"/>
    <col min="8666" max="8666" width="62.8571428571429" style="670" customWidth="1"/>
    <col min="8667" max="8667" width="21.7142857142857" style="670" customWidth="1"/>
    <col min="8668" max="8674" width="8" style="670" customWidth="1"/>
    <col min="8675" max="8675" width="21.7142857142857" style="670" customWidth="1"/>
    <col min="8676" max="8676" width="22.1428571428571" style="670" customWidth="1"/>
    <col min="8677" max="8677" width="19.8571428571429" style="670" customWidth="1"/>
    <col min="8678" max="8678" width="8" style="670" customWidth="1"/>
    <col min="8679" max="8679" width="22.2857142857143" style="670" customWidth="1"/>
    <col min="8680" max="8682" width="22.1428571428571" style="670" customWidth="1"/>
    <col min="8683" max="8683" width="18.1428571428571" style="670" customWidth="1"/>
    <col min="8684" max="8684" width="22.1428571428571" style="670" customWidth="1"/>
    <col min="8685" max="8685" width="22.5714285714286" style="670" customWidth="1"/>
    <col min="8686" max="8686" width="22.4285714285714" style="670" customWidth="1"/>
    <col min="8687" max="8687" width="20.1428571428571" style="670" customWidth="1"/>
    <col min="8688" max="8688" width="19.4285714285714" style="670" customWidth="1"/>
    <col min="8689" max="8920" width="9.14285714285714" style="670"/>
    <col min="8921" max="8921" width="3.42857142857143" style="670" customWidth="1"/>
    <col min="8922" max="8922" width="62.8571428571429" style="670" customWidth="1"/>
    <col min="8923" max="8923" width="21.7142857142857" style="670" customWidth="1"/>
    <col min="8924" max="8930" width="8" style="670" customWidth="1"/>
    <col min="8931" max="8931" width="21.7142857142857" style="670" customWidth="1"/>
    <col min="8932" max="8932" width="22.1428571428571" style="670" customWidth="1"/>
    <col min="8933" max="8933" width="19.8571428571429" style="670" customWidth="1"/>
    <col min="8934" max="8934" width="8" style="670" customWidth="1"/>
    <col min="8935" max="8935" width="22.2857142857143" style="670" customWidth="1"/>
    <col min="8936" max="8938" width="22.1428571428571" style="670" customWidth="1"/>
    <col min="8939" max="8939" width="18.1428571428571" style="670" customWidth="1"/>
    <col min="8940" max="8940" width="22.1428571428571" style="670" customWidth="1"/>
    <col min="8941" max="8941" width="22.5714285714286" style="670" customWidth="1"/>
    <col min="8942" max="8942" width="22.4285714285714" style="670" customWidth="1"/>
    <col min="8943" max="8943" width="20.1428571428571" style="670" customWidth="1"/>
    <col min="8944" max="8944" width="19.4285714285714" style="670" customWidth="1"/>
    <col min="8945" max="9176" width="9.14285714285714" style="670"/>
    <col min="9177" max="9177" width="3.42857142857143" style="670" customWidth="1"/>
    <col min="9178" max="9178" width="62.8571428571429" style="670" customWidth="1"/>
    <col min="9179" max="9179" width="21.7142857142857" style="670" customWidth="1"/>
    <col min="9180" max="9186" width="8" style="670" customWidth="1"/>
    <col min="9187" max="9187" width="21.7142857142857" style="670" customWidth="1"/>
    <col min="9188" max="9188" width="22.1428571428571" style="670" customWidth="1"/>
    <col min="9189" max="9189" width="19.8571428571429" style="670" customWidth="1"/>
    <col min="9190" max="9190" width="8" style="670" customWidth="1"/>
    <col min="9191" max="9191" width="22.2857142857143" style="670" customWidth="1"/>
    <col min="9192" max="9194" width="22.1428571428571" style="670" customWidth="1"/>
    <col min="9195" max="9195" width="18.1428571428571" style="670" customWidth="1"/>
    <col min="9196" max="9196" width="22.1428571428571" style="670" customWidth="1"/>
    <col min="9197" max="9197" width="22.5714285714286" style="670" customWidth="1"/>
    <col min="9198" max="9198" width="22.4285714285714" style="670" customWidth="1"/>
    <col min="9199" max="9199" width="20.1428571428571" style="670" customWidth="1"/>
    <col min="9200" max="9200" width="19.4285714285714" style="670" customWidth="1"/>
    <col min="9201" max="9432" width="9.14285714285714" style="670"/>
    <col min="9433" max="9433" width="3.42857142857143" style="670" customWidth="1"/>
    <col min="9434" max="9434" width="62.8571428571429" style="670" customWidth="1"/>
    <col min="9435" max="9435" width="21.7142857142857" style="670" customWidth="1"/>
    <col min="9436" max="9442" width="8" style="670" customWidth="1"/>
    <col min="9443" max="9443" width="21.7142857142857" style="670" customWidth="1"/>
    <col min="9444" max="9444" width="22.1428571428571" style="670" customWidth="1"/>
    <col min="9445" max="9445" width="19.8571428571429" style="670" customWidth="1"/>
    <col min="9446" max="9446" width="8" style="670" customWidth="1"/>
    <col min="9447" max="9447" width="22.2857142857143" style="670" customWidth="1"/>
    <col min="9448" max="9450" width="22.1428571428571" style="670" customWidth="1"/>
    <col min="9451" max="9451" width="18.1428571428571" style="670" customWidth="1"/>
    <col min="9452" max="9452" width="22.1428571428571" style="670" customWidth="1"/>
    <col min="9453" max="9453" width="22.5714285714286" style="670" customWidth="1"/>
    <col min="9454" max="9454" width="22.4285714285714" style="670" customWidth="1"/>
    <col min="9455" max="9455" width="20.1428571428571" style="670" customWidth="1"/>
    <col min="9456" max="9456" width="19.4285714285714" style="670" customWidth="1"/>
    <col min="9457" max="9688" width="9.14285714285714" style="670"/>
    <col min="9689" max="9689" width="3.42857142857143" style="670" customWidth="1"/>
    <col min="9690" max="9690" width="62.8571428571429" style="670" customWidth="1"/>
    <col min="9691" max="9691" width="21.7142857142857" style="670" customWidth="1"/>
    <col min="9692" max="9698" width="8" style="670" customWidth="1"/>
    <col min="9699" max="9699" width="21.7142857142857" style="670" customWidth="1"/>
    <col min="9700" max="9700" width="22.1428571428571" style="670" customWidth="1"/>
    <col min="9701" max="9701" width="19.8571428571429" style="670" customWidth="1"/>
    <col min="9702" max="9702" width="8" style="670" customWidth="1"/>
    <col min="9703" max="9703" width="22.2857142857143" style="670" customWidth="1"/>
    <col min="9704" max="9706" width="22.1428571428571" style="670" customWidth="1"/>
    <col min="9707" max="9707" width="18.1428571428571" style="670" customWidth="1"/>
    <col min="9708" max="9708" width="22.1428571428571" style="670" customWidth="1"/>
    <col min="9709" max="9709" width="22.5714285714286" style="670" customWidth="1"/>
    <col min="9710" max="9710" width="22.4285714285714" style="670" customWidth="1"/>
    <col min="9711" max="9711" width="20.1428571428571" style="670" customWidth="1"/>
    <col min="9712" max="9712" width="19.4285714285714" style="670" customWidth="1"/>
    <col min="9713" max="9944" width="9.14285714285714" style="670"/>
    <col min="9945" max="9945" width="3.42857142857143" style="670" customWidth="1"/>
    <col min="9946" max="9946" width="62.8571428571429" style="670" customWidth="1"/>
    <col min="9947" max="9947" width="21.7142857142857" style="670" customWidth="1"/>
    <col min="9948" max="9954" width="8" style="670" customWidth="1"/>
    <col min="9955" max="9955" width="21.7142857142857" style="670" customWidth="1"/>
    <col min="9956" max="9956" width="22.1428571428571" style="670" customWidth="1"/>
    <col min="9957" max="9957" width="19.8571428571429" style="670" customWidth="1"/>
    <col min="9958" max="9958" width="8" style="670" customWidth="1"/>
    <col min="9959" max="9959" width="22.2857142857143" style="670" customWidth="1"/>
    <col min="9960" max="9962" width="22.1428571428571" style="670" customWidth="1"/>
    <col min="9963" max="9963" width="18.1428571428571" style="670" customWidth="1"/>
    <col min="9964" max="9964" width="22.1428571428571" style="670" customWidth="1"/>
    <col min="9965" max="9965" width="22.5714285714286" style="670" customWidth="1"/>
    <col min="9966" max="9966" width="22.4285714285714" style="670" customWidth="1"/>
    <col min="9967" max="9967" width="20.1428571428571" style="670" customWidth="1"/>
    <col min="9968" max="9968" width="19.4285714285714" style="670" customWidth="1"/>
    <col min="9969" max="10200" width="9.14285714285714" style="670"/>
    <col min="10201" max="10201" width="3.42857142857143" style="670" customWidth="1"/>
    <col min="10202" max="10202" width="62.8571428571429" style="670" customWidth="1"/>
    <col min="10203" max="10203" width="21.7142857142857" style="670" customWidth="1"/>
    <col min="10204" max="10210" width="8" style="670" customWidth="1"/>
    <col min="10211" max="10211" width="21.7142857142857" style="670" customWidth="1"/>
    <col min="10212" max="10212" width="22.1428571428571" style="670" customWidth="1"/>
    <col min="10213" max="10213" width="19.8571428571429" style="670" customWidth="1"/>
    <col min="10214" max="10214" width="8" style="670" customWidth="1"/>
    <col min="10215" max="10215" width="22.2857142857143" style="670" customWidth="1"/>
    <col min="10216" max="10218" width="22.1428571428571" style="670" customWidth="1"/>
    <col min="10219" max="10219" width="18.1428571428571" style="670" customWidth="1"/>
    <col min="10220" max="10220" width="22.1428571428571" style="670" customWidth="1"/>
    <col min="10221" max="10221" width="22.5714285714286" style="670" customWidth="1"/>
    <col min="10222" max="10222" width="22.4285714285714" style="670" customWidth="1"/>
    <col min="10223" max="10223" width="20.1428571428571" style="670" customWidth="1"/>
    <col min="10224" max="10224" width="19.4285714285714" style="670" customWidth="1"/>
    <col min="10225" max="10456" width="9.14285714285714" style="670"/>
    <col min="10457" max="10457" width="3.42857142857143" style="670" customWidth="1"/>
    <col min="10458" max="10458" width="62.8571428571429" style="670" customWidth="1"/>
    <col min="10459" max="10459" width="21.7142857142857" style="670" customWidth="1"/>
    <col min="10460" max="10466" width="8" style="670" customWidth="1"/>
    <col min="10467" max="10467" width="21.7142857142857" style="670" customWidth="1"/>
    <col min="10468" max="10468" width="22.1428571428571" style="670" customWidth="1"/>
    <col min="10469" max="10469" width="19.8571428571429" style="670" customWidth="1"/>
    <col min="10470" max="10470" width="8" style="670" customWidth="1"/>
    <col min="10471" max="10471" width="22.2857142857143" style="670" customWidth="1"/>
    <col min="10472" max="10474" width="22.1428571428571" style="670" customWidth="1"/>
    <col min="10475" max="10475" width="18.1428571428571" style="670" customWidth="1"/>
    <col min="10476" max="10476" width="22.1428571428571" style="670" customWidth="1"/>
    <col min="10477" max="10477" width="22.5714285714286" style="670" customWidth="1"/>
    <col min="10478" max="10478" width="22.4285714285714" style="670" customWidth="1"/>
    <col min="10479" max="10479" width="20.1428571428571" style="670" customWidth="1"/>
    <col min="10480" max="10480" width="19.4285714285714" style="670" customWidth="1"/>
    <col min="10481" max="10712" width="9.14285714285714" style="670"/>
    <col min="10713" max="10713" width="3.42857142857143" style="670" customWidth="1"/>
    <col min="10714" max="10714" width="62.8571428571429" style="670" customWidth="1"/>
    <col min="10715" max="10715" width="21.7142857142857" style="670" customWidth="1"/>
    <col min="10716" max="10722" width="8" style="670" customWidth="1"/>
    <col min="10723" max="10723" width="21.7142857142857" style="670" customWidth="1"/>
    <col min="10724" max="10724" width="22.1428571428571" style="670" customWidth="1"/>
    <col min="10725" max="10725" width="19.8571428571429" style="670" customWidth="1"/>
    <col min="10726" max="10726" width="8" style="670" customWidth="1"/>
    <col min="10727" max="10727" width="22.2857142857143" style="670" customWidth="1"/>
    <col min="10728" max="10730" width="22.1428571428571" style="670" customWidth="1"/>
    <col min="10731" max="10731" width="18.1428571428571" style="670" customWidth="1"/>
    <col min="10732" max="10732" width="22.1428571428571" style="670" customWidth="1"/>
    <col min="10733" max="10733" width="22.5714285714286" style="670" customWidth="1"/>
    <col min="10734" max="10734" width="22.4285714285714" style="670" customWidth="1"/>
    <col min="10735" max="10735" width="20.1428571428571" style="670" customWidth="1"/>
    <col min="10736" max="10736" width="19.4285714285714" style="670" customWidth="1"/>
    <col min="10737" max="10968" width="9.14285714285714" style="670"/>
    <col min="10969" max="10969" width="3.42857142857143" style="670" customWidth="1"/>
    <col min="10970" max="10970" width="62.8571428571429" style="670" customWidth="1"/>
    <col min="10971" max="10971" width="21.7142857142857" style="670" customWidth="1"/>
    <col min="10972" max="10978" width="8" style="670" customWidth="1"/>
    <col min="10979" max="10979" width="21.7142857142857" style="670" customWidth="1"/>
    <col min="10980" max="10980" width="22.1428571428571" style="670" customWidth="1"/>
    <col min="10981" max="10981" width="19.8571428571429" style="670" customWidth="1"/>
    <col min="10982" max="10982" width="8" style="670" customWidth="1"/>
    <col min="10983" max="10983" width="22.2857142857143" style="670" customWidth="1"/>
    <col min="10984" max="10986" width="22.1428571428571" style="670" customWidth="1"/>
    <col min="10987" max="10987" width="18.1428571428571" style="670" customWidth="1"/>
    <col min="10988" max="10988" width="22.1428571428571" style="670" customWidth="1"/>
    <col min="10989" max="10989" width="22.5714285714286" style="670" customWidth="1"/>
    <col min="10990" max="10990" width="22.4285714285714" style="670" customWidth="1"/>
    <col min="10991" max="10991" width="20.1428571428571" style="670" customWidth="1"/>
    <col min="10992" max="10992" width="19.4285714285714" style="670" customWidth="1"/>
    <col min="10993" max="11224" width="9.14285714285714" style="670"/>
    <col min="11225" max="11225" width="3.42857142857143" style="670" customWidth="1"/>
    <col min="11226" max="11226" width="62.8571428571429" style="670" customWidth="1"/>
    <col min="11227" max="11227" width="21.7142857142857" style="670" customWidth="1"/>
    <col min="11228" max="11234" width="8" style="670" customWidth="1"/>
    <col min="11235" max="11235" width="21.7142857142857" style="670" customWidth="1"/>
    <col min="11236" max="11236" width="22.1428571428571" style="670" customWidth="1"/>
    <col min="11237" max="11237" width="19.8571428571429" style="670" customWidth="1"/>
    <col min="11238" max="11238" width="8" style="670" customWidth="1"/>
    <col min="11239" max="11239" width="22.2857142857143" style="670" customWidth="1"/>
    <col min="11240" max="11242" width="22.1428571428571" style="670" customWidth="1"/>
    <col min="11243" max="11243" width="18.1428571428571" style="670" customWidth="1"/>
    <col min="11244" max="11244" width="22.1428571428571" style="670" customWidth="1"/>
    <col min="11245" max="11245" width="22.5714285714286" style="670" customWidth="1"/>
    <col min="11246" max="11246" width="22.4285714285714" style="670" customWidth="1"/>
    <col min="11247" max="11247" width="20.1428571428571" style="670" customWidth="1"/>
    <col min="11248" max="11248" width="19.4285714285714" style="670" customWidth="1"/>
    <col min="11249" max="11480" width="9.14285714285714" style="670"/>
    <col min="11481" max="11481" width="3.42857142857143" style="670" customWidth="1"/>
    <col min="11482" max="11482" width="62.8571428571429" style="670" customWidth="1"/>
    <col min="11483" max="11483" width="21.7142857142857" style="670" customWidth="1"/>
    <col min="11484" max="11490" width="8" style="670" customWidth="1"/>
    <col min="11491" max="11491" width="21.7142857142857" style="670" customWidth="1"/>
    <col min="11492" max="11492" width="22.1428571428571" style="670" customWidth="1"/>
    <col min="11493" max="11493" width="19.8571428571429" style="670" customWidth="1"/>
    <col min="11494" max="11494" width="8" style="670" customWidth="1"/>
    <col min="11495" max="11495" width="22.2857142857143" style="670" customWidth="1"/>
    <col min="11496" max="11498" width="22.1428571428571" style="670" customWidth="1"/>
    <col min="11499" max="11499" width="18.1428571428571" style="670" customWidth="1"/>
    <col min="11500" max="11500" width="22.1428571428571" style="670" customWidth="1"/>
    <col min="11501" max="11501" width="22.5714285714286" style="670" customWidth="1"/>
    <col min="11502" max="11502" width="22.4285714285714" style="670" customWidth="1"/>
    <col min="11503" max="11503" width="20.1428571428571" style="670" customWidth="1"/>
    <col min="11504" max="11504" width="19.4285714285714" style="670" customWidth="1"/>
    <col min="11505" max="11736" width="9.14285714285714" style="670"/>
    <col min="11737" max="11737" width="3.42857142857143" style="670" customWidth="1"/>
    <col min="11738" max="11738" width="62.8571428571429" style="670" customWidth="1"/>
    <col min="11739" max="11739" width="21.7142857142857" style="670" customWidth="1"/>
    <col min="11740" max="11746" width="8" style="670" customWidth="1"/>
    <col min="11747" max="11747" width="21.7142857142857" style="670" customWidth="1"/>
    <col min="11748" max="11748" width="22.1428571428571" style="670" customWidth="1"/>
    <col min="11749" max="11749" width="19.8571428571429" style="670" customWidth="1"/>
    <col min="11750" max="11750" width="8" style="670" customWidth="1"/>
    <col min="11751" max="11751" width="22.2857142857143" style="670" customWidth="1"/>
    <col min="11752" max="11754" width="22.1428571428571" style="670" customWidth="1"/>
    <col min="11755" max="11755" width="18.1428571428571" style="670" customWidth="1"/>
    <col min="11756" max="11756" width="22.1428571428571" style="670" customWidth="1"/>
    <col min="11757" max="11757" width="22.5714285714286" style="670" customWidth="1"/>
    <col min="11758" max="11758" width="22.4285714285714" style="670" customWidth="1"/>
    <col min="11759" max="11759" width="20.1428571428571" style="670" customWidth="1"/>
    <col min="11760" max="11760" width="19.4285714285714" style="670" customWidth="1"/>
    <col min="11761" max="11992" width="9.14285714285714" style="670"/>
    <col min="11993" max="11993" width="3.42857142857143" style="670" customWidth="1"/>
    <col min="11994" max="11994" width="62.8571428571429" style="670" customWidth="1"/>
    <col min="11995" max="11995" width="21.7142857142857" style="670" customWidth="1"/>
    <col min="11996" max="12002" width="8" style="670" customWidth="1"/>
    <col min="12003" max="12003" width="21.7142857142857" style="670" customWidth="1"/>
    <col min="12004" max="12004" width="22.1428571428571" style="670" customWidth="1"/>
    <col min="12005" max="12005" width="19.8571428571429" style="670" customWidth="1"/>
    <col min="12006" max="12006" width="8" style="670" customWidth="1"/>
    <col min="12007" max="12007" width="22.2857142857143" style="670" customWidth="1"/>
    <col min="12008" max="12010" width="22.1428571428571" style="670" customWidth="1"/>
    <col min="12011" max="12011" width="18.1428571428571" style="670" customWidth="1"/>
    <col min="12012" max="12012" width="22.1428571428571" style="670" customWidth="1"/>
    <col min="12013" max="12013" width="22.5714285714286" style="670" customWidth="1"/>
    <col min="12014" max="12014" width="22.4285714285714" style="670" customWidth="1"/>
    <col min="12015" max="12015" width="20.1428571428571" style="670" customWidth="1"/>
    <col min="12016" max="12016" width="19.4285714285714" style="670" customWidth="1"/>
    <col min="12017" max="12248" width="9.14285714285714" style="670"/>
    <col min="12249" max="12249" width="3.42857142857143" style="670" customWidth="1"/>
    <col min="12250" max="12250" width="62.8571428571429" style="670" customWidth="1"/>
    <col min="12251" max="12251" width="21.7142857142857" style="670" customWidth="1"/>
    <col min="12252" max="12258" width="8" style="670" customWidth="1"/>
    <col min="12259" max="12259" width="21.7142857142857" style="670" customWidth="1"/>
    <col min="12260" max="12260" width="22.1428571428571" style="670" customWidth="1"/>
    <col min="12261" max="12261" width="19.8571428571429" style="670" customWidth="1"/>
    <col min="12262" max="12262" width="8" style="670" customWidth="1"/>
    <col min="12263" max="12263" width="22.2857142857143" style="670" customWidth="1"/>
    <col min="12264" max="12266" width="22.1428571428571" style="670" customWidth="1"/>
    <col min="12267" max="12267" width="18.1428571428571" style="670" customWidth="1"/>
    <col min="12268" max="12268" width="22.1428571428571" style="670" customWidth="1"/>
    <col min="12269" max="12269" width="22.5714285714286" style="670" customWidth="1"/>
    <col min="12270" max="12270" width="22.4285714285714" style="670" customWidth="1"/>
    <col min="12271" max="12271" width="20.1428571428571" style="670" customWidth="1"/>
    <col min="12272" max="12272" width="19.4285714285714" style="670" customWidth="1"/>
    <col min="12273" max="12504" width="9.14285714285714" style="670"/>
    <col min="12505" max="12505" width="3.42857142857143" style="670" customWidth="1"/>
    <col min="12506" max="12506" width="62.8571428571429" style="670" customWidth="1"/>
    <col min="12507" max="12507" width="21.7142857142857" style="670" customWidth="1"/>
    <col min="12508" max="12514" width="8" style="670" customWidth="1"/>
    <col min="12515" max="12515" width="21.7142857142857" style="670" customWidth="1"/>
    <col min="12516" max="12516" width="22.1428571428571" style="670" customWidth="1"/>
    <col min="12517" max="12517" width="19.8571428571429" style="670" customWidth="1"/>
    <col min="12518" max="12518" width="8" style="670" customWidth="1"/>
    <col min="12519" max="12519" width="22.2857142857143" style="670" customWidth="1"/>
    <col min="12520" max="12522" width="22.1428571428571" style="670" customWidth="1"/>
    <col min="12523" max="12523" width="18.1428571428571" style="670" customWidth="1"/>
    <col min="12524" max="12524" width="22.1428571428571" style="670" customWidth="1"/>
    <col min="12525" max="12525" width="22.5714285714286" style="670" customWidth="1"/>
    <col min="12526" max="12526" width="22.4285714285714" style="670" customWidth="1"/>
    <col min="12527" max="12527" width="20.1428571428571" style="670" customWidth="1"/>
    <col min="12528" max="12528" width="19.4285714285714" style="670" customWidth="1"/>
    <col min="12529" max="12760" width="9.14285714285714" style="670"/>
    <col min="12761" max="12761" width="3.42857142857143" style="670" customWidth="1"/>
    <col min="12762" max="12762" width="62.8571428571429" style="670" customWidth="1"/>
    <col min="12763" max="12763" width="21.7142857142857" style="670" customWidth="1"/>
    <col min="12764" max="12770" width="8" style="670" customWidth="1"/>
    <col min="12771" max="12771" width="21.7142857142857" style="670" customWidth="1"/>
    <col min="12772" max="12772" width="22.1428571428571" style="670" customWidth="1"/>
    <col min="12773" max="12773" width="19.8571428571429" style="670" customWidth="1"/>
    <col min="12774" max="12774" width="8" style="670" customWidth="1"/>
    <col min="12775" max="12775" width="22.2857142857143" style="670" customWidth="1"/>
    <col min="12776" max="12778" width="22.1428571428571" style="670" customWidth="1"/>
    <col min="12779" max="12779" width="18.1428571428571" style="670" customWidth="1"/>
    <col min="12780" max="12780" width="22.1428571428571" style="670" customWidth="1"/>
    <col min="12781" max="12781" width="22.5714285714286" style="670" customWidth="1"/>
    <col min="12782" max="12782" width="22.4285714285714" style="670" customWidth="1"/>
    <col min="12783" max="12783" width="20.1428571428571" style="670" customWidth="1"/>
    <col min="12784" max="12784" width="19.4285714285714" style="670" customWidth="1"/>
    <col min="12785" max="13016" width="9.14285714285714" style="670"/>
    <col min="13017" max="13017" width="3.42857142857143" style="670" customWidth="1"/>
    <col min="13018" max="13018" width="62.8571428571429" style="670" customWidth="1"/>
    <col min="13019" max="13019" width="21.7142857142857" style="670" customWidth="1"/>
    <col min="13020" max="13026" width="8" style="670" customWidth="1"/>
    <col min="13027" max="13027" width="21.7142857142857" style="670" customWidth="1"/>
    <col min="13028" max="13028" width="22.1428571428571" style="670" customWidth="1"/>
    <col min="13029" max="13029" width="19.8571428571429" style="670" customWidth="1"/>
    <col min="13030" max="13030" width="8" style="670" customWidth="1"/>
    <col min="13031" max="13031" width="22.2857142857143" style="670" customWidth="1"/>
    <col min="13032" max="13034" width="22.1428571428571" style="670" customWidth="1"/>
    <col min="13035" max="13035" width="18.1428571428571" style="670" customWidth="1"/>
    <col min="13036" max="13036" width="22.1428571428571" style="670" customWidth="1"/>
    <col min="13037" max="13037" width="22.5714285714286" style="670" customWidth="1"/>
    <col min="13038" max="13038" width="22.4285714285714" style="670" customWidth="1"/>
    <col min="13039" max="13039" width="20.1428571428571" style="670" customWidth="1"/>
    <col min="13040" max="13040" width="19.4285714285714" style="670" customWidth="1"/>
    <col min="13041" max="13272" width="9.14285714285714" style="670"/>
    <col min="13273" max="13273" width="3.42857142857143" style="670" customWidth="1"/>
    <col min="13274" max="13274" width="62.8571428571429" style="670" customWidth="1"/>
    <col min="13275" max="13275" width="21.7142857142857" style="670" customWidth="1"/>
    <col min="13276" max="13282" width="8" style="670" customWidth="1"/>
    <col min="13283" max="13283" width="21.7142857142857" style="670" customWidth="1"/>
    <col min="13284" max="13284" width="22.1428571428571" style="670" customWidth="1"/>
    <col min="13285" max="13285" width="19.8571428571429" style="670" customWidth="1"/>
    <col min="13286" max="13286" width="8" style="670" customWidth="1"/>
    <col min="13287" max="13287" width="22.2857142857143" style="670" customWidth="1"/>
    <col min="13288" max="13290" width="22.1428571428571" style="670" customWidth="1"/>
    <col min="13291" max="13291" width="18.1428571428571" style="670" customWidth="1"/>
    <col min="13292" max="13292" width="22.1428571428571" style="670" customWidth="1"/>
    <col min="13293" max="13293" width="22.5714285714286" style="670" customWidth="1"/>
    <col min="13294" max="13294" width="22.4285714285714" style="670" customWidth="1"/>
    <col min="13295" max="13295" width="20.1428571428571" style="670" customWidth="1"/>
    <col min="13296" max="13296" width="19.4285714285714" style="670" customWidth="1"/>
    <col min="13297" max="13528" width="9.14285714285714" style="670"/>
    <col min="13529" max="13529" width="3.42857142857143" style="670" customWidth="1"/>
    <col min="13530" max="13530" width="62.8571428571429" style="670" customWidth="1"/>
    <col min="13531" max="13531" width="21.7142857142857" style="670" customWidth="1"/>
    <col min="13532" max="13538" width="8" style="670" customWidth="1"/>
    <col min="13539" max="13539" width="21.7142857142857" style="670" customWidth="1"/>
    <col min="13540" max="13540" width="22.1428571428571" style="670" customWidth="1"/>
    <col min="13541" max="13541" width="19.8571428571429" style="670" customWidth="1"/>
    <col min="13542" max="13542" width="8" style="670" customWidth="1"/>
    <col min="13543" max="13543" width="22.2857142857143" style="670" customWidth="1"/>
    <col min="13544" max="13546" width="22.1428571428571" style="670" customWidth="1"/>
    <col min="13547" max="13547" width="18.1428571428571" style="670" customWidth="1"/>
    <col min="13548" max="13548" width="22.1428571428571" style="670" customWidth="1"/>
    <col min="13549" max="13549" width="22.5714285714286" style="670" customWidth="1"/>
    <col min="13550" max="13550" width="22.4285714285714" style="670" customWidth="1"/>
    <col min="13551" max="13551" width="20.1428571428571" style="670" customWidth="1"/>
    <col min="13552" max="13552" width="19.4285714285714" style="670" customWidth="1"/>
    <col min="13553" max="13784" width="9.14285714285714" style="670"/>
    <col min="13785" max="13785" width="3.42857142857143" style="670" customWidth="1"/>
    <col min="13786" max="13786" width="62.8571428571429" style="670" customWidth="1"/>
    <col min="13787" max="13787" width="21.7142857142857" style="670" customWidth="1"/>
    <col min="13788" max="13794" width="8" style="670" customWidth="1"/>
    <col min="13795" max="13795" width="21.7142857142857" style="670" customWidth="1"/>
    <col min="13796" max="13796" width="22.1428571428571" style="670" customWidth="1"/>
    <col min="13797" max="13797" width="19.8571428571429" style="670" customWidth="1"/>
    <col min="13798" max="13798" width="8" style="670" customWidth="1"/>
    <col min="13799" max="13799" width="22.2857142857143" style="670" customWidth="1"/>
    <col min="13800" max="13802" width="22.1428571428571" style="670" customWidth="1"/>
    <col min="13803" max="13803" width="18.1428571428571" style="670" customWidth="1"/>
    <col min="13804" max="13804" width="22.1428571428571" style="670" customWidth="1"/>
    <col min="13805" max="13805" width="22.5714285714286" style="670" customWidth="1"/>
    <col min="13806" max="13806" width="22.4285714285714" style="670" customWidth="1"/>
    <col min="13807" max="13807" width="20.1428571428571" style="670" customWidth="1"/>
    <col min="13808" max="13808" width="19.4285714285714" style="670" customWidth="1"/>
    <col min="13809" max="14040" width="9.14285714285714" style="670"/>
    <col min="14041" max="14041" width="3.42857142857143" style="670" customWidth="1"/>
    <col min="14042" max="14042" width="62.8571428571429" style="670" customWidth="1"/>
    <col min="14043" max="14043" width="21.7142857142857" style="670" customWidth="1"/>
    <col min="14044" max="14050" width="8" style="670" customWidth="1"/>
    <col min="14051" max="14051" width="21.7142857142857" style="670" customWidth="1"/>
    <col min="14052" max="14052" width="22.1428571428571" style="670" customWidth="1"/>
    <col min="14053" max="14053" width="19.8571428571429" style="670" customWidth="1"/>
    <col min="14054" max="14054" width="8" style="670" customWidth="1"/>
    <col min="14055" max="14055" width="22.2857142857143" style="670" customWidth="1"/>
    <col min="14056" max="14058" width="22.1428571428571" style="670" customWidth="1"/>
    <col min="14059" max="14059" width="18.1428571428571" style="670" customWidth="1"/>
    <col min="14060" max="14060" width="22.1428571428571" style="670" customWidth="1"/>
    <col min="14061" max="14061" width="22.5714285714286" style="670" customWidth="1"/>
    <col min="14062" max="14062" width="22.4285714285714" style="670" customWidth="1"/>
    <col min="14063" max="14063" width="20.1428571428571" style="670" customWidth="1"/>
    <col min="14064" max="14064" width="19.4285714285714" style="670" customWidth="1"/>
    <col min="14065" max="14296" width="9.14285714285714" style="670"/>
    <col min="14297" max="14297" width="3.42857142857143" style="670" customWidth="1"/>
    <col min="14298" max="14298" width="62.8571428571429" style="670" customWidth="1"/>
    <col min="14299" max="14299" width="21.7142857142857" style="670" customWidth="1"/>
    <col min="14300" max="14306" width="8" style="670" customWidth="1"/>
    <col min="14307" max="14307" width="21.7142857142857" style="670" customWidth="1"/>
    <col min="14308" max="14308" width="22.1428571428571" style="670" customWidth="1"/>
    <col min="14309" max="14309" width="19.8571428571429" style="670" customWidth="1"/>
    <col min="14310" max="14310" width="8" style="670" customWidth="1"/>
    <col min="14311" max="14311" width="22.2857142857143" style="670" customWidth="1"/>
    <col min="14312" max="14314" width="22.1428571428571" style="670" customWidth="1"/>
    <col min="14315" max="14315" width="18.1428571428571" style="670" customWidth="1"/>
    <col min="14316" max="14316" width="22.1428571428571" style="670" customWidth="1"/>
    <col min="14317" max="14317" width="22.5714285714286" style="670" customWidth="1"/>
    <col min="14318" max="14318" width="22.4285714285714" style="670" customWidth="1"/>
    <col min="14319" max="14319" width="20.1428571428571" style="670" customWidth="1"/>
    <col min="14320" max="14320" width="19.4285714285714" style="670" customWidth="1"/>
    <col min="14321" max="14552" width="9.14285714285714" style="670"/>
    <col min="14553" max="14553" width="3.42857142857143" style="670" customWidth="1"/>
    <col min="14554" max="14554" width="62.8571428571429" style="670" customWidth="1"/>
    <col min="14555" max="14555" width="21.7142857142857" style="670" customWidth="1"/>
    <col min="14556" max="14562" width="8" style="670" customWidth="1"/>
    <col min="14563" max="14563" width="21.7142857142857" style="670" customWidth="1"/>
    <col min="14564" max="14564" width="22.1428571428571" style="670" customWidth="1"/>
    <col min="14565" max="14565" width="19.8571428571429" style="670" customWidth="1"/>
    <col min="14566" max="14566" width="8" style="670" customWidth="1"/>
    <col min="14567" max="14567" width="22.2857142857143" style="670" customWidth="1"/>
    <col min="14568" max="14570" width="22.1428571428571" style="670" customWidth="1"/>
    <col min="14571" max="14571" width="18.1428571428571" style="670" customWidth="1"/>
    <col min="14572" max="14572" width="22.1428571428571" style="670" customWidth="1"/>
    <col min="14573" max="14573" width="22.5714285714286" style="670" customWidth="1"/>
    <col min="14574" max="14574" width="22.4285714285714" style="670" customWidth="1"/>
    <col min="14575" max="14575" width="20.1428571428571" style="670" customWidth="1"/>
    <col min="14576" max="14576" width="19.4285714285714" style="670" customWidth="1"/>
    <col min="14577" max="14808" width="9.14285714285714" style="670"/>
    <col min="14809" max="14809" width="3.42857142857143" style="670" customWidth="1"/>
    <col min="14810" max="14810" width="62.8571428571429" style="670" customWidth="1"/>
    <col min="14811" max="14811" width="21.7142857142857" style="670" customWidth="1"/>
    <col min="14812" max="14818" width="8" style="670" customWidth="1"/>
    <col min="14819" max="14819" width="21.7142857142857" style="670" customWidth="1"/>
    <col min="14820" max="14820" width="22.1428571428571" style="670" customWidth="1"/>
    <col min="14821" max="14821" width="19.8571428571429" style="670" customWidth="1"/>
    <col min="14822" max="14822" width="8" style="670" customWidth="1"/>
    <col min="14823" max="14823" width="22.2857142857143" style="670" customWidth="1"/>
    <col min="14824" max="14826" width="22.1428571428571" style="670" customWidth="1"/>
    <col min="14827" max="14827" width="18.1428571428571" style="670" customWidth="1"/>
    <col min="14828" max="14828" width="22.1428571428571" style="670" customWidth="1"/>
    <col min="14829" max="14829" width="22.5714285714286" style="670" customWidth="1"/>
    <col min="14830" max="14830" width="22.4285714285714" style="670" customWidth="1"/>
    <col min="14831" max="14831" width="20.1428571428571" style="670" customWidth="1"/>
    <col min="14832" max="14832" width="19.4285714285714" style="670" customWidth="1"/>
    <col min="14833" max="15064" width="9.14285714285714" style="670"/>
    <col min="15065" max="15065" width="3.42857142857143" style="670" customWidth="1"/>
    <col min="15066" max="15066" width="62.8571428571429" style="670" customWidth="1"/>
    <col min="15067" max="15067" width="21.7142857142857" style="670" customWidth="1"/>
    <col min="15068" max="15074" width="8" style="670" customWidth="1"/>
    <col min="15075" max="15075" width="21.7142857142857" style="670" customWidth="1"/>
    <col min="15076" max="15076" width="22.1428571428571" style="670" customWidth="1"/>
    <col min="15077" max="15077" width="19.8571428571429" style="670" customWidth="1"/>
    <col min="15078" max="15078" width="8" style="670" customWidth="1"/>
    <col min="15079" max="15079" width="22.2857142857143" style="670" customWidth="1"/>
    <col min="15080" max="15082" width="22.1428571428571" style="670" customWidth="1"/>
    <col min="15083" max="15083" width="18.1428571428571" style="670" customWidth="1"/>
    <col min="15084" max="15084" width="22.1428571428571" style="670" customWidth="1"/>
    <col min="15085" max="15085" width="22.5714285714286" style="670" customWidth="1"/>
    <col min="15086" max="15086" width="22.4285714285714" style="670" customWidth="1"/>
    <col min="15087" max="15087" width="20.1428571428571" style="670" customWidth="1"/>
    <col min="15088" max="15088" width="19.4285714285714" style="670" customWidth="1"/>
    <col min="15089" max="15320" width="9.14285714285714" style="670"/>
    <col min="15321" max="15321" width="3.42857142857143" style="670" customWidth="1"/>
    <col min="15322" max="15322" width="62.8571428571429" style="670" customWidth="1"/>
    <col min="15323" max="15323" width="21.7142857142857" style="670" customWidth="1"/>
    <col min="15324" max="15330" width="8" style="670" customWidth="1"/>
    <col min="15331" max="15331" width="21.7142857142857" style="670" customWidth="1"/>
    <col min="15332" max="15332" width="22.1428571428571" style="670" customWidth="1"/>
    <col min="15333" max="15333" width="19.8571428571429" style="670" customWidth="1"/>
    <col min="15334" max="15334" width="8" style="670" customWidth="1"/>
    <col min="15335" max="15335" width="22.2857142857143" style="670" customWidth="1"/>
    <col min="15336" max="15338" width="22.1428571428571" style="670" customWidth="1"/>
    <col min="15339" max="15339" width="18.1428571428571" style="670" customWidth="1"/>
    <col min="15340" max="15340" width="22.1428571428571" style="670" customWidth="1"/>
    <col min="15341" max="15341" width="22.5714285714286" style="670" customWidth="1"/>
    <col min="15342" max="15342" width="22.4285714285714" style="670" customWidth="1"/>
    <col min="15343" max="15343" width="20.1428571428571" style="670" customWidth="1"/>
    <col min="15344" max="15344" width="19.4285714285714" style="670" customWidth="1"/>
    <col min="15345" max="15576" width="9.14285714285714" style="670"/>
    <col min="15577" max="15577" width="3.42857142857143" style="670" customWidth="1"/>
    <col min="15578" max="15578" width="62.8571428571429" style="670" customWidth="1"/>
    <col min="15579" max="15579" width="21.7142857142857" style="670" customWidth="1"/>
    <col min="15580" max="15586" width="8" style="670" customWidth="1"/>
    <col min="15587" max="15587" width="21.7142857142857" style="670" customWidth="1"/>
    <col min="15588" max="15588" width="22.1428571428571" style="670" customWidth="1"/>
    <col min="15589" max="15589" width="19.8571428571429" style="670" customWidth="1"/>
    <col min="15590" max="15590" width="8" style="670" customWidth="1"/>
    <col min="15591" max="15591" width="22.2857142857143" style="670" customWidth="1"/>
    <col min="15592" max="15594" width="22.1428571428571" style="670" customWidth="1"/>
    <col min="15595" max="15595" width="18.1428571428571" style="670" customWidth="1"/>
    <col min="15596" max="15596" width="22.1428571428571" style="670" customWidth="1"/>
    <col min="15597" max="15597" width="22.5714285714286" style="670" customWidth="1"/>
    <col min="15598" max="15598" width="22.4285714285714" style="670" customWidth="1"/>
    <col min="15599" max="15599" width="20.1428571428571" style="670" customWidth="1"/>
    <col min="15600" max="15600" width="19.4285714285714" style="670" customWidth="1"/>
    <col min="15601" max="15832" width="9.14285714285714" style="670"/>
    <col min="15833" max="15833" width="3.42857142857143" style="670" customWidth="1"/>
    <col min="15834" max="15834" width="62.8571428571429" style="670" customWidth="1"/>
    <col min="15835" max="15835" width="21.7142857142857" style="670" customWidth="1"/>
    <col min="15836" max="15842" width="8" style="670" customWidth="1"/>
    <col min="15843" max="15843" width="21.7142857142857" style="670" customWidth="1"/>
    <col min="15844" max="15844" width="22.1428571428571" style="670" customWidth="1"/>
    <col min="15845" max="15845" width="19.8571428571429" style="670" customWidth="1"/>
    <col min="15846" max="15846" width="8" style="670" customWidth="1"/>
    <col min="15847" max="15847" width="22.2857142857143" style="670" customWidth="1"/>
    <col min="15848" max="15850" width="22.1428571428571" style="670" customWidth="1"/>
    <col min="15851" max="15851" width="18.1428571428571" style="670" customWidth="1"/>
    <col min="15852" max="15852" width="22.1428571428571" style="670" customWidth="1"/>
    <col min="15853" max="15853" width="22.5714285714286" style="670" customWidth="1"/>
    <col min="15854" max="15854" width="22.4285714285714" style="670" customWidth="1"/>
    <col min="15855" max="15855" width="20.1428571428571" style="670" customWidth="1"/>
    <col min="15856" max="15856" width="19.4285714285714" style="670" customWidth="1"/>
    <col min="15857" max="16088" width="9.14285714285714" style="670"/>
    <col min="16089" max="16089" width="3.42857142857143" style="670" customWidth="1"/>
    <col min="16090" max="16090" width="62.8571428571429" style="670" customWidth="1"/>
    <col min="16091" max="16091" width="21.7142857142857" style="670" customWidth="1"/>
    <col min="16092" max="16098" width="8" style="670" customWidth="1"/>
    <col min="16099" max="16099" width="21.7142857142857" style="670" customWidth="1"/>
    <col min="16100" max="16100" width="22.1428571428571" style="670" customWidth="1"/>
    <col min="16101" max="16101" width="19.8571428571429" style="670" customWidth="1"/>
    <col min="16102" max="16102" width="8" style="670" customWidth="1"/>
    <col min="16103" max="16103" width="22.2857142857143" style="670" customWidth="1"/>
    <col min="16104" max="16106" width="22.1428571428571" style="670" customWidth="1"/>
    <col min="16107" max="16107" width="18.1428571428571" style="670" customWidth="1"/>
    <col min="16108" max="16108" width="22.1428571428571" style="670" customWidth="1"/>
    <col min="16109" max="16109" width="22.5714285714286" style="670" customWidth="1"/>
    <col min="16110" max="16110" width="22.4285714285714" style="670" customWidth="1"/>
    <col min="16111" max="16111" width="20.1428571428571" style="670" customWidth="1"/>
    <col min="16112" max="16112" width="19.4285714285714" style="670" customWidth="1"/>
    <col min="16113" max="16384" width="9.14285714285714" style="670"/>
  </cols>
  <sheetData>
    <row r="1" ht="122.25" customHeight="1" spans="1:19">
      <c r="E1" s="671" t="s">
        <v>63</v>
      </c>
      <c r="F1" s="671"/>
      <c r="G1" s="671"/>
      <c r="H1" s="671"/>
      <c r="I1" s="671"/>
      <c r="J1" s="671"/>
      <c r="K1" s="671"/>
    </row>
    <row r="2" ht="53.25" customHeight="1"/>
    <row r="3" ht="48" customHeight="1" spans="1:19">
      <c r="A3" s="667" t="s">
        <v>64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</row>
    <row r="4" spans="1:19">
      <c r="A4" s="667"/>
      <c r="B4" s="667"/>
      <c r="C4" s="667"/>
      <c r="D4" s="667"/>
      <c r="E4" s="667"/>
      <c r="F4" s="667"/>
      <c r="G4" s="667"/>
      <c r="H4" s="667"/>
      <c r="I4" s="667"/>
      <c r="J4" s="667"/>
    </row>
    <row r="5" ht="18.75" customHeight="1" spans="1:19">
      <c r="A5" s="672" t="s">
        <v>65</v>
      </c>
      <c r="B5" s="672"/>
      <c r="C5" s="672"/>
      <c r="D5" s="672"/>
      <c r="E5" s="672"/>
      <c r="F5" s="672"/>
      <c r="G5" s="672"/>
      <c r="H5" s="672"/>
      <c r="I5" s="672"/>
      <c r="J5" s="672"/>
      <c r="K5" s="672"/>
    </row>
    <row r="6" ht="58.5" customHeight="1" spans="1:19">
      <c r="A6" s="672" t="s">
        <v>66</v>
      </c>
      <c r="B6" s="672"/>
      <c r="C6" s="672"/>
      <c r="D6" s="672"/>
      <c r="E6" s="672"/>
      <c r="F6" s="672"/>
      <c r="G6" s="672"/>
      <c r="H6" s="672"/>
      <c r="I6" s="672"/>
      <c r="J6" s="672"/>
      <c r="K6" s="672"/>
    </row>
    <row r="7" spans="1:19">
      <c r="A7" s="673"/>
      <c r="B7" s="674"/>
      <c r="C7" s="673"/>
      <c r="D7" s="673"/>
      <c r="E7" s="673"/>
      <c r="F7" s="673"/>
      <c r="G7" s="673"/>
      <c r="H7" s="673"/>
      <c r="I7" s="673"/>
      <c r="J7" s="673"/>
    </row>
    <row r="8" ht="38.25" customHeight="1" spans="1:19">
      <c r="A8" s="675" t="s">
        <v>67</v>
      </c>
      <c r="B8" s="676" t="s">
        <v>68</v>
      </c>
      <c r="C8" s="677"/>
      <c r="D8" s="677"/>
      <c r="E8" s="677"/>
      <c r="F8" s="677"/>
      <c r="G8" s="677"/>
      <c r="H8" s="677"/>
      <c r="I8" s="677"/>
      <c r="J8" s="678"/>
      <c r="K8" s="679" t="s">
        <v>69</v>
      </c>
    </row>
    <row r="9" ht="40.5" spans="1:19">
      <c r="A9" s="675"/>
      <c r="B9" s="675" t="s">
        <v>70</v>
      </c>
      <c r="C9" s="680"/>
      <c r="D9" s="680">
        <v>2025</v>
      </c>
      <c r="E9" s="680">
        <v>2026</v>
      </c>
      <c r="F9" s="680">
        <v>2027</v>
      </c>
      <c r="G9" s="680" t="s">
        <v>8</v>
      </c>
      <c r="H9" s="680"/>
      <c r="I9" s="680" t="s">
        <v>71</v>
      </c>
      <c r="J9" s="680" t="s">
        <v>72</v>
      </c>
      <c r="K9" s="679"/>
      <c r="O9" s="681">
        <f>F10+E10</f>
        <v>9339.464</v>
      </c>
    </row>
    <row r="10" s="667" customFormat="1" spans="1:19">
      <c r="A10" s="682" t="s">
        <v>73</v>
      </c>
      <c r="B10" s="683">
        <f t="shared" ref="B10:J10" si="0">B11+B22</f>
        <v>12699.227</v>
      </c>
      <c r="C10" s="683"/>
      <c r="D10" s="683">
        <f>D11+D22</f>
        <v>0</v>
      </c>
      <c r="E10" s="683">
        <f t="shared" si="0"/>
        <v>1547.609</v>
      </c>
      <c r="F10" s="683">
        <f t="shared" ref="F10" si="1">F11+F22</f>
        <v>7791.855</v>
      </c>
      <c r="G10" s="683">
        <f t="shared" si="0"/>
        <v>0</v>
      </c>
      <c r="H10" s="683">
        <f t="shared" si="0"/>
        <v>16486.85</v>
      </c>
      <c r="I10" s="683">
        <f t="shared" si="0"/>
        <v>17840.047</v>
      </c>
      <c r="J10" s="683">
        <f t="shared" si="0"/>
        <v>17942.395</v>
      </c>
      <c r="K10" s="683"/>
      <c r="M10" s="684">
        <f t="shared" ref="M10:M51" si="2">SUM(B10:G10)-I10</f>
        <v>4198.644</v>
      </c>
      <c r="O10" s="667">
        <f>E10/O9</f>
        <v>0.165706404564545</v>
      </c>
    </row>
    <row r="11" s="667" customFormat="1" spans="1:19">
      <c r="A11" s="685" t="s">
        <v>74</v>
      </c>
      <c r="B11" s="686">
        <f t="shared" ref="B11:J11" si="3">SUM(B12:B18)</f>
        <v>999.977</v>
      </c>
      <c r="C11" s="686"/>
      <c r="D11" s="686">
        <f t="shared" si="3"/>
        <v>0</v>
      </c>
      <c r="E11" s="686">
        <f t="shared" si="3"/>
        <v>1547.609</v>
      </c>
      <c r="F11" s="686">
        <f t="shared" si="3"/>
        <v>7791.855</v>
      </c>
      <c r="G11" s="686">
        <f t="shared" si="3"/>
        <v>0</v>
      </c>
      <c r="H11" s="686">
        <f t="shared" si="3"/>
        <v>4787.6</v>
      </c>
      <c r="I11" s="686">
        <f t="shared" si="3"/>
        <v>6140.797</v>
      </c>
      <c r="J11" s="686">
        <f t="shared" si="3"/>
        <v>6243.145</v>
      </c>
      <c r="K11" s="686"/>
      <c r="M11" s="684">
        <f t="shared" si="2"/>
        <v>4198.644</v>
      </c>
      <c r="O11" s="667">
        <f>F10/O9</f>
        <v>0.834293595435455</v>
      </c>
    </row>
    <row r="12" s="667" customFormat="1" hidden="1" spans="1:19">
      <c r="A12" s="687" t="s">
        <v>75</v>
      </c>
      <c r="B12" s="688"/>
      <c r="C12" s="688"/>
      <c r="D12" s="688"/>
      <c r="E12" s="688">
        <f t="shared" ref="E12:E14" si="4">I12-C12-D12</f>
        <v>0</v>
      </c>
      <c r="F12" s="688"/>
      <c r="G12" s="688"/>
      <c r="H12" s="688"/>
      <c r="I12" s="688"/>
      <c r="J12" s="688"/>
      <c r="K12" s="688"/>
      <c r="M12" s="684">
        <f t="shared" si="2"/>
        <v>0</v>
      </c>
    </row>
    <row r="13" s="667" customFormat="1" spans="1:19">
      <c r="A13" s="687" t="s">
        <v>76</v>
      </c>
      <c r="B13" s="688"/>
      <c r="C13" s="688"/>
      <c r="D13" s="688"/>
      <c r="E13" s="688"/>
      <c r="F13" s="688">
        <f>J13</f>
        <v>632.973</v>
      </c>
      <c r="G13" s="688"/>
      <c r="H13" s="688">
        <f>173.51+345.32</f>
        <v>518.83</v>
      </c>
      <c r="I13" s="688">
        <f>(173.51+345.32)*1.2</f>
        <v>622.596</v>
      </c>
      <c r="J13" s="689">
        <f>(173.51+345.32)*1.22</f>
        <v>632.973</v>
      </c>
      <c r="K13" s="688"/>
      <c r="M13" s="684">
        <f t="shared" si="2"/>
        <v>10.377</v>
      </c>
      <c r="O13" s="690"/>
    </row>
    <row r="14" s="667" customFormat="1" hidden="1" spans="1:19">
      <c r="A14" s="687"/>
      <c r="B14" s="688"/>
      <c r="C14" s="688"/>
      <c r="D14" s="688"/>
      <c r="E14" s="688">
        <f t="shared" si="4"/>
        <v>0</v>
      </c>
      <c r="F14" s="688"/>
      <c r="G14" s="688"/>
      <c r="H14" s="688"/>
      <c r="I14" s="688"/>
      <c r="J14" s="689"/>
      <c r="K14" s="688"/>
      <c r="M14" s="684">
        <f t="shared" si="2"/>
        <v>0</v>
      </c>
    </row>
    <row r="15" s="667" customFormat="1" ht="40.5" spans="1:19">
      <c r="A15" s="687" t="s">
        <v>77</v>
      </c>
      <c r="B15" s="688"/>
      <c r="C15" s="688"/>
      <c r="D15" s="688"/>
      <c r="F15" s="688">
        <f>J15</f>
        <v>49.203</v>
      </c>
      <c r="G15" s="688"/>
      <c r="H15" s="688">
        <f>39.86+0.47</f>
        <v>40.33</v>
      </c>
      <c r="I15" s="688">
        <f>(39.86+0.47)*1.2</f>
        <v>48.396</v>
      </c>
      <c r="J15" s="689">
        <f>(39.86+0.47)*1.22</f>
        <v>49.203</v>
      </c>
      <c r="K15" s="688"/>
      <c r="M15" s="684">
        <f t="shared" si="2"/>
        <v>0.807</v>
      </c>
    </row>
    <row r="16" s="667" customFormat="1" spans="1:19">
      <c r="A16" s="687" t="s">
        <v>78</v>
      </c>
      <c r="B16" s="688"/>
      <c r="C16" s="688"/>
      <c r="D16" s="691"/>
      <c r="E16" s="691">
        <f>J16/J27*E26</f>
        <v>1547.609</v>
      </c>
      <c r="F16" s="691">
        <f>J16-E16</f>
        <v>3611.088</v>
      </c>
      <c r="G16" s="688"/>
      <c r="H16" s="688">
        <v>4228.44</v>
      </c>
      <c r="I16" s="688">
        <f>4228.44*1.2</f>
        <v>5074.128</v>
      </c>
      <c r="J16" s="689">
        <f>4228.44*1.22</f>
        <v>5158.697</v>
      </c>
      <c r="K16" s="688"/>
      <c r="L16" s="667">
        <f>I16/(I28+I36+I45)</f>
        <v>0.0213989272997629</v>
      </c>
      <c r="M16" s="684">
        <f t="shared" si="2"/>
        <v>84.569</v>
      </c>
      <c r="O16" s="690">
        <f>J13+J15+J16+J30+J31+J32+J36+J43</f>
        <v>254454.4</v>
      </c>
      <c r="P16" s="667">
        <f>O16/1.22</f>
        <v>208569.180327869</v>
      </c>
      <c r="S16" s="692"/>
    </row>
    <row r="17" s="667" customFormat="1" spans="1:19">
      <c r="A17" s="687" t="s">
        <v>79</v>
      </c>
      <c r="B17" s="688"/>
      <c r="C17" s="688"/>
      <c r="D17" s="691"/>
      <c r="E17" s="691">
        <f>J17/2</f>
        <v>0</v>
      </c>
      <c r="F17" s="691">
        <f>'НМЦК АН'!B18/1000</f>
        <v>498.591</v>
      </c>
      <c r="G17" s="688"/>
      <c r="H17" s="688"/>
      <c r="I17" s="688"/>
      <c r="J17" s="688"/>
      <c r="K17" s="688"/>
      <c r="L17" s="667">
        <f>(I28+I36+I45)*0.2%</f>
        <v>474.241342</v>
      </c>
      <c r="M17" s="684">
        <f t="shared" si="2"/>
        <v>498.591</v>
      </c>
      <c r="O17" s="690">
        <f>J17+J18+J47</f>
        <v>5374.543</v>
      </c>
      <c r="P17" s="667">
        <f>O17/1.22</f>
        <v>4405.3631147541</v>
      </c>
      <c r="Q17" s="667">
        <f>P17*1.22</f>
        <v>5374.543</v>
      </c>
      <c r="R17" s="667">
        <f>4405.36*1.22</f>
        <v>5374.5392</v>
      </c>
      <c r="S17" s="692"/>
    </row>
    <row r="18" s="667" customFormat="1" spans="1:19">
      <c r="A18" s="687" t="s">
        <v>80</v>
      </c>
      <c r="B18" s="688">
        <f t="shared" ref="B18:G18" si="5">SUM(B19:B21)</f>
        <v>999.977</v>
      </c>
      <c r="C18" s="688"/>
      <c r="D18" s="688">
        <f t="shared" si="5"/>
        <v>0</v>
      </c>
      <c r="E18" s="688">
        <f t="shared" si="5"/>
        <v>0</v>
      </c>
      <c r="F18" s="688">
        <f t="shared" si="5"/>
        <v>3000</v>
      </c>
      <c r="G18" s="688">
        <f t="shared" si="5"/>
        <v>0</v>
      </c>
      <c r="H18" s="688"/>
      <c r="I18" s="688">
        <f>SUM(I19:I21)</f>
        <v>395.677</v>
      </c>
      <c r="J18" s="688">
        <f>SUM(J19:J21)</f>
        <v>402.272</v>
      </c>
      <c r="K18" s="688"/>
      <c r="M18" s="684">
        <f t="shared" si="2"/>
        <v>3604.3</v>
      </c>
      <c r="O18" s="690">
        <f>J22</f>
        <v>11699.25</v>
      </c>
      <c r="P18" s="693"/>
      <c r="R18" s="667">
        <f>R17/1.22</f>
        <v>4405.36</v>
      </c>
      <c r="S18" s="692"/>
    </row>
    <row r="19" s="667" customFormat="1" ht="40.5" spans="1:19">
      <c r="A19" s="694" t="s">
        <v>81</v>
      </c>
      <c r="B19" s="688"/>
      <c r="C19" s="695"/>
      <c r="D19" s="695"/>
      <c r="E19" s="696"/>
      <c r="F19" s="688"/>
      <c r="G19" s="688"/>
      <c r="H19" s="697">
        <f>(H13+H15+H16+H22)*2%</f>
        <v>329.737</v>
      </c>
      <c r="I19" s="697">
        <f>(I13+I15+I16+I22)*2%+I22*0.2*2%-0.007</f>
        <v>395.677</v>
      </c>
      <c r="J19" s="697">
        <f>(J13+J15+J16+J22)*2%+J22*0.22*2%-0.007</f>
        <v>402.272</v>
      </c>
      <c r="K19" s="688"/>
      <c r="M19" s="684" t="e">
        <f>SUM(B19:G19)-#REF!</f>
        <v>#REF!</v>
      </c>
      <c r="S19" s="692"/>
    </row>
    <row r="20" s="667" customFormat="1" ht="40.5" spans="1:19">
      <c r="A20" s="694" t="s">
        <v>82</v>
      </c>
      <c r="B20" s="688"/>
      <c r="C20" s="695"/>
      <c r="D20" s="695"/>
      <c r="E20" s="696"/>
      <c r="F20" s="688">
        <f>J20</f>
        <v>0</v>
      </c>
      <c r="G20" s="688"/>
      <c r="H20" s="696"/>
      <c r="I20" s="696"/>
      <c r="J20" s="688"/>
      <c r="K20" s="688"/>
      <c r="L20" s="690" t="e">
        <f>L21+F20+F19+F15+F13</f>
        <v>#REF!</v>
      </c>
      <c r="M20" s="684">
        <f>SUM(B20:G20)-I19</f>
        <v>-395.677</v>
      </c>
      <c r="S20" s="692"/>
    </row>
    <row r="21" s="667" customFormat="1" ht="40.5" spans="1:19">
      <c r="A21" s="694" t="s">
        <v>83</v>
      </c>
      <c r="B21" s="688">
        <f>O26-B22</f>
        <v>999.977</v>
      </c>
      <c r="C21" s="695"/>
      <c r="D21" s="695"/>
      <c r="E21" s="696"/>
      <c r="F21" s="698">
        <v>3000</v>
      </c>
      <c r="G21" s="688"/>
      <c r="H21" s="688"/>
      <c r="I21" s="688"/>
      <c r="J21" s="688"/>
      <c r="K21" s="688"/>
      <c r="L21" s="690" t="e">
        <f>F21-#REF!/1000</f>
        <v>#REF!</v>
      </c>
      <c r="M21" s="684">
        <f t="shared" si="2"/>
        <v>3999.977</v>
      </c>
      <c r="S21" s="692"/>
    </row>
    <row r="22" s="667" customFormat="1" spans="1:19">
      <c r="A22" s="685" t="s">
        <v>84</v>
      </c>
      <c r="B22" s="686">
        <f>SUM(B23:B25)</f>
        <v>11699.25</v>
      </c>
      <c r="C22" s="686"/>
      <c r="D22" s="686">
        <f t="shared" ref="D22:I22" si="6">SUM(D23:D25)</f>
        <v>0</v>
      </c>
      <c r="E22" s="686">
        <f t="shared" si="6"/>
        <v>0</v>
      </c>
      <c r="F22" s="686">
        <f t="shared" si="6"/>
        <v>0</v>
      </c>
      <c r="G22" s="686">
        <f t="shared" si="6"/>
        <v>0</v>
      </c>
      <c r="H22" s="686">
        <f t="shared" si="6"/>
        <v>11699.25</v>
      </c>
      <c r="I22" s="686">
        <f t="shared" si="6"/>
        <v>11699.25</v>
      </c>
      <c r="J22" s="686">
        <f>J24+J25</f>
        <v>11699.25</v>
      </c>
      <c r="K22" s="686"/>
      <c r="M22" s="684">
        <f t="shared" si="2"/>
        <v>0</v>
      </c>
      <c r="S22" s="692"/>
    </row>
    <row r="23" s="667" customFormat="1" spans="1:19">
      <c r="A23" s="687" t="s">
        <v>85</v>
      </c>
      <c r="B23" s="688"/>
      <c r="C23" s="688"/>
      <c r="D23" s="688"/>
      <c r="E23" s="688"/>
      <c r="F23" s="688"/>
      <c r="G23" s="688"/>
      <c r="H23" s="688"/>
      <c r="I23" s="688"/>
      <c r="J23" s="688"/>
      <c r="K23" s="699"/>
      <c r="M23" s="684">
        <f t="shared" si="2"/>
        <v>0</v>
      </c>
      <c r="S23" s="692"/>
    </row>
    <row r="24" s="667" customFormat="1" spans="1:19">
      <c r="A24" s="687" t="s">
        <v>86</v>
      </c>
      <c r="B24" s="698">
        <f>I24</f>
        <v>10000</v>
      </c>
      <c r="C24" s="688"/>
      <c r="D24" s="688"/>
      <c r="E24" s="696"/>
      <c r="F24" s="696"/>
      <c r="G24" s="688"/>
      <c r="H24" s="688">
        <v>10000</v>
      </c>
      <c r="I24" s="688">
        <v>10000</v>
      </c>
      <c r="J24" s="688">
        <f>I24</f>
        <v>10000</v>
      </c>
      <c r="K24" s="700"/>
      <c r="M24" s="684">
        <f t="shared" si="2"/>
        <v>0</v>
      </c>
      <c r="N24" s="701"/>
      <c r="S24" s="692"/>
    </row>
    <row r="25" s="667" customFormat="1" spans="1:19">
      <c r="A25" s="687" t="s">
        <v>87</v>
      </c>
      <c r="B25" s="698">
        <f>I25</f>
        <v>1699.25</v>
      </c>
      <c r="C25" s="688"/>
      <c r="D25" s="688"/>
      <c r="E25" s="696"/>
      <c r="F25" s="696"/>
      <c r="G25" s="688"/>
      <c r="H25" s="688">
        <v>1699.25</v>
      </c>
      <c r="I25" s="688">
        <v>1699.25</v>
      </c>
      <c r="J25" s="688">
        <f>I25</f>
        <v>1699.25</v>
      </c>
      <c r="K25" s="702"/>
      <c r="L25" s="667"/>
      <c r="M25" s="684">
        <f t="shared" si="2"/>
        <v>0</v>
      </c>
      <c r="N25" s="690"/>
      <c r="S25" s="692"/>
    </row>
    <row r="26" s="667" customFormat="1" customHeight="1" spans="1:19">
      <c r="A26" s="682" t="s">
        <v>88</v>
      </c>
      <c r="B26" s="683">
        <f>B27</f>
        <v>0</v>
      </c>
      <c r="C26" s="683"/>
      <c r="D26" s="703">
        <f t="shared" ref="D26:J26" si="7">D27</f>
        <v>0</v>
      </c>
      <c r="E26" s="704">
        <f t="shared" si="7"/>
        <v>76075.7394</v>
      </c>
      <c r="F26" s="704">
        <f t="shared" si="7"/>
        <v>177510.0586</v>
      </c>
      <c r="G26" s="704">
        <f t="shared" si="7"/>
        <v>0</v>
      </c>
      <c r="H26" s="704">
        <f t="shared" si="7"/>
        <v>207857.211</v>
      </c>
      <c r="I26" s="704">
        <f t="shared" si="7"/>
        <v>249428.652</v>
      </c>
      <c r="J26" s="704">
        <f t="shared" si="7"/>
        <v>253585.798</v>
      </c>
      <c r="K26" s="683"/>
      <c r="M26" s="684">
        <f t="shared" si="2"/>
        <v>4157.146</v>
      </c>
      <c r="O26" s="667">
        <f>12699.227</f>
        <v>12699.227</v>
      </c>
      <c r="S26" s="692"/>
    </row>
    <row r="27" s="667" customFormat="1" ht="23.25" customHeight="1" spans="1:19">
      <c r="A27" s="685" t="s">
        <v>74</v>
      </c>
      <c r="B27" s="705">
        <f>B28+B36+B42+B43+B47</f>
        <v>0</v>
      </c>
      <c r="C27" s="705"/>
      <c r="D27" s="706">
        <f t="shared" ref="D27:J27" si="8">D28+D36+D42+D43+D47</f>
        <v>0</v>
      </c>
      <c r="E27" s="707">
        <f t="shared" si="8"/>
        <v>76075.7394</v>
      </c>
      <c r="F27" s="707">
        <f t="shared" si="8"/>
        <v>177510.0586</v>
      </c>
      <c r="G27" s="707">
        <f t="shared" si="8"/>
        <v>0</v>
      </c>
      <c r="H27" s="707">
        <f t="shared" si="8"/>
        <v>207857.211</v>
      </c>
      <c r="I27" s="707">
        <f t="shared" si="8"/>
        <v>249428.652</v>
      </c>
      <c r="J27" s="707">
        <f t="shared" si="8"/>
        <v>253585.798</v>
      </c>
      <c r="K27" s="688"/>
      <c r="M27" s="684">
        <f t="shared" si="2"/>
        <v>4157.146</v>
      </c>
      <c r="S27" s="692"/>
    </row>
    <row r="28" s="667" customFormat="1" ht="40.5" spans="1:19">
      <c r="A28" s="708" t="s">
        <v>89</v>
      </c>
      <c r="B28" s="705">
        <f>SUM(B30:B35)</f>
        <v>0</v>
      </c>
      <c r="C28" s="705"/>
      <c r="D28" s="705">
        <f t="shared" ref="D28:F28" si="9">SUM(D30:D35)</f>
        <v>0</v>
      </c>
      <c r="E28" s="706">
        <f t="shared" si="9"/>
        <v>13986.14</v>
      </c>
      <c r="F28" s="706">
        <f t="shared" si="9"/>
        <v>0</v>
      </c>
      <c r="G28" s="705"/>
      <c r="H28" s="705">
        <f>SUM(H30:H35)</f>
        <v>11464.05</v>
      </c>
      <c r="I28" s="705">
        <f>SUM(I30:I35)</f>
        <v>13756.859</v>
      </c>
      <c r="J28" s="705">
        <f>SUM(J30:J35)</f>
        <v>13986.14</v>
      </c>
      <c r="K28" s="705"/>
      <c r="L28" s="709">
        <f>Справка!U9</f>
        <v>0</v>
      </c>
      <c r="M28" s="684">
        <f t="shared" si="2"/>
        <v>229.281</v>
      </c>
      <c r="S28" s="692"/>
    </row>
    <row r="29" s="667" customFormat="1" spans="1:19">
      <c r="A29" s="710" t="s">
        <v>90</v>
      </c>
      <c r="B29" s="705"/>
      <c r="C29" s="705"/>
      <c r="D29" s="705"/>
      <c r="E29" s="706"/>
      <c r="F29" s="706"/>
      <c r="G29" s="705"/>
      <c r="H29" s="705"/>
      <c r="I29" s="705"/>
      <c r="J29" s="705"/>
      <c r="K29" s="688"/>
      <c r="L29" s="670"/>
      <c r="M29" s="684">
        <f t="shared" si="2"/>
        <v>0</v>
      </c>
      <c r="S29" s="692"/>
    </row>
    <row r="30" spans="1:19">
      <c r="A30" s="687" t="s">
        <v>91</v>
      </c>
      <c r="B30" s="688"/>
      <c r="C30" s="688"/>
      <c r="D30" s="688"/>
      <c r="E30" s="711">
        <f>J30</f>
        <v>13949.796</v>
      </c>
      <c r="F30" s="711"/>
      <c r="G30" s="688"/>
      <c r="H30" s="688">
        <f>7693.11+3741.15</f>
        <v>11434.26</v>
      </c>
      <c r="I30" s="688">
        <f>(7693.11+3741.15)*1.2-0.001</f>
        <v>13721.111</v>
      </c>
      <c r="J30" s="689">
        <f>(7693.11+3741.15)*1.22-0.001</f>
        <v>13949.796</v>
      </c>
      <c r="K30" s="688">
        <f>Справка!AA19</f>
        <v>114451585.46</v>
      </c>
      <c r="L30" s="712">
        <f>Справка!W9</f>
        <v>116779874</v>
      </c>
      <c r="M30" s="684">
        <f t="shared" si="2"/>
        <v>228.685</v>
      </c>
      <c r="S30" s="713"/>
    </row>
    <row r="31" spans="1:19">
      <c r="A31" s="687" t="s">
        <v>92</v>
      </c>
      <c r="B31" s="688"/>
      <c r="C31" s="688"/>
      <c r="D31" s="688"/>
      <c r="E31" s="711">
        <f>J31</f>
        <v>24.449</v>
      </c>
      <c r="F31" s="711"/>
      <c r="G31" s="688"/>
      <c r="H31" s="688">
        <v>20.04</v>
      </c>
      <c r="I31" s="688">
        <f>20.04*1.2</f>
        <v>24.048</v>
      </c>
      <c r="J31" s="689">
        <f>20.04*1.22</f>
        <v>24.449</v>
      </c>
      <c r="K31" s="688">
        <f>Справка!W15</f>
        <v>114451585.46</v>
      </c>
      <c r="M31" s="684">
        <f t="shared" si="2"/>
        <v>0.401</v>
      </c>
      <c r="O31" s="670">
        <v>20649782.3</v>
      </c>
      <c r="P31" s="714">
        <f>Справка!W9</f>
        <v>116779874.41</v>
      </c>
      <c r="S31" s="713"/>
    </row>
    <row r="32" spans="1:19">
      <c r="A32" s="687" t="s">
        <v>75</v>
      </c>
      <c r="B32" s="688"/>
      <c r="C32" s="688"/>
      <c r="D32" s="688"/>
      <c r="E32" s="711">
        <f>J32</f>
        <v>11.895</v>
      </c>
      <c r="F32" s="711"/>
      <c r="G32" s="688"/>
      <c r="H32" s="688">
        <f>7.82+1.93</f>
        <v>9.75</v>
      </c>
      <c r="I32" s="688">
        <f>(7.82+1.93)*1.2</f>
        <v>11.7</v>
      </c>
      <c r="J32" s="689">
        <f>(7.82+1.93)*1.22</f>
        <v>11.895</v>
      </c>
      <c r="K32" s="688">
        <f>K30-K31</f>
        <v>0</v>
      </c>
      <c r="M32" s="684">
        <f t="shared" si="2"/>
        <v>0.195</v>
      </c>
      <c r="S32" s="713"/>
    </row>
    <row r="33" hidden="1" spans="1:19">
      <c r="A33" s="687"/>
      <c r="B33" s="688"/>
      <c r="C33" s="688"/>
      <c r="D33" s="688"/>
      <c r="E33" s="711">
        <f t="shared" ref="E33:E35" si="10">I33-C33-D33</f>
        <v>0</v>
      </c>
      <c r="F33" s="711">
        <f t="shared" ref="F33:F41" si="11">I33-E33-D33</f>
        <v>0</v>
      </c>
      <c r="G33" s="688"/>
      <c r="H33" s="688"/>
      <c r="I33" s="688"/>
      <c r="J33" s="688"/>
      <c r="K33" s="688"/>
      <c r="M33" s="684">
        <f t="shared" si="2"/>
        <v>0</v>
      </c>
      <c r="S33" s="713"/>
    </row>
    <row r="34" hidden="1" spans="1:19">
      <c r="A34" s="687"/>
      <c r="B34" s="688"/>
      <c r="C34" s="688"/>
      <c r="D34" s="688"/>
      <c r="E34" s="711">
        <f t="shared" si="10"/>
        <v>0</v>
      </c>
      <c r="F34" s="711">
        <f t="shared" si="11"/>
        <v>0</v>
      </c>
      <c r="G34" s="688"/>
      <c r="H34" s="688"/>
      <c r="I34" s="688"/>
      <c r="J34" s="688"/>
      <c r="K34" s="688"/>
      <c r="M34" s="684">
        <f t="shared" si="2"/>
        <v>0</v>
      </c>
      <c r="S34" s="713"/>
    </row>
    <row r="35" hidden="1" spans="1:19">
      <c r="A35" s="687"/>
      <c r="B35" s="688"/>
      <c r="C35" s="688"/>
      <c r="D35" s="688"/>
      <c r="E35" s="711">
        <f t="shared" si="10"/>
        <v>0</v>
      </c>
      <c r="F35" s="711">
        <f t="shared" si="11"/>
        <v>0</v>
      </c>
      <c r="G35" s="688"/>
      <c r="H35" s="688"/>
      <c r="I35" s="688"/>
      <c r="J35" s="688"/>
      <c r="K35" s="688"/>
      <c r="L35" s="667"/>
      <c r="M35" s="684">
        <f t="shared" si="2"/>
        <v>0</v>
      </c>
      <c r="S35" s="713"/>
    </row>
    <row r="36" s="667" customFormat="1" spans="1:19">
      <c r="A36" s="715" t="s">
        <v>93</v>
      </c>
      <c r="B36" s="705"/>
      <c r="C36" s="705"/>
      <c r="D36" s="706"/>
      <c r="E36" s="706">
        <v>62089.5994</v>
      </c>
      <c r="F36" s="706">
        <f>J36-E36</f>
        <v>154810.5776</v>
      </c>
      <c r="G36" s="705"/>
      <c r="H36" s="705">
        <f>173989.15+3797.88</f>
        <v>177787.03</v>
      </c>
      <c r="I36" s="705">
        <f>(173989.15+3797.88)*1.2</f>
        <v>213344.436</v>
      </c>
      <c r="J36" s="716">
        <f>(173989.15+3797.88)*1.22</f>
        <v>216900.177</v>
      </c>
      <c r="K36" s="688">
        <f>K32/1000</f>
        <v>0</v>
      </c>
      <c r="L36" s="670"/>
      <c r="M36" s="684">
        <f t="shared" si="2"/>
        <v>3555.741</v>
      </c>
      <c r="O36" s="693">
        <f>Справка!U9</f>
        <v>0</v>
      </c>
      <c r="S36" s="692"/>
    </row>
    <row r="37" hidden="1" spans="1:19">
      <c r="A37" s="710" t="s">
        <v>90</v>
      </c>
      <c r="B37" s="688"/>
      <c r="C37" s="695"/>
      <c r="D37" s="695"/>
      <c r="E37" s="711"/>
      <c r="F37" s="711">
        <f t="shared" si="11"/>
        <v>0</v>
      </c>
      <c r="G37" s="688"/>
      <c r="H37" s="688"/>
      <c r="I37" s="688"/>
      <c r="J37" s="688"/>
      <c r="K37" s="688"/>
      <c r="M37" s="684">
        <f t="shared" si="2"/>
        <v>0</v>
      </c>
      <c r="S37" s="713"/>
    </row>
    <row r="38" hidden="1" spans="1:19">
      <c r="A38" s="717" t="s">
        <v>94</v>
      </c>
      <c r="B38" s="688"/>
      <c r="C38" s="695"/>
      <c r="D38" s="695"/>
      <c r="E38" s="711"/>
      <c r="F38" s="711">
        <f t="shared" si="11"/>
        <v>632927.976</v>
      </c>
      <c r="G38" s="688"/>
      <c r="H38" s="688"/>
      <c r="I38" s="688">
        <f>527439.98*1.2</f>
        <v>632927.976</v>
      </c>
      <c r="J38" s="688">
        <f>527439.98*1.2</f>
        <v>632927.976</v>
      </c>
      <c r="K38" s="688"/>
      <c r="M38" s="684">
        <f t="shared" si="2"/>
        <v>0</v>
      </c>
      <c r="S38" s="713"/>
    </row>
    <row r="39" hidden="1" spans="1:19">
      <c r="A39" s="717" t="s">
        <v>95</v>
      </c>
      <c r="B39" s="688"/>
      <c r="C39" s="695"/>
      <c r="D39" s="695"/>
      <c r="E39" s="711"/>
      <c r="F39" s="711">
        <f t="shared" si="11"/>
        <v>63393.912</v>
      </c>
      <c r="G39" s="688"/>
      <c r="H39" s="688"/>
      <c r="I39" s="688">
        <f>52828.26*1.2</f>
        <v>63393.912</v>
      </c>
      <c r="J39" s="688">
        <f>52828.26*1.2</f>
        <v>63393.912</v>
      </c>
      <c r="K39" s="688"/>
      <c r="M39" s="684">
        <f t="shared" si="2"/>
        <v>0</v>
      </c>
      <c r="S39" s="713"/>
    </row>
    <row r="40" ht="41.25" hidden="1" customHeight="1" spans="1:19">
      <c r="A40" s="717" t="s">
        <v>96</v>
      </c>
      <c r="B40" s="688"/>
      <c r="C40" s="695"/>
      <c r="D40" s="695"/>
      <c r="E40" s="711"/>
      <c r="F40" s="711">
        <f t="shared" si="11"/>
        <v>205335.3</v>
      </c>
      <c r="G40" s="688"/>
      <c r="H40" s="688"/>
      <c r="I40" s="688">
        <f>171112.75*1.2</f>
        <v>205335.3</v>
      </c>
      <c r="J40" s="688">
        <f>171112.75*1.2</f>
        <v>205335.3</v>
      </c>
      <c r="K40" s="688"/>
      <c r="M40" s="684">
        <f t="shared" si="2"/>
        <v>0</v>
      </c>
      <c r="S40" s="713"/>
    </row>
    <row r="41" hidden="1" spans="1:19">
      <c r="A41" s="717" t="s">
        <v>97</v>
      </c>
      <c r="B41" s="688"/>
      <c r="C41" s="695"/>
      <c r="D41" s="695"/>
      <c r="E41" s="711"/>
      <c r="F41" s="711">
        <f t="shared" si="11"/>
        <v>2952.6</v>
      </c>
      <c r="G41" s="688"/>
      <c r="H41" s="688"/>
      <c r="I41" s="688">
        <f>2460.5*1.2</f>
        <v>2952.6</v>
      </c>
      <c r="J41" s="688">
        <f>2460.5*1.2</f>
        <v>2952.6</v>
      </c>
      <c r="K41" s="688"/>
      <c r="M41" s="684">
        <f t="shared" si="2"/>
        <v>0</v>
      </c>
      <c r="S41" s="713"/>
    </row>
    <row r="42" hidden="1" spans="1:19">
      <c r="A42" s="718" t="s">
        <v>98</v>
      </c>
      <c r="B42" s="705"/>
      <c r="C42" s="686"/>
      <c r="D42" s="686">
        <f>$L$42*(D36+D28)</f>
        <v>0</v>
      </c>
      <c r="E42" s="719">
        <f>$L$42*(E36+E28)</f>
        <v>0</v>
      </c>
      <c r="F42" s="719">
        <f t="shared" ref="F42" si="12">$L$42*(F36+F28)</f>
        <v>0</v>
      </c>
      <c r="G42" s="720"/>
      <c r="H42" s="720"/>
      <c r="I42" s="720"/>
      <c r="J42" s="720"/>
      <c r="K42" s="688"/>
      <c r="L42" s="670">
        <f>I42/(I36+I28)</f>
        <v>0</v>
      </c>
      <c r="M42" s="684">
        <f t="shared" si="2"/>
        <v>0</v>
      </c>
      <c r="S42" s="713"/>
    </row>
    <row r="43" spans="1:19">
      <c r="A43" s="715" t="s">
        <v>99</v>
      </c>
      <c r="B43" s="720">
        <f>SUM(B44:B46)</f>
        <v>0</v>
      </c>
      <c r="C43" s="720"/>
      <c r="D43" s="720">
        <f t="shared" ref="D43:F43" si="13">SUM(D44:D46)</f>
        <v>0</v>
      </c>
      <c r="E43" s="721">
        <f t="shared" si="13"/>
        <v>0</v>
      </c>
      <c r="F43" s="721">
        <f t="shared" si="13"/>
        <v>17727.21</v>
      </c>
      <c r="G43" s="720"/>
      <c r="H43" s="720">
        <f>SUM(H44:H46)</f>
        <v>14530.5</v>
      </c>
      <c r="I43" s="720">
        <f>SUM(I44:I46)</f>
        <v>17436.6</v>
      </c>
      <c r="J43" s="722">
        <f>SUM(J44:J46)</f>
        <v>17727.21</v>
      </c>
      <c r="K43" s="688">
        <f>Справка!AA15-Справка!W15-Справка!Y15</f>
        <v>0</v>
      </c>
      <c r="M43" s="684">
        <f t="shared" si="2"/>
        <v>290.61</v>
      </c>
      <c r="S43" s="713"/>
    </row>
    <row r="44" spans="1:19">
      <c r="A44" s="687" t="s">
        <v>100</v>
      </c>
      <c r="B44" s="720"/>
      <c r="C44" s="723"/>
      <c r="D44" s="723"/>
      <c r="E44" s="724"/>
      <c r="F44" s="711">
        <f>J44-E44</f>
        <v>4126.674</v>
      </c>
      <c r="G44" s="720"/>
      <c r="H44" s="720">
        <v>3382.52</v>
      </c>
      <c r="I44" s="723">
        <f>(3382.52)*1.2</f>
        <v>4059.024</v>
      </c>
      <c r="J44" s="723">
        <f>(3382.52)*1.22</f>
        <v>4126.674</v>
      </c>
      <c r="K44" s="688"/>
      <c r="L44" s="670">
        <f>J44/($J$28+$J$36+$J$42)</f>
        <v>0.0178731856162789</v>
      </c>
      <c r="M44" s="684">
        <f t="shared" si="2"/>
        <v>67.65</v>
      </c>
      <c r="O44" s="725">
        <f>O31-O36</f>
        <v>20649782.3</v>
      </c>
      <c r="S44" s="713"/>
    </row>
    <row r="45" spans="1:19">
      <c r="A45" s="687" t="s">
        <v>101</v>
      </c>
      <c r="B45" s="720"/>
      <c r="C45" s="723"/>
      <c r="D45" s="723"/>
      <c r="E45" s="724"/>
      <c r="F45" s="711">
        <f>J45</f>
        <v>10186.366</v>
      </c>
      <c r="G45" s="720"/>
      <c r="H45" s="720">
        <f>3629.08+4720.4</f>
        <v>8349.48</v>
      </c>
      <c r="I45" s="723">
        <f>(3629.08+4720.4)*1.2</f>
        <v>10019.376</v>
      </c>
      <c r="J45" s="723">
        <f>(3629.08+4720.4)*1.22</f>
        <v>10186.366</v>
      </c>
      <c r="K45" s="688"/>
      <c r="L45" s="670">
        <f>J45/($J$28+$J$36+$J$42)</f>
        <v>0.044118534750589</v>
      </c>
      <c r="M45" s="684">
        <f t="shared" si="2"/>
        <v>166.99</v>
      </c>
      <c r="S45" s="713"/>
    </row>
    <row r="46" spans="1:19">
      <c r="A46" s="687" t="s">
        <v>102</v>
      </c>
      <c r="B46" s="688"/>
      <c r="C46" s="695"/>
      <c r="D46" s="695"/>
      <c r="E46" s="726"/>
      <c r="F46" s="711">
        <f>J46</f>
        <v>3414.17</v>
      </c>
      <c r="G46" s="688"/>
      <c r="H46" s="688">
        <v>2798.5</v>
      </c>
      <c r="I46" s="688">
        <f>(2798.5)*1.2</f>
        <v>3358.2</v>
      </c>
      <c r="J46" s="688">
        <f>(2798.5)*1.22</f>
        <v>3414.17</v>
      </c>
      <c r="K46" s="688"/>
      <c r="L46" s="670">
        <f>J46/($J$28+$J$36+$J$42)</f>
        <v>0.0147872340135254</v>
      </c>
      <c r="M46" s="684">
        <f t="shared" si="2"/>
        <v>55.97</v>
      </c>
      <c r="S46" s="713"/>
    </row>
    <row r="47" s="667" customFormat="1" spans="1:19">
      <c r="A47" s="718" t="s">
        <v>80</v>
      </c>
      <c r="B47" s="705">
        <f>SUM(B48:B49)</f>
        <v>0</v>
      </c>
      <c r="C47" s="705"/>
      <c r="D47" s="705">
        <f t="shared" ref="D47:E47" si="14">SUM(D48:D49)</f>
        <v>0</v>
      </c>
      <c r="E47" s="705">
        <f t="shared" si="14"/>
        <v>0</v>
      </c>
      <c r="F47" s="711">
        <f>F48+F49</f>
        <v>4972.271</v>
      </c>
      <c r="G47" s="705"/>
      <c r="H47" s="705">
        <f>SUM(H48:H49)</f>
        <v>4075.631</v>
      </c>
      <c r="I47" s="705">
        <f>SUM(I48:I49)</f>
        <v>4890.757</v>
      </c>
      <c r="J47" s="705">
        <f>SUM(J48:J49)</f>
        <v>4972.271</v>
      </c>
      <c r="K47" s="705"/>
      <c r="L47" s="727">
        <f>Справка!AA19</f>
        <v>114451585.46</v>
      </c>
      <c r="M47" s="684">
        <f t="shared" si="2"/>
        <v>81.514</v>
      </c>
      <c r="O47" s="667">
        <v>95583708</v>
      </c>
      <c r="S47" s="692"/>
    </row>
    <row r="48" s="668" customFormat="1" ht="51.75" customHeight="1" spans="1:19">
      <c r="A48" s="694" t="s">
        <v>83</v>
      </c>
      <c r="B48" s="688"/>
      <c r="C48" s="695"/>
      <c r="D48" s="695"/>
      <c r="E48" s="688"/>
      <c r="F48" s="711">
        <f>J48</f>
        <v>4821.216</v>
      </c>
      <c r="G48" s="688"/>
      <c r="H48" s="688">
        <f>(H30+H31+H45+H36)*2%</f>
        <v>3951.816</v>
      </c>
      <c r="I48" s="688">
        <f>(I30+I31+I45+I36)*2%</f>
        <v>4742.179</v>
      </c>
      <c r="J48" s="688">
        <f>(J30+J31+J45+J36)*2%</f>
        <v>4821.216</v>
      </c>
      <c r="K48" s="688">
        <f>H48*1.2</f>
        <v>4742.179</v>
      </c>
      <c r="L48" s="727">
        <f>Справка!W15</f>
        <v>114451585.46</v>
      </c>
      <c r="M48" s="684">
        <f t="shared" si="2"/>
        <v>79.037</v>
      </c>
      <c r="O48" s="668" t="e">
        <f>O47/Справка!F15/Справка!K165</f>
        <v>#DIV/0!</v>
      </c>
      <c r="S48" s="728"/>
    </row>
    <row r="49" s="668" customFormat="1" ht="58.5" customHeight="1" spans="1:19">
      <c r="A49" s="694" t="s">
        <v>82</v>
      </c>
      <c r="B49" s="688"/>
      <c r="C49" s="688"/>
      <c r="D49" s="688"/>
      <c r="E49" s="688"/>
      <c r="F49" s="711">
        <f>J49</f>
        <v>151.055</v>
      </c>
      <c r="G49" s="688"/>
      <c r="H49" s="688">
        <f>(H46+H44+H32)*2%</f>
        <v>123.815</v>
      </c>
      <c r="I49" s="688">
        <f>(I46+I44+I32)*2%</f>
        <v>148.578</v>
      </c>
      <c r="J49" s="688">
        <f>(J46+J44+J32)*2%</f>
        <v>151.055</v>
      </c>
      <c r="K49" s="688">
        <f>H49*1.2</f>
        <v>148.578</v>
      </c>
      <c r="L49" s="667"/>
      <c r="M49" s="684">
        <f t="shared" si="2"/>
        <v>2.477</v>
      </c>
      <c r="S49" s="728"/>
    </row>
    <row r="50" s="668" customFormat="1" spans="1:19">
      <c r="A50" s="685" t="s">
        <v>84</v>
      </c>
      <c r="B50" s="688"/>
      <c r="C50" s="688"/>
      <c r="D50" s="688"/>
      <c r="E50" s="688"/>
      <c r="F50" s="688"/>
      <c r="G50" s="688"/>
      <c r="H50" s="688"/>
      <c r="I50" s="688"/>
      <c r="J50" s="688"/>
      <c r="K50" s="688"/>
      <c r="L50" s="667"/>
      <c r="M50" s="684">
        <f t="shared" si="2"/>
        <v>0</v>
      </c>
      <c r="S50" s="728"/>
    </row>
    <row r="51" s="667" customFormat="1" spans="1:19">
      <c r="A51" s="682" t="s">
        <v>103</v>
      </c>
      <c r="B51" s="683">
        <f>B26+B10</f>
        <v>12699.227</v>
      </c>
      <c r="C51" s="683"/>
      <c r="D51" s="683">
        <f t="shared" ref="D51:J51" si="15">D26+D10</f>
        <v>0</v>
      </c>
      <c r="E51" s="683">
        <f t="shared" si="15"/>
        <v>77623.348</v>
      </c>
      <c r="F51" s="683">
        <f t="shared" si="15"/>
        <v>185301.914</v>
      </c>
      <c r="G51" s="683">
        <f t="shared" si="15"/>
        <v>0</v>
      </c>
      <c r="H51" s="683">
        <f t="shared" si="15"/>
        <v>224344.061</v>
      </c>
      <c r="I51" s="683">
        <f t="shared" si="15"/>
        <v>267268.699</v>
      </c>
      <c r="J51" s="683">
        <f t="shared" si="15"/>
        <v>271528.193</v>
      </c>
      <c r="K51" s="683"/>
      <c r="L51" s="729"/>
      <c r="M51" s="684">
        <f t="shared" si="2"/>
        <v>8355.79</v>
      </c>
      <c r="S51" s="692"/>
    </row>
    <row r="52" s="668" customFormat="1" spans="1:19">
      <c r="A52" s="730"/>
      <c r="B52" s="731"/>
      <c r="C52" s="731"/>
      <c r="D52" s="731"/>
      <c r="E52" s="731"/>
      <c r="F52" s="731"/>
      <c r="G52" s="731"/>
      <c r="H52" s="731"/>
      <c r="I52" s="731">
        <v>267268.69</v>
      </c>
      <c r="J52" s="731">
        <f>J51-K55</f>
        <v>0.004</v>
      </c>
      <c r="S52" s="728"/>
    </row>
    <row r="53" s="668" customFormat="1" customHeight="1" spans="1:19">
      <c r="A53" s="732"/>
      <c r="B53" s="732"/>
      <c r="C53" s="732"/>
      <c r="D53" s="732"/>
      <c r="E53" s="732"/>
      <c r="F53" s="732"/>
      <c r="G53" s="732"/>
      <c r="H53" s="732"/>
      <c r="I53" s="733">
        <f>I52-I51</f>
        <v>-0.009</v>
      </c>
      <c r="J53" s="733"/>
      <c r="K53" s="732">
        <f>224673790-10000000-1699250</f>
        <v>212974540</v>
      </c>
      <c r="S53" s="728"/>
    </row>
    <row r="54" s="668" customFormat="1" spans="1:19">
      <c r="A54" s="732"/>
      <c r="B54" s="732"/>
      <c r="C54" s="732"/>
      <c r="D54" s="732"/>
      <c r="E54" s="732"/>
      <c r="F54" s="732"/>
      <c r="G54" s="732"/>
      <c r="H54" s="732"/>
      <c r="I54" s="732"/>
      <c r="J54" s="732"/>
      <c r="K54" s="732">
        <f>K53*1.22+10000000+1699250</f>
        <v>271528188.8</v>
      </c>
      <c r="S54" s="728"/>
    </row>
    <row r="55" s="668" customFormat="1" spans="1:19">
      <c r="A55" s="732"/>
      <c r="B55" s="732"/>
      <c r="C55" s="732"/>
      <c r="D55" s="732"/>
      <c r="E55" s="732"/>
      <c r="F55" s="732"/>
      <c r="G55" s="732"/>
      <c r="H55" s="732"/>
      <c r="I55" s="732"/>
      <c r="J55" s="732"/>
      <c r="K55" s="732">
        <f>K54/1000</f>
        <v>271528.1888</v>
      </c>
      <c r="S55" s="728"/>
    </row>
    <row r="56" s="668" customFormat="1" ht="69" customHeight="1" spans="1:19">
      <c r="A56" s="732"/>
      <c r="B56" s="732"/>
      <c r="C56" s="732"/>
      <c r="D56" s="732"/>
      <c r="E56" s="732">
        <f>J26*0.3</f>
        <v>76075.7394</v>
      </c>
      <c r="F56" s="733">
        <f>J26-E56</f>
        <v>177510.059</v>
      </c>
      <c r="G56" s="732"/>
      <c r="H56" s="732"/>
      <c r="I56" s="732"/>
      <c r="J56" s="732"/>
      <c r="K56" s="732"/>
    </row>
    <row r="58" spans="1:19">
      <c r="A58" s="734"/>
      <c r="B58" s="735"/>
      <c r="C58" s="735"/>
      <c r="D58" s="735"/>
      <c r="E58" s="735"/>
      <c r="F58" s="735"/>
      <c r="G58" s="735"/>
      <c r="H58" s="735"/>
      <c r="I58" s="735"/>
      <c r="J58" s="735"/>
    </row>
  </sheetData>
  <mergeCells count="8">
    <mergeCell ref="E1:K1"/>
    <mergeCell ref="A3:K3"/>
    <mergeCell ref="A5:K5"/>
    <mergeCell ref="A6:K6"/>
    <mergeCell ref="B8:J8"/>
    <mergeCell ref="A8:A9"/>
    <mergeCell ref="K8:K9"/>
    <mergeCell ref="K23:K25"/>
  </mergeCells>
  <pageMargins left="0.7" right="0.7" top="0.75" bottom="0.75" header="0.3" footer="0.3"/>
  <pageSetup paperSize="9" scale="3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94"/>
  <sheetViews>
    <sheetView view="pageBreakPreview" zoomScale="60" zoomScaleNormal="100" workbookViewId="0">
      <selection activeCell="A7" sqref="A7:F7"/>
    </sheetView>
  </sheetViews>
  <sheetFormatPr defaultColWidth="9" defaultRowHeight="15.75"/>
  <cols>
    <col min="1" max="1" width="43" style="23" customWidth="1"/>
    <col min="2" max="2" width="21.8571428571429" style="543" customWidth="1"/>
    <col min="3" max="3" width="21.8571428571429" style="544" customWidth="1"/>
    <col min="4" max="5" width="21.8571428571429" style="23" customWidth="1"/>
    <col min="6" max="6" width="23.7142857142857" style="23" customWidth="1"/>
    <col min="7" max="7" width="20.1428571428571" style="23" customWidth="1"/>
    <col min="8" max="8" width="16" style="23" customWidth="1"/>
    <col min="9" max="249" width="9.14285714285714" style="23"/>
    <col min="250" max="250" width="37.4285714285714" style="23" customWidth="1"/>
    <col min="251" max="251" width="29.7142857142857" style="23" customWidth="1"/>
    <col min="252" max="252" width="17.1428571428571" style="23" customWidth="1"/>
    <col min="253" max="253" width="21.1428571428571" style="23" customWidth="1"/>
    <col min="254" max="254" width="21.5714285714286" style="23" customWidth="1"/>
    <col min="255" max="255" width="25.2857142857143" style="23" customWidth="1"/>
    <col min="256" max="256" width="21.7142857142857" style="23" customWidth="1"/>
    <col min="257" max="257" width="18.1428571428571" style="23" customWidth="1"/>
    <col min="258" max="258" width="11.1428571428571" style="23" customWidth="1"/>
    <col min="259" max="259" width="18.5714285714286" style="23" customWidth="1"/>
    <col min="260" max="260" width="14.4285714285714" style="23" customWidth="1"/>
    <col min="261" max="505" width="9.14285714285714" style="23"/>
    <col min="506" max="506" width="37.4285714285714" style="23" customWidth="1"/>
    <col min="507" max="507" width="29.7142857142857" style="23" customWidth="1"/>
    <col min="508" max="508" width="17.1428571428571" style="23" customWidth="1"/>
    <col min="509" max="509" width="21.1428571428571" style="23" customWidth="1"/>
    <col min="510" max="510" width="21.5714285714286" style="23" customWidth="1"/>
    <col min="511" max="511" width="25.2857142857143" style="23" customWidth="1"/>
    <col min="512" max="512" width="21.7142857142857" style="23" customWidth="1"/>
    <col min="513" max="513" width="18.1428571428571" style="23" customWidth="1"/>
    <col min="514" max="514" width="11.1428571428571" style="23" customWidth="1"/>
    <col min="515" max="515" width="18.5714285714286" style="23" customWidth="1"/>
    <col min="516" max="516" width="14.4285714285714" style="23" customWidth="1"/>
    <col min="517" max="761" width="9.14285714285714" style="23"/>
    <col min="762" max="762" width="37.4285714285714" style="23" customWidth="1"/>
    <col min="763" max="763" width="29.7142857142857" style="23" customWidth="1"/>
    <col min="764" max="764" width="17.1428571428571" style="23" customWidth="1"/>
    <col min="765" max="765" width="21.1428571428571" style="23" customWidth="1"/>
    <col min="766" max="766" width="21.5714285714286" style="23" customWidth="1"/>
    <col min="767" max="767" width="25.2857142857143" style="23" customWidth="1"/>
    <col min="768" max="768" width="21.7142857142857" style="23" customWidth="1"/>
    <col min="769" max="769" width="18.1428571428571" style="23" customWidth="1"/>
    <col min="770" max="770" width="11.1428571428571" style="23" customWidth="1"/>
    <col min="771" max="771" width="18.5714285714286" style="23" customWidth="1"/>
    <col min="772" max="772" width="14.4285714285714" style="23" customWidth="1"/>
    <col min="773" max="1017" width="9.14285714285714" style="23"/>
    <col min="1018" max="1018" width="37.4285714285714" style="23" customWidth="1"/>
    <col min="1019" max="1019" width="29.7142857142857" style="23" customWidth="1"/>
    <col min="1020" max="1020" width="17.1428571428571" style="23" customWidth="1"/>
    <col min="1021" max="1021" width="21.1428571428571" style="23" customWidth="1"/>
    <col min="1022" max="1022" width="21.5714285714286" style="23" customWidth="1"/>
    <col min="1023" max="1023" width="25.2857142857143" style="23" customWidth="1"/>
    <col min="1024" max="1024" width="21.7142857142857" style="23" customWidth="1"/>
    <col min="1025" max="1025" width="18.1428571428571" style="23" customWidth="1"/>
    <col min="1026" max="1026" width="11.1428571428571" style="23" customWidth="1"/>
    <col min="1027" max="1027" width="18.5714285714286" style="23" customWidth="1"/>
    <col min="1028" max="1028" width="14.4285714285714" style="23" customWidth="1"/>
    <col min="1029" max="1273" width="9.14285714285714" style="23"/>
    <col min="1274" max="1274" width="37.4285714285714" style="23" customWidth="1"/>
    <col min="1275" max="1275" width="29.7142857142857" style="23" customWidth="1"/>
    <col min="1276" max="1276" width="17.1428571428571" style="23" customWidth="1"/>
    <col min="1277" max="1277" width="21.1428571428571" style="23" customWidth="1"/>
    <col min="1278" max="1278" width="21.5714285714286" style="23" customWidth="1"/>
    <col min="1279" max="1279" width="25.2857142857143" style="23" customWidth="1"/>
    <col min="1280" max="1280" width="21.7142857142857" style="23" customWidth="1"/>
    <col min="1281" max="1281" width="18.1428571428571" style="23" customWidth="1"/>
    <col min="1282" max="1282" width="11.1428571428571" style="23" customWidth="1"/>
    <col min="1283" max="1283" width="18.5714285714286" style="23" customWidth="1"/>
    <col min="1284" max="1284" width="14.4285714285714" style="23" customWidth="1"/>
    <col min="1285" max="1529" width="9.14285714285714" style="23"/>
    <col min="1530" max="1530" width="37.4285714285714" style="23" customWidth="1"/>
    <col min="1531" max="1531" width="29.7142857142857" style="23" customWidth="1"/>
    <col min="1532" max="1532" width="17.1428571428571" style="23" customWidth="1"/>
    <col min="1533" max="1533" width="21.1428571428571" style="23" customWidth="1"/>
    <col min="1534" max="1534" width="21.5714285714286" style="23" customWidth="1"/>
    <col min="1535" max="1535" width="25.2857142857143" style="23" customWidth="1"/>
    <col min="1536" max="1536" width="21.7142857142857" style="23" customWidth="1"/>
    <col min="1537" max="1537" width="18.1428571428571" style="23" customWidth="1"/>
    <col min="1538" max="1538" width="11.1428571428571" style="23" customWidth="1"/>
    <col min="1539" max="1539" width="18.5714285714286" style="23" customWidth="1"/>
    <col min="1540" max="1540" width="14.4285714285714" style="23" customWidth="1"/>
    <col min="1541" max="1785" width="9.14285714285714" style="23"/>
    <col min="1786" max="1786" width="37.4285714285714" style="23" customWidth="1"/>
    <col min="1787" max="1787" width="29.7142857142857" style="23" customWidth="1"/>
    <col min="1788" max="1788" width="17.1428571428571" style="23" customWidth="1"/>
    <col min="1789" max="1789" width="21.1428571428571" style="23" customWidth="1"/>
    <col min="1790" max="1790" width="21.5714285714286" style="23" customWidth="1"/>
    <col min="1791" max="1791" width="25.2857142857143" style="23" customWidth="1"/>
    <col min="1792" max="1792" width="21.7142857142857" style="23" customWidth="1"/>
    <col min="1793" max="1793" width="18.1428571428571" style="23" customWidth="1"/>
    <col min="1794" max="1794" width="11.1428571428571" style="23" customWidth="1"/>
    <col min="1795" max="1795" width="18.5714285714286" style="23" customWidth="1"/>
    <col min="1796" max="1796" width="14.4285714285714" style="23" customWidth="1"/>
    <col min="1797" max="2041" width="9.14285714285714" style="23"/>
    <col min="2042" max="2042" width="37.4285714285714" style="23" customWidth="1"/>
    <col min="2043" max="2043" width="29.7142857142857" style="23" customWidth="1"/>
    <col min="2044" max="2044" width="17.1428571428571" style="23" customWidth="1"/>
    <col min="2045" max="2045" width="21.1428571428571" style="23" customWidth="1"/>
    <col min="2046" max="2046" width="21.5714285714286" style="23" customWidth="1"/>
    <col min="2047" max="2047" width="25.2857142857143" style="23" customWidth="1"/>
    <col min="2048" max="2048" width="21.7142857142857" style="23" customWidth="1"/>
    <col min="2049" max="2049" width="18.1428571428571" style="23" customWidth="1"/>
    <col min="2050" max="2050" width="11.1428571428571" style="23" customWidth="1"/>
    <col min="2051" max="2051" width="18.5714285714286" style="23" customWidth="1"/>
    <col min="2052" max="2052" width="14.4285714285714" style="23" customWidth="1"/>
    <col min="2053" max="2297" width="9.14285714285714" style="23"/>
    <col min="2298" max="2298" width="37.4285714285714" style="23" customWidth="1"/>
    <col min="2299" max="2299" width="29.7142857142857" style="23" customWidth="1"/>
    <col min="2300" max="2300" width="17.1428571428571" style="23" customWidth="1"/>
    <col min="2301" max="2301" width="21.1428571428571" style="23" customWidth="1"/>
    <col min="2302" max="2302" width="21.5714285714286" style="23" customWidth="1"/>
    <col min="2303" max="2303" width="25.2857142857143" style="23" customWidth="1"/>
    <col min="2304" max="2304" width="21.7142857142857" style="23" customWidth="1"/>
    <col min="2305" max="2305" width="18.1428571428571" style="23" customWidth="1"/>
    <col min="2306" max="2306" width="11.1428571428571" style="23" customWidth="1"/>
    <col min="2307" max="2307" width="18.5714285714286" style="23" customWidth="1"/>
    <col min="2308" max="2308" width="14.4285714285714" style="23" customWidth="1"/>
    <col min="2309" max="2553" width="9.14285714285714" style="23"/>
    <col min="2554" max="2554" width="37.4285714285714" style="23" customWidth="1"/>
    <col min="2555" max="2555" width="29.7142857142857" style="23" customWidth="1"/>
    <col min="2556" max="2556" width="17.1428571428571" style="23" customWidth="1"/>
    <col min="2557" max="2557" width="21.1428571428571" style="23" customWidth="1"/>
    <col min="2558" max="2558" width="21.5714285714286" style="23" customWidth="1"/>
    <col min="2559" max="2559" width="25.2857142857143" style="23" customWidth="1"/>
    <col min="2560" max="2560" width="21.7142857142857" style="23" customWidth="1"/>
    <col min="2561" max="2561" width="18.1428571428571" style="23" customWidth="1"/>
    <col min="2562" max="2562" width="11.1428571428571" style="23" customWidth="1"/>
    <col min="2563" max="2563" width="18.5714285714286" style="23" customWidth="1"/>
    <col min="2564" max="2564" width="14.4285714285714" style="23" customWidth="1"/>
    <col min="2565" max="2809" width="9.14285714285714" style="23"/>
    <col min="2810" max="2810" width="37.4285714285714" style="23" customWidth="1"/>
    <col min="2811" max="2811" width="29.7142857142857" style="23" customWidth="1"/>
    <col min="2812" max="2812" width="17.1428571428571" style="23" customWidth="1"/>
    <col min="2813" max="2813" width="21.1428571428571" style="23" customWidth="1"/>
    <col min="2814" max="2814" width="21.5714285714286" style="23" customWidth="1"/>
    <col min="2815" max="2815" width="25.2857142857143" style="23" customWidth="1"/>
    <col min="2816" max="2816" width="21.7142857142857" style="23" customWidth="1"/>
    <col min="2817" max="2817" width="18.1428571428571" style="23" customWidth="1"/>
    <col min="2818" max="2818" width="11.1428571428571" style="23" customWidth="1"/>
    <col min="2819" max="2819" width="18.5714285714286" style="23" customWidth="1"/>
    <col min="2820" max="2820" width="14.4285714285714" style="23" customWidth="1"/>
    <col min="2821" max="3065" width="9.14285714285714" style="23"/>
    <col min="3066" max="3066" width="37.4285714285714" style="23" customWidth="1"/>
    <col min="3067" max="3067" width="29.7142857142857" style="23" customWidth="1"/>
    <col min="3068" max="3068" width="17.1428571428571" style="23" customWidth="1"/>
    <col min="3069" max="3069" width="21.1428571428571" style="23" customWidth="1"/>
    <col min="3070" max="3070" width="21.5714285714286" style="23" customWidth="1"/>
    <col min="3071" max="3071" width="25.2857142857143" style="23" customWidth="1"/>
    <col min="3072" max="3072" width="21.7142857142857" style="23" customWidth="1"/>
    <col min="3073" max="3073" width="18.1428571428571" style="23" customWidth="1"/>
    <col min="3074" max="3074" width="11.1428571428571" style="23" customWidth="1"/>
    <col min="3075" max="3075" width="18.5714285714286" style="23" customWidth="1"/>
    <col min="3076" max="3076" width="14.4285714285714" style="23" customWidth="1"/>
    <col min="3077" max="3321" width="9.14285714285714" style="23"/>
    <col min="3322" max="3322" width="37.4285714285714" style="23" customWidth="1"/>
    <col min="3323" max="3323" width="29.7142857142857" style="23" customWidth="1"/>
    <col min="3324" max="3324" width="17.1428571428571" style="23" customWidth="1"/>
    <col min="3325" max="3325" width="21.1428571428571" style="23" customWidth="1"/>
    <col min="3326" max="3326" width="21.5714285714286" style="23" customWidth="1"/>
    <col min="3327" max="3327" width="25.2857142857143" style="23" customWidth="1"/>
    <col min="3328" max="3328" width="21.7142857142857" style="23" customWidth="1"/>
    <col min="3329" max="3329" width="18.1428571428571" style="23" customWidth="1"/>
    <col min="3330" max="3330" width="11.1428571428571" style="23" customWidth="1"/>
    <col min="3331" max="3331" width="18.5714285714286" style="23" customWidth="1"/>
    <col min="3332" max="3332" width="14.4285714285714" style="23" customWidth="1"/>
    <col min="3333" max="3577" width="9.14285714285714" style="23"/>
    <col min="3578" max="3578" width="37.4285714285714" style="23" customWidth="1"/>
    <col min="3579" max="3579" width="29.7142857142857" style="23" customWidth="1"/>
    <col min="3580" max="3580" width="17.1428571428571" style="23" customWidth="1"/>
    <col min="3581" max="3581" width="21.1428571428571" style="23" customWidth="1"/>
    <col min="3582" max="3582" width="21.5714285714286" style="23" customWidth="1"/>
    <col min="3583" max="3583" width="25.2857142857143" style="23" customWidth="1"/>
    <col min="3584" max="3584" width="21.7142857142857" style="23" customWidth="1"/>
    <col min="3585" max="3585" width="18.1428571428571" style="23" customWidth="1"/>
    <col min="3586" max="3586" width="11.1428571428571" style="23" customWidth="1"/>
    <col min="3587" max="3587" width="18.5714285714286" style="23" customWidth="1"/>
    <col min="3588" max="3588" width="14.4285714285714" style="23" customWidth="1"/>
    <col min="3589" max="3833" width="9.14285714285714" style="23"/>
    <col min="3834" max="3834" width="37.4285714285714" style="23" customWidth="1"/>
    <col min="3835" max="3835" width="29.7142857142857" style="23" customWidth="1"/>
    <col min="3836" max="3836" width="17.1428571428571" style="23" customWidth="1"/>
    <col min="3837" max="3837" width="21.1428571428571" style="23" customWidth="1"/>
    <col min="3838" max="3838" width="21.5714285714286" style="23" customWidth="1"/>
    <col min="3839" max="3839" width="25.2857142857143" style="23" customWidth="1"/>
    <col min="3840" max="3840" width="21.7142857142857" style="23" customWidth="1"/>
    <col min="3841" max="3841" width="18.1428571428571" style="23" customWidth="1"/>
    <col min="3842" max="3842" width="11.1428571428571" style="23" customWidth="1"/>
    <col min="3843" max="3843" width="18.5714285714286" style="23" customWidth="1"/>
    <col min="3844" max="3844" width="14.4285714285714" style="23" customWidth="1"/>
    <col min="3845" max="4089" width="9.14285714285714" style="23"/>
    <col min="4090" max="4090" width="37.4285714285714" style="23" customWidth="1"/>
    <col min="4091" max="4091" width="29.7142857142857" style="23" customWidth="1"/>
    <col min="4092" max="4092" width="17.1428571428571" style="23" customWidth="1"/>
    <col min="4093" max="4093" width="21.1428571428571" style="23" customWidth="1"/>
    <col min="4094" max="4094" width="21.5714285714286" style="23" customWidth="1"/>
    <col min="4095" max="4095" width="25.2857142857143" style="23" customWidth="1"/>
    <col min="4096" max="4096" width="21.7142857142857" style="23" customWidth="1"/>
    <col min="4097" max="4097" width="18.1428571428571" style="23" customWidth="1"/>
    <col min="4098" max="4098" width="11.1428571428571" style="23" customWidth="1"/>
    <col min="4099" max="4099" width="18.5714285714286" style="23" customWidth="1"/>
    <col min="4100" max="4100" width="14.4285714285714" style="23" customWidth="1"/>
    <col min="4101" max="4345" width="9.14285714285714" style="23"/>
    <col min="4346" max="4346" width="37.4285714285714" style="23" customWidth="1"/>
    <col min="4347" max="4347" width="29.7142857142857" style="23" customWidth="1"/>
    <col min="4348" max="4348" width="17.1428571428571" style="23" customWidth="1"/>
    <col min="4349" max="4349" width="21.1428571428571" style="23" customWidth="1"/>
    <col min="4350" max="4350" width="21.5714285714286" style="23" customWidth="1"/>
    <col min="4351" max="4351" width="25.2857142857143" style="23" customWidth="1"/>
    <col min="4352" max="4352" width="21.7142857142857" style="23" customWidth="1"/>
    <col min="4353" max="4353" width="18.1428571428571" style="23" customWidth="1"/>
    <col min="4354" max="4354" width="11.1428571428571" style="23" customWidth="1"/>
    <col min="4355" max="4355" width="18.5714285714286" style="23" customWidth="1"/>
    <col min="4356" max="4356" width="14.4285714285714" style="23" customWidth="1"/>
    <col min="4357" max="4601" width="9.14285714285714" style="23"/>
    <col min="4602" max="4602" width="37.4285714285714" style="23" customWidth="1"/>
    <col min="4603" max="4603" width="29.7142857142857" style="23" customWidth="1"/>
    <col min="4604" max="4604" width="17.1428571428571" style="23" customWidth="1"/>
    <col min="4605" max="4605" width="21.1428571428571" style="23" customWidth="1"/>
    <col min="4606" max="4606" width="21.5714285714286" style="23" customWidth="1"/>
    <col min="4607" max="4607" width="25.2857142857143" style="23" customWidth="1"/>
    <col min="4608" max="4608" width="21.7142857142857" style="23" customWidth="1"/>
    <col min="4609" max="4609" width="18.1428571428571" style="23" customWidth="1"/>
    <col min="4610" max="4610" width="11.1428571428571" style="23" customWidth="1"/>
    <col min="4611" max="4611" width="18.5714285714286" style="23" customWidth="1"/>
    <col min="4612" max="4612" width="14.4285714285714" style="23" customWidth="1"/>
    <col min="4613" max="4857" width="9.14285714285714" style="23"/>
    <col min="4858" max="4858" width="37.4285714285714" style="23" customWidth="1"/>
    <col min="4859" max="4859" width="29.7142857142857" style="23" customWidth="1"/>
    <col min="4860" max="4860" width="17.1428571428571" style="23" customWidth="1"/>
    <col min="4861" max="4861" width="21.1428571428571" style="23" customWidth="1"/>
    <col min="4862" max="4862" width="21.5714285714286" style="23" customWidth="1"/>
    <col min="4863" max="4863" width="25.2857142857143" style="23" customWidth="1"/>
    <col min="4864" max="4864" width="21.7142857142857" style="23" customWidth="1"/>
    <col min="4865" max="4865" width="18.1428571428571" style="23" customWidth="1"/>
    <col min="4866" max="4866" width="11.1428571428571" style="23" customWidth="1"/>
    <col min="4867" max="4867" width="18.5714285714286" style="23" customWidth="1"/>
    <col min="4868" max="4868" width="14.4285714285714" style="23" customWidth="1"/>
    <col min="4869" max="5113" width="9.14285714285714" style="23"/>
    <col min="5114" max="5114" width="37.4285714285714" style="23" customWidth="1"/>
    <col min="5115" max="5115" width="29.7142857142857" style="23" customWidth="1"/>
    <col min="5116" max="5116" width="17.1428571428571" style="23" customWidth="1"/>
    <col min="5117" max="5117" width="21.1428571428571" style="23" customWidth="1"/>
    <col min="5118" max="5118" width="21.5714285714286" style="23" customWidth="1"/>
    <col min="5119" max="5119" width="25.2857142857143" style="23" customWidth="1"/>
    <col min="5120" max="5120" width="21.7142857142857" style="23" customWidth="1"/>
    <col min="5121" max="5121" width="18.1428571428571" style="23" customWidth="1"/>
    <col min="5122" max="5122" width="11.1428571428571" style="23" customWidth="1"/>
    <col min="5123" max="5123" width="18.5714285714286" style="23" customWidth="1"/>
    <col min="5124" max="5124" width="14.4285714285714" style="23" customWidth="1"/>
    <col min="5125" max="5369" width="9.14285714285714" style="23"/>
    <col min="5370" max="5370" width="37.4285714285714" style="23" customWidth="1"/>
    <col min="5371" max="5371" width="29.7142857142857" style="23" customWidth="1"/>
    <col min="5372" max="5372" width="17.1428571428571" style="23" customWidth="1"/>
    <col min="5373" max="5373" width="21.1428571428571" style="23" customWidth="1"/>
    <col min="5374" max="5374" width="21.5714285714286" style="23" customWidth="1"/>
    <col min="5375" max="5375" width="25.2857142857143" style="23" customWidth="1"/>
    <col min="5376" max="5376" width="21.7142857142857" style="23" customWidth="1"/>
    <col min="5377" max="5377" width="18.1428571428571" style="23" customWidth="1"/>
    <col min="5378" max="5378" width="11.1428571428571" style="23" customWidth="1"/>
    <col min="5379" max="5379" width="18.5714285714286" style="23" customWidth="1"/>
    <col min="5380" max="5380" width="14.4285714285714" style="23" customWidth="1"/>
    <col min="5381" max="5625" width="9.14285714285714" style="23"/>
    <col min="5626" max="5626" width="37.4285714285714" style="23" customWidth="1"/>
    <col min="5627" max="5627" width="29.7142857142857" style="23" customWidth="1"/>
    <col min="5628" max="5628" width="17.1428571428571" style="23" customWidth="1"/>
    <col min="5629" max="5629" width="21.1428571428571" style="23" customWidth="1"/>
    <col min="5630" max="5630" width="21.5714285714286" style="23" customWidth="1"/>
    <col min="5631" max="5631" width="25.2857142857143" style="23" customWidth="1"/>
    <col min="5632" max="5632" width="21.7142857142857" style="23" customWidth="1"/>
    <col min="5633" max="5633" width="18.1428571428571" style="23" customWidth="1"/>
    <col min="5634" max="5634" width="11.1428571428571" style="23" customWidth="1"/>
    <col min="5635" max="5635" width="18.5714285714286" style="23" customWidth="1"/>
    <col min="5636" max="5636" width="14.4285714285714" style="23" customWidth="1"/>
    <col min="5637" max="5881" width="9.14285714285714" style="23"/>
    <col min="5882" max="5882" width="37.4285714285714" style="23" customWidth="1"/>
    <col min="5883" max="5883" width="29.7142857142857" style="23" customWidth="1"/>
    <col min="5884" max="5884" width="17.1428571428571" style="23" customWidth="1"/>
    <col min="5885" max="5885" width="21.1428571428571" style="23" customWidth="1"/>
    <col min="5886" max="5886" width="21.5714285714286" style="23" customWidth="1"/>
    <col min="5887" max="5887" width="25.2857142857143" style="23" customWidth="1"/>
    <col min="5888" max="5888" width="21.7142857142857" style="23" customWidth="1"/>
    <col min="5889" max="5889" width="18.1428571428571" style="23" customWidth="1"/>
    <col min="5890" max="5890" width="11.1428571428571" style="23" customWidth="1"/>
    <col min="5891" max="5891" width="18.5714285714286" style="23" customWidth="1"/>
    <col min="5892" max="5892" width="14.4285714285714" style="23" customWidth="1"/>
    <col min="5893" max="6137" width="9.14285714285714" style="23"/>
    <col min="6138" max="6138" width="37.4285714285714" style="23" customWidth="1"/>
    <col min="6139" max="6139" width="29.7142857142857" style="23" customWidth="1"/>
    <col min="6140" max="6140" width="17.1428571428571" style="23" customWidth="1"/>
    <col min="6141" max="6141" width="21.1428571428571" style="23" customWidth="1"/>
    <col min="6142" max="6142" width="21.5714285714286" style="23" customWidth="1"/>
    <col min="6143" max="6143" width="25.2857142857143" style="23" customWidth="1"/>
    <col min="6144" max="6144" width="21.7142857142857" style="23" customWidth="1"/>
    <col min="6145" max="6145" width="18.1428571428571" style="23" customWidth="1"/>
    <col min="6146" max="6146" width="11.1428571428571" style="23" customWidth="1"/>
    <col min="6147" max="6147" width="18.5714285714286" style="23" customWidth="1"/>
    <col min="6148" max="6148" width="14.4285714285714" style="23" customWidth="1"/>
    <col min="6149" max="6393" width="9.14285714285714" style="23"/>
    <col min="6394" max="6394" width="37.4285714285714" style="23" customWidth="1"/>
    <col min="6395" max="6395" width="29.7142857142857" style="23" customWidth="1"/>
    <col min="6396" max="6396" width="17.1428571428571" style="23" customWidth="1"/>
    <col min="6397" max="6397" width="21.1428571428571" style="23" customWidth="1"/>
    <col min="6398" max="6398" width="21.5714285714286" style="23" customWidth="1"/>
    <col min="6399" max="6399" width="25.2857142857143" style="23" customWidth="1"/>
    <col min="6400" max="6400" width="21.7142857142857" style="23" customWidth="1"/>
    <col min="6401" max="6401" width="18.1428571428571" style="23" customWidth="1"/>
    <col min="6402" max="6402" width="11.1428571428571" style="23" customWidth="1"/>
    <col min="6403" max="6403" width="18.5714285714286" style="23" customWidth="1"/>
    <col min="6404" max="6404" width="14.4285714285714" style="23" customWidth="1"/>
    <col min="6405" max="6649" width="9.14285714285714" style="23"/>
    <col min="6650" max="6650" width="37.4285714285714" style="23" customWidth="1"/>
    <col min="6651" max="6651" width="29.7142857142857" style="23" customWidth="1"/>
    <col min="6652" max="6652" width="17.1428571428571" style="23" customWidth="1"/>
    <col min="6653" max="6653" width="21.1428571428571" style="23" customWidth="1"/>
    <col min="6654" max="6654" width="21.5714285714286" style="23" customWidth="1"/>
    <col min="6655" max="6655" width="25.2857142857143" style="23" customWidth="1"/>
    <col min="6656" max="6656" width="21.7142857142857" style="23" customWidth="1"/>
    <col min="6657" max="6657" width="18.1428571428571" style="23" customWidth="1"/>
    <col min="6658" max="6658" width="11.1428571428571" style="23" customWidth="1"/>
    <col min="6659" max="6659" width="18.5714285714286" style="23" customWidth="1"/>
    <col min="6660" max="6660" width="14.4285714285714" style="23" customWidth="1"/>
    <col min="6661" max="6905" width="9.14285714285714" style="23"/>
    <col min="6906" max="6906" width="37.4285714285714" style="23" customWidth="1"/>
    <col min="6907" max="6907" width="29.7142857142857" style="23" customWidth="1"/>
    <col min="6908" max="6908" width="17.1428571428571" style="23" customWidth="1"/>
    <col min="6909" max="6909" width="21.1428571428571" style="23" customWidth="1"/>
    <col min="6910" max="6910" width="21.5714285714286" style="23" customWidth="1"/>
    <col min="6911" max="6911" width="25.2857142857143" style="23" customWidth="1"/>
    <col min="6912" max="6912" width="21.7142857142857" style="23" customWidth="1"/>
    <col min="6913" max="6913" width="18.1428571428571" style="23" customWidth="1"/>
    <col min="6914" max="6914" width="11.1428571428571" style="23" customWidth="1"/>
    <col min="6915" max="6915" width="18.5714285714286" style="23" customWidth="1"/>
    <col min="6916" max="6916" width="14.4285714285714" style="23" customWidth="1"/>
    <col min="6917" max="7161" width="9.14285714285714" style="23"/>
    <col min="7162" max="7162" width="37.4285714285714" style="23" customWidth="1"/>
    <col min="7163" max="7163" width="29.7142857142857" style="23" customWidth="1"/>
    <col min="7164" max="7164" width="17.1428571428571" style="23" customWidth="1"/>
    <col min="7165" max="7165" width="21.1428571428571" style="23" customWidth="1"/>
    <col min="7166" max="7166" width="21.5714285714286" style="23" customWidth="1"/>
    <col min="7167" max="7167" width="25.2857142857143" style="23" customWidth="1"/>
    <col min="7168" max="7168" width="21.7142857142857" style="23" customWidth="1"/>
    <col min="7169" max="7169" width="18.1428571428571" style="23" customWidth="1"/>
    <col min="7170" max="7170" width="11.1428571428571" style="23" customWidth="1"/>
    <col min="7171" max="7171" width="18.5714285714286" style="23" customWidth="1"/>
    <col min="7172" max="7172" width="14.4285714285714" style="23" customWidth="1"/>
    <col min="7173" max="7417" width="9.14285714285714" style="23"/>
    <col min="7418" max="7418" width="37.4285714285714" style="23" customWidth="1"/>
    <col min="7419" max="7419" width="29.7142857142857" style="23" customWidth="1"/>
    <col min="7420" max="7420" width="17.1428571428571" style="23" customWidth="1"/>
    <col min="7421" max="7421" width="21.1428571428571" style="23" customWidth="1"/>
    <col min="7422" max="7422" width="21.5714285714286" style="23" customWidth="1"/>
    <col min="7423" max="7423" width="25.2857142857143" style="23" customWidth="1"/>
    <col min="7424" max="7424" width="21.7142857142857" style="23" customWidth="1"/>
    <col min="7425" max="7425" width="18.1428571428571" style="23" customWidth="1"/>
    <col min="7426" max="7426" width="11.1428571428571" style="23" customWidth="1"/>
    <col min="7427" max="7427" width="18.5714285714286" style="23" customWidth="1"/>
    <col min="7428" max="7428" width="14.4285714285714" style="23" customWidth="1"/>
    <col min="7429" max="7673" width="9.14285714285714" style="23"/>
    <col min="7674" max="7674" width="37.4285714285714" style="23" customWidth="1"/>
    <col min="7675" max="7675" width="29.7142857142857" style="23" customWidth="1"/>
    <col min="7676" max="7676" width="17.1428571428571" style="23" customWidth="1"/>
    <col min="7677" max="7677" width="21.1428571428571" style="23" customWidth="1"/>
    <col min="7678" max="7678" width="21.5714285714286" style="23" customWidth="1"/>
    <col min="7679" max="7679" width="25.2857142857143" style="23" customWidth="1"/>
    <col min="7680" max="7680" width="21.7142857142857" style="23" customWidth="1"/>
    <col min="7681" max="7681" width="18.1428571428571" style="23" customWidth="1"/>
    <col min="7682" max="7682" width="11.1428571428571" style="23" customWidth="1"/>
    <col min="7683" max="7683" width="18.5714285714286" style="23" customWidth="1"/>
    <col min="7684" max="7684" width="14.4285714285714" style="23" customWidth="1"/>
    <col min="7685" max="7929" width="9.14285714285714" style="23"/>
    <col min="7930" max="7930" width="37.4285714285714" style="23" customWidth="1"/>
    <col min="7931" max="7931" width="29.7142857142857" style="23" customWidth="1"/>
    <col min="7932" max="7932" width="17.1428571428571" style="23" customWidth="1"/>
    <col min="7933" max="7933" width="21.1428571428571" style="23" customWidth="1"/>
    <col min="7934" max="7934" width="21.5714285714286" style="23" customWidth="1"/>
    <col min="7935" max="7935" width="25.2857142857143" style="23" customWidth="1"/>
    <col min="7936" max="7936" width="21.7142857142857" style="23" customWidth="1"/>
    <col min="7937" max="7937" width="18.1428571428571" style="23" customWidth="1"/>
    <col min="7938" max="7938" width="11.1428571428571" style="23" customWidth="1"/>
    <col min="7939" max="7939" width="18.5714285714286" style="23" customWidth="1"/>
    <col min="7940" max="7940" width="14.4285714285714" style="23" customWidth="1"/>
    <col min="7941" max="8185" width="9.14285714285714" style="23"/>
    <col min="8186" max="8186" width="37.4285714285714" style="23" customWidth="1"/>
    <col min="8187" max="8187" width="29.7142857142857" style="23" customWidth="1"/>
    <col min="8188" max="8188" width="17.1428571428571" style="23" customWidth="1"/>
    <col min="8189" max="8189" width="21.1428571428571" style="23" customWidth="1"/>
    <col min="8190" max="8190" width="21.5714285714286" style="23" customWidth="1"/>
    <col min="8191" max="8191" width="25.2857142857143" style="23" customWidth="1"/>
    <col min="8192" max="8192" width="21.7142857142857" style="23" customWidth="1"/>
    <col min="8193" max="8193" width="18.1428571428571" style="23" customWidth="1"/>
    <col min="8194" max="8194" width="11.1428571428571" style="23" customWidth="1"/>
    <col min="8195" max="8195" width="18.5714285714286" style="23" customWidth="1"/>
    <col min="8196" max="8196" width="14.4285714285714" style="23" customWidth="1"/>
    <col min="8197" max="8441" width="9.14285714285714" style="23"/>
    <col min="8442" max="8442" width="37.4285714285714" style="23" customWidth="1"/>
    <col min="8443" max="8443" width="29.7142857142857" style="23" customWidth="1"/>
    <col min="8444" max="8444" width="17.1428571428571" style="23" customWidth="1"/>
    <col min="8445" max="8445" width="21.1428571428571" style="23" customWidth="1"/>
    <col min="8446" max="8446" width="21.5714285714286" style="23" customWidth="1"/>
    <col min="8447" max="8447" width="25.2857142857143" style="23" customWidth="1"/>
    <col min="8448" max="8448" width="21.7142857142857" style="23" customWidth="1"/>
    <col min="8449" max="8449" width="18.1428571428571" style="23" customWidth="1"/>
    <col min="8450" max="8450" width="11.1428571428571" style="23" customWidth="1"/>
    <col min="8451" max="8451" width="18.5714285714286" style="23" customWidth="1"/>
    <col min="8452" max="8452" width="14.4285714285714" style="23" customWidth="1"/>
    <col min="8453" max="8697" width="9.14285714285714" style="23"/>
    <col min="8698" max="8698" width="37.4285714285714" style="23" customWidth="1"/>
    <col min="8699" max="8699" width="29.7142857142857" style="23" customWidth="1"/>
    <col min="8700" max="8700" width="17.1428571428571" style="23" customWidth="1"/>
    <col min="8701" max="8701" width="21.1428571428571" style="23" customWidth="1"/>
    <col min="8702" max="8702" width="21.5714285714286" style="23" customWidth="1"/>
    <col min="8703" max="8703" width="25.2857142857143" style="23" customWidth="1"/>
    <col min="8704" max="8704" width="21.7142857142857" style="23" customWidth="1"/>
    <col min="8705" max="8705" width="18.1428571428571" style="23" customWidth="1"/>
    <col min="8706" max="8706" width="11.1428571428571" style="23" customWidth="1"/>
    <col min="8707" max="8707" width="18.5714285714286" style="23" customWidth="1"/>
    <col min="8708" max="8708" width="14.4285714285714" style="23" customWidth="1"/>
    <col min="8709" max="8953" width="9.14285714285714" style="23"/>
    <col min="8954" max="8954" width="37.4285714285714" style="23" customWidth="1"/>
    <col min="8955" max="8955" width="29.7142857142857" style="23" customWidth="1"/>
    <col min="8956" max="8956" width="17.1428571428571" style="23" customWidth="1"/>
    <col min="8957" max="8957" width="21.1428571428571" style="23" customWidth="1"/>
    <col min="8958" max="8958" width="21.5714285714286" style="23" customWidth="1"/>
    <col min="8959" max="8959" width="25.2857142857143" style="23" customWidth="1"/>
    <col min="8960" max="8960" width="21.7142857142857" style="23" customWidth="1"/>
    <col min="8961" max="8961" width="18.1428571428571" style="23" customWidth="1"/>
    <col min="8962" max="8962" width="11.1428571428571" style="23" customWidth="1"/>
    <col min="8963" max="8963" width="18.5714285714286" style="23" customWidth="1"/>
    <col min="8964" max="8964" width="14.4285714285714" style="23" customWidth="1"/>
    <col min="8965" max="9209" width="9.14285714285714" style="23"/>
    <col min="9210" max="9210" width="37.4285714285714" style="23" customWidth="1"/>
    <col min="9211" max="9211" width="29.7142857142857" style="23" customWidth="1"/>
    <col min="9212" max="9212" width="17.1428571428571" style="23" customWidth="1"/>
    <col min="9213" max="9213" width="21.1428571428571" style="23" customWidth="1"/>
    <col min="9214" max="9214" width="21.5714285714286" style="23" customWidth="1"/>
    <col min="9215" max="9215" width="25.2857142857143" style="23" customWidth="1"/>
    <col min="9216" max="9216" width="21.7142857142857" style="23" customWidth="1"/>
    <col min="9217" max="9217" width="18.1428571428571" style="23" customWidth="1"/>
    <col min="9218" max="9218" width="11.1428571428571" style="23" customWidth="1"/>
    <col min="9219" max="9219" width="18.5714285714286" style="23" customWidth="1"/>
    <col min="9220" max="9220" width="14.4285714285714" style="23" customWidth="1"/>
    <col min="9221" max="9465" width="9.14285714285714" style="23"/>
    <col min="9466" max="9466" width="37.4285714285714" style="23" customWidth="1"/>
    <col min="9467" max="9467" width="29.7142857142857" style="23" customWidth="1"/>
    <col min="9468" max="9468" width="17.1428571428571" style="23" customWidth="1"/>
    <col min="9469" max="9469" width="21.1428571428571" style="23" customWidth="1"/>
    <col min="9470" max="9470" width="21.5714285714286" style="23" customWidth="1"/>
    <col min="9471" max="9471" width="25.2857142857143" style="23" customWidth="1"/>
    <col min="9472" max="9472" width="21.7142857142857" style="23" customWidth="1"/>
    <col min="9473" max="9473" width="18.1428571428571" style="23" customWidth="1"/>
    <col min="9474" max="9474" width="11.1428571428571" style="23" customWidth="1"/>
    <col min="9475" max="9475" width="18.5714285714286" style="23" customWidth="1"/>
    <col min="9476" max="9476" width="14.4285714285714" style="23" customWidth="1"/>
    <col min="9477" max="9721" width="9.14285714285714" style="23"/>
    <col min="9722" max="9722" width="37.4285714285714" style="23" customWidth="1"/>
    <col min="9723" max="9723" width="29.7142857142857" style="23" customWidth="1"/>
    <col min="9724" max="9724" width="17.1428571428571" style="23" customWidth="1"/>
    <col min="9725" max="9725" width="21.1428571428571" style="23" customWidth="1"/>
    <col min="9726" max="9726" width="21.5714285714286" style="23" customWidth="1"/>
    <col min="9727" max="9727" width="25.2857142857143" style="23" customWidth="1"/>
    <col min="9728" max="9728" width="21.7142857142857" style="23" customWidth="1"/>
    <col min="9729" max="9729" width="18.1428571428571" style="23" customWidth="1"/>
    <col min="9730" max="9730" width="11.1428571428571" style="23" customWidth="1"/>
    <col min="9731" max="9731" width="18.5714285714286" style="23" customWidth="1"/>
    <col min="9732" max="9732" width="14.4285714285714" style="23" customWidth="1"/>
    <col min="9733" max="9977" width="9.14285714285714" style="23"/>
    <col min="9978" max="9978" width="37.4285714285714" style="23" customWidth="1"/>
    <col min="9979" max="9979" width="29.7142857142857" style="23" customWidth="1"/>
    <col min="9980" max="9980" width="17.1428571428571" style="23" customWidth="1"/>
    <col min="9981" max="9981" width="21.1428571428571" style="23" customWidth="1"/>
    <col min="9982" max="9982" width="21.5714285714286" style="23" customWidth="1"/>
    <col min="9983" max="9983" width="25.2857142857143" style="23" customWidth="1"/>
    <col min="9984" max="9984" width="21.7142857142857" style="23" customWidth="1"/>
    <col min="9985" max="9985" width="18.1428571428571" style="23" customWidth="1"/>
    <col min="9986" max="9986" width="11.1428571428571" style="23" customWidth="1"/>
    <col min="9987" max="9987" width="18.5714285714286" style="23" customWidth="1"/>
    <col min="9988" max="9988" width="14.4285714285714" style="23" customWidth="1"/>
    <col min="9989" max="10233" width="9.14285714285714" style="23"/>
    <col min="10234" max="10234" width="37.4285714285714" style="23" customWidth="1"/>
    <col min="10235" max="10235" width="29.7142857142857" style="23" customWidth="1"/>
    <col min="10236" max="10236" width="17.1428571428571" style="23" customWidth="1"/>
    <col min="10237" max="10237" width="21.1428571428571" style="23" customWidth="1"/>
    <col min="10238" max="10238" width="21.5714285714286" style="23" customWidth="1"/>
    <col min="10239" max="10239" width="25.2857142857143" style="23" customWidth="1"/>
    <col min="10240" max="10240" width="21.7142857142857" style="23" customWidth="1"/>
    <col min="10241" max="10241" width="18.1428571428571" style="23" customWidth="1"/>
    <col min="10242" max="10242" width="11.1428571428571" style="23" customWidth="1"/>
    <col min="10243" max="10243" width="18.5714285714286" style="23" customWidth="1"/>
    <col min="10244" max="10244" width="14.4285714285714" style="23" customWidth="1"/>
    <col min="10245" max="10489" width="9.14285714285714" style="23"/>
    <col min="10490" max="10490" width="37.4285714285714" style="23" customWidth="1"/>
    <col min="10491" max="10491" width="29.7142857142857" style="23" customWidth="1"/>
    <col min="10492" max="10492" width="17.1428571428571" style="23" customWidth="1"/>
    <col min="10493" max="10493" width="21.1428571428571" style="23" customWidth="1"/>
    <col min="10494" max="10494" width="21.5714285714286" style="23" customWidth="1"/>
    <col min="10495" max="10495" width="25.2857142857143" style="23" customWidth="1"/>
    <col min="10496" max="10496" width="21.7142857142857" style="23" customWidth="1"/>
    <col min="10497" max="10497" width="18.1428571428571" style="23" customWidth="1"/>
    <col min="10498" max="10498" width="11.1428571428571" style="23" customWidth="1"/>
    <col min="10499" max="10499" width="18.5714285714286" style="23" customWidth="1"/>
    <col min="10500" max="10500" width="14.4285714285714" style="23" customWidth="1"/>
    <col min="10501" max="10745" width="9.14285714285714" style="23"/>
    <col min="10746" max="10746" width="37.4285714285714" style="23" customWidth="1"/>
    <col min="10747" max="10747" width="29.7142857142857" style="23" customWidth="1"/>
    <col min="10748" max="10748" width="17.1428571428571" style="23" customWidth="1"/>
    <col min="10749" max="10749" width="21.1428571428571" style="23" customWidth="1"/>
    <col min="10750" max="10750" width="21.5714285714286" style="23" customWidth="1"/>
    <col min="10751" max="10751" width="25.2857142857143" style="23" customWidth="1"/>
    <col min="10752" max="10752" width="21.7142857142857" style="23" customWidth="1"/>
    <col min="10753" max="10753" width="18.1428571428571" style="23" customWidth="1"/>
    <col min="10754" max="10754" width="11.1428571428571" style="23" customWidth="1"/>
    <col min="10755" max="10755" width="18.5714285714286" style="23" customWidth="1"/>
    <col min="10756" max="10756" width="14.4285714285714" style="23" customWidth="1"/>
    <col min="10757" max="11001" width="9.14285714285714" style="23"/>
    <col min="11002" max="11002" width="37.4285714285714" style="23" customWidth="1"/>
    <col min="11003" max="11003" width="29.7142857142857" style="23" customWidth="1"/>
    <col min="11004" max="11004" width="17.1428571428571" style="23" customWidth="1"/>
    <col min="11005" max="11005" width="21.1428571428571" style="23" customWidth="1"/>
    <col min="11006" max="11006" width="21.5714285714286" style="23" customWidth="1"/>
    <col min="11007" max="11007" width="25.2857142857143" style="23" customWidth="1"/>
    <col min="11008" max="11008" width="21.7142857142857" style="23" customWidth="1"/>
    <col min="11009" max="11009" width="18.1428571428571" style="23" customWidth="1"/>
    <col min="11010" max="11010" width="11.1428571428571" style="23" customWidth="1"/>
    <col min="11011" max="11011" width="18.5714285714286" style="23" customWidth="1"/>
    <col min="11012" max="11012" width="14.4285714285714" style="23" customWidth="1"/>
    <col min="11013" max="11257" width="9.14285714285714" style="23"/>
    <col min="11258" max="11258" width="37.4285714285714" style="23" customWidth="1"/>
    <col min="11259" max="11259" width="29.7142857142857" style="23" customWidth="1"/>
    <col min="11260" max="11260" width="17.1428571428571" style="23" customWidth="1"/>
    <col min="11261" max="11261" width="21.1428571428571" style="23" customWidth="1"/>
    <col min="11262" max="11262" width="21.5714285714286" style="23" customWidth="1"/>
    <col min="11263" max="11263" width="25.2857142857143" style="23" customWidth="1"/>
    <col min="11264" max="11264" width="21.7142857142857" style="23" customWidth="1"/>
    <col min="11265" max="11265" width="18.1428571428571" style="23" customWidth="1"/>
    <col min="11266" max="11266" width="11.1428571428571" style="23" customWidth="1"/>
    <col min="11267" max="11267" width="18.5714285714286" style="23" customWidth="1"/>
    <col min="11268" max="11268" width="14.4285714285714" style="23" customWidth="1"/>
    <col min="11269" max="11513" width="9.14285714285714" style="23"/>
    <col min="11514" max="11514" width="37.4285714285714" style="23" customWidth="1"/>
    <col min="11515" max="11515" width="29.7142857142857" style="23" customWidth="1"/>
    <col min="11516" max="11516" width="17.1428571428571" style="23" customWidth="1"/>
    <col min="11517" max="11517" width="21.1428571428571" style="23" customWidth="1"/>
    <col min="11518" max="11518" width="21.5714285714286" style="23" customWidth="1"/>
    <col min="11519" max="11519" width="25.2857142857143" style="23" customWidth="1"/>
    <col min="11520" max="11520" width="21.7142857142857" style="23" customWidth="1"/>
    <col min="11521" max="11521" width="18.1428571428571" style="23" customWidth="1"/>
    <col min="11522" max="11522" width="11.1428571428571" style="23" customWidth="1"/>
    <col min="11523" max="11523" width="18.5714285714286" style="23" customWidth="1"/>
    <col min="11524" max="11524" width="14.4285714285714" style="23" customWidth="1"/>
    <col min="11525" max="11769" width="9.14285714285714" style="23"/>
    <col min="11770" max="11770" width="37.4285714285714" style="23" customWidth="1"/>
    <col min="11771" max="11771" width="29.7142857142857" style="23" customWidth="1"/>
    <col min="11772" max="11772" width="17.1428571428571" style="23" customWidth="1"/>
    <col min="11773" max="11773" width="21.1428571428571" style="23" customWidth="1"/>
    <col min="11774" max="11774" width="21.5714285714286" style="23" customWidth="1"/>
    <col min="11775" max="11775" width="25.2857142857143" style="23" customWidth="1"/>
    <col min="11776" max="11776" width="21.7142857142857" style="23" customWidth="1"/>
    <col min="11777" max="11777" width="18.1428571428571" style="23" customWidth="1"/>
    <col min="11778" max="11778" width="11.1428571428571" style="23" customWidth="1"/>
    <col min="11779" max="11779" width="18.5714285714286" style="23" customWidth="1"/>
    <col min="11780" max="11780" width="14.4285714285714" style="23" customWidth="1"/>
    <col min="11781" max="12025" width="9.14285714285714" style="23"/>
    <col min="12026" max="12026" width="37.4285714285714" style="23" customWidth="1"/>
    <col min="12027" max="12027" width="29.7142857142857" style="23" customWidth="1"/>
    <col min="12028" max="12028" width="17.1428571428571" style="23" customWidth="1"/>
    <col min="12029" max="12029" width="21.1428571428571" style="23" customWidth="1"/>
    <col min="12030" max="12030" width="21.5714285714286" style="23" customWidth="1"/>
    <col min="12031" max="12031" width="25.2857142857143" style="23" customWidth="1"/>
    <col min="12032" max="12032" width="21.7142857142857" style="23" customWidth="1"/>
    <col min="12033" max="12033" width="18.1428571428571" style="23" customWidth="1"/>
    <col min="12034" max="12034" width="11.1428571428571" style="23" customWidth="1"/>
    <col min="12035" max="12035" width="18.5714285714286" style="23" customWidth="1"/>
    <col min="12036" max="12036" width="14.4285714285714" style="23" customWidth="1"/>
    <col min="12037" max="12281" width="9.14285714285714" style="23"/>
    <col min="12282" max="12282" width="37.4285714285714" style="23" customWidth="1"/>
    <col min="12283" max="12283" width="29.7142857142857" style="23" customWidth="1"/>
    <col min="12284" max="12284" width="17.1428571428571" style="23" customWidth="1"/>
    <col min="12285" max="12285" width="21.1428571428571" style="23" customWidth="1"/>
    <col min="12286" max="12286" width="21.5714285714286" style="23" customWidth="1"/>
    <col min="12287" max="12287" width="25.2857142857143" style="23" customWidth="1"/>
    <col min="12288" max="12288" width="21.7142857142857" style="23" customWidth="1"/>
    <col min="12289" max="12289" width="18.1428571428571" style="23" customWidth="1"/>
    <col min="12290" max="12290" width="11.1428571428571" style="23" customWidth="1"/>
    <col min="12291" max="12291" width="18.5714285714286" style="23" customWidth="1"/>
    <col min="12292" max="12292" width="14.4285714285714" style="23" customWidth="1"/>
    <col min="12293" max="12537" width="9.14285714285714" style="23"/>
    <col min="12538" max="12538" width="37.4285714285714" style="23" customWidth="1"/>
    <col min="12539" max="12539" width="29.7142857142857" style="23" customWidth="1"/>
    <col min="12540" max="12540" width="17.1428571428571" style="23" customWidth="1"/>
    <col min="12541" max="12541" width="21.1428571428571" style="23" customWidth="1"/>
    <col min="12542" max="12542" width="21.5714285714286" style="23" customWidth="1"/>
    <col min="12543" max="12543" width="25.2857142857143" style="23" customWidth="1"/>
    <col min="12544" max="12544" width="21.7142857142857" style="23" customWidth="1"/>
    <col min="12545" max="12545" width="18.1428571428571" style="23" customWidth="1"/>
    <col min="12546" max="12546" width="11.1428571428571" style="23" customWidth="1"/>
    <col min="12547" max="12547" width="18.5714285714286" style="23" customWidth="1"/>
    <col min="12548" max="12548" width="14.4285714285714" style="23" customWidth="1"/>
    <col min="12549" max="12793" width="9.14285714285714" style="23"/>
    <col min="12794" max="12794" width="37.4285714285714" style="23" customWidth="1"/>
    <col min="12795" max="12795" width="29.7142857142857" style="23" customWidth="1"/>
    <col min="12796" max="12796" width="17.1428571428571" style="23" customWidth="1"/>
    <col min="12797" max="12797" width="21.1428571428571" style="23" customWidth="1"/>
    <col min="12798" max="12798" width="21.5714285714286" style="23" customWidth="1"/>
    <col min="12799" max="12799" width="25.2857142857143" style="23" customWidth="1"/>
    <col min="12800" max="12800" width="21.7142857142857" style="23" customWidth="1"/>
    <col min="12801" max="12801" width="18.1428571428571" style="23" customWidth="1"/>
    <col min="12802" max="12802" width="11.1428571428571" style="23" customWidth="1"/>
    <col min="12803" max="12803" width="18.5714285714286" style="23" customWidth="1"/>
    <col min="12804" max="12804" width="14.4285714285714" style="23" customWidth="1"/>
    <col min="12805" max="13049" width="9.14285714285714" style="23"/>
    <col min="13050" max="13050" width="37.4285714285714" style="23" customWidth="1"/>
    <col min="13051" max="13051" width="29.7142857142857" style="23" customWidth="1"/>
    <col min="13052" max="13052" width="17.1428571428571" style="23" customWidth="1"/>
    <col min="13053" max="13053" width="21.1428571428571" style="23" customWidth="1"/>
    <col min="13054" max="13054" width="21.5714285714286" style="23" customWidth="1"/>
    <col min="13055" max="13055" width="25.2857142857143" style="23" customWidth="1"/>
    <col min="13056" max="13056" width="21.7142857142857" style="23" customWidth="1"/>
    <col min="13057" max="13057" width="18.1428571428571" style="23" customWidth="1"/>
    <col min="13058" max="13058" width="11.1428571428571" style="23" customWidth="1"/>
    <col min="13059" max="13059" width="18.5714285714286" style="23" customWidth="1"/>
    <col min="13060" max="13060" width="14.4285714285714" style="23" customWidth="1"/>
    <col min="13061" max="13305" width="9.14285714285714" style="23"/>
    <col min="13306" max="13306" width="37.4285714285714" style="23" customWidth="1"/>
    <col min="13307" max="13307" width="29.7142857142857" style="23" customWidth="1"/>
    <col min="13308" max="13308" width="17.1428571428571" style="23" customWidth="1"/>
    <col min="13309" max="13309" width="21.1428571428571" style="23" customWidth="1"/>
    <col min="13310" max="13310" width="21.5714285714286" style="23" customWidth="1"/>
    <col min="13311" max="13311" width="25.2857142857143" style="23" customWidth="1"/>
    <col min="13312" max="13312" width="21.7142857142857" style="23" customWidth="1"/>
    <col min="13313" max="13313" width="18.1428571428571" style="23" customWidth="1"/>
    <col min="13314" max="13314" width="11.1428571428571" style="23" customWidth="1"/>
    <col min="13315" max="13315" width="18.5714285714286" style="23" customWidth="1"/>
    <col min="13316" max="13316" width="14.4285714285714" style="23" customWidth="1"/>
    <col min="13317" max="13561" width="9.14285714285714" style="23"/>
    <col min="13562" max="13562" width="37.4285714285714" style="23" customWidth="1"/>
    <col min="13563" max="13563" width="29.7142857142857" style="23" customWidth="1"/>
    <col min="13564" max="13564" width="17.1428571428571" style="23" customWidth="1"/>
    <col min="13565" max="13565" width="21.1428571428571" style="23" customWidth="1"/>
    <col min="13566" max="13566" width="21.5714285714286" style="23" customWidth="1"/>
    <col min="13567" max="13567" width="25.2857142857143" style="23" customWidth="1"/>
    <col min="13568" max="13568" width="21.7142857142857" style="23" customWidth="1"/>
    <col min="13569" max="13569" width="18.1428571428571" style="23" customWidth="1"/>
    <col min="13570" max="13570" width="11.1428571428571" style="23" customWidth="1"/>
    <col min="13571" max="13571" width="18.5714285714286" style="23" customWidth="1"/>
    <col min="13572" max="13572" width="14.4285714285714" style="23" customWidth="1"/>
    <col min="13573" max="13817" width="9.14285714285714" style="23"/>
    <col min="13818" max="13818" width="37.4285714285714" style="23" customWidth="1"/>
    <col min="13819" max="13819" width="29.7142857142857" style="23" customWidth="1"/>
    <col min="13820" max="13820" width="17.1428571428571" style="23" customWidth="1"/>
    <col min="13821" max="13821" width="21.1428571428571" style="23" customWidth="1"/>
    <col min="13822" max="13822" width="21.5714285714286" style="23" customWidth="1"/>
    <col min="13823" max="13823" width="25.2857142857143" style="23" customWidth="1"/>
    <col min="13824" max="13824" width="21.7142857142857" style="23" customWidth="1"/>
    <col min="13825" max="13825" width="18.1428571428571" style="23" customWidth="1"/>
    <col min="13826" max="13826" width="11.1428571428571" style="23" customWidth="1"/>
    <col min="13827" max="13827" width="18.5714285714286" style="23" customWidth="1"/>
    <col min="13828" max="13828" width="14.4285714285714" style="23" customWidth="1"/>
    <col min="13829" max="14073" width="9.14285714285714" style="23"/>
    <col min="14074" max="14074" width="37.4285714285714" style="23" customWidth="1"/>
    <col min="14075" max="14075" width="29.7142857142857" style="23" customWidth="1"/>
    <col min="14076" max="14076" width="17.1428571428571" style="23" customWidth="1"/>
    <col min="14077" max="14077" width="21.1428571428571" style="23" customWidth="1"/>
    <col min="14078" max="14078" width="21.5714285714286" style="23" customWidth="1"/>
    <col min="14079" max="14079" width="25.2857142857143" style="23" customWidth="1"/>
    <col min="14080" max="14080" width="21.7142857142857" style="23" customWidth="1"/>
    <col min="14081" max="14081" width="18.1428571428571" style="23" customWidth="1"/>
    <col min="14082" max="14082" width="11.1428571428571" style="23" customWidth="1"/>
    <col min="14083" max="14083" width="18.5714285714286" style="23" customWidth="1"/>
    <col min="14084" max="14084" width="14.4285714285714" style="23" customWidth="1"/>
    <col min="14085" max="14329" width="9.14285714285714" style="23"/>
    <col min="14330" max="14330" width="37.4285714285714" style="23" customWidth="1"/>
    <col min="14331" max="14331" width="29.7142857142857" style="23" customWidth="1"/>
    <col min="14332" max="14332" width="17.1428571428571" style="23" customWidth="1"/>
    <col min="14333" max="14333" width="21.1428571428571" style="23" customWidth="1"/>
    <col min="14334" max="14334" width="21.5714285714286" style="23" customWidth="1"/>
    <col min="14335" max="14335" width="25.2857142857143" style="23" customWidth="1"/>
    <col min="14336" max="14336" width="21.7142857142857" style="23" customWidth="1"/>
    <col min="14337" max="14337" width="18.1428571428571" style="23" customWidth="1"/>
    <col min="14338" max="14338" width="11.1428571428571" style="23" customWidth="1"/>
    <col min="14339" max="14339" width="18.5714285714286" style="23" customWidth="1"/>
    <col min="14340" max="14340" width="14.4285714285714" style="23" customWidth="1"/>
    <col min="14341" max="14585" width="9.14285714285714" style="23"/>
    <col min="14586" max="14586" width="37.4285714285714" style="23" customWidth="1"/>
    <col min="14587" max="14587" width="29.7142857142857" style="23" customWidth="1"/>
    <col min="14588" max="14588" width="17.1428571428571" style="23" customWidth="1"/>
    <col min="14589" max="14589" width="21.1428571428571" style="23" customWidth="1"/>
    <col min="14590" max="14590" width="21.5714285714286" style="23" customWidth="1"/>
    <col min="14591" max="14591" width="25.2857142857143" style="23" customWidth="1"/>
    <col min="14592" max="14592" width="21.7142857142857" style="23" customWidth="1"/>
    <col min="14593" max="14593" width="18.1428571428571" style="23" customWidth="1"/>
    <col min="14594" max="14594" width="11.1428571428571" style="23" customWidth="1"/>
    <col min="14595" max="14595" width="18.5714285714286" style="23" customWidth="1"/>
    <col min="14596" max="14596" width="14.4285714285714" style="23" customWidth="1"/>
    <col min="14597" max="14841" width="9.14285714285714" style="23"/>
    <col min="14842" max="14842" width="37.4285714285714" style="23" customWidth="1"/>
    <col min="14843" max="14843" width="29.7142857142857" style="23" customWidth="1"/>
    <col min="14844" max="14844" width="17.1428571428571" style="23" customWidth="1"/>
    <col min="14845" max="14845" width="21.1428571428571" style="23" customWidth="1"/>
    <col min="14846" max="14846" width="21.5714285714286" style="23" customWidth="1"/>
    <col min="14847" max="14847" width="25.2857142857143" style="23" customWidth="1"/>
    <col min="14848" max="14848" width="21.7142857142857" style="23" customWidth="1"/>
    <col min="14849" max="14849" width="18.1428571428571" style="23" customWidth="1"/>
    <col min="14850" max="14850" width="11.1428571428571" style="23" customWidth="1"/>
    <col min="14851" max="14851" width="18.5714285714286" style="23" customWidth="1"/>
    <col min="14852" max="14852" width="14.4285714285714" style="23" customWidth="1"/>
    <col min="14853" max="15097" width="9.14285714285714" style="23"/>
    <col min="15098" max="15098" width="37.4285714285714" style="23" customWidth="1"/>
    <col min="15099" max="15099" width="29.7142857142857" style="23" customWidth="1"/>
    <col min="15100" max="15100" width="17.1428571428571" style="23" customWidth="1"/>
    <col min="15101" max="15101" width="21.1428571428571" style="23" customWidth="1"/>
    <col min="15102" max="15102" width="21.5714285714286" style="23" customWidth="1"/>
    <col min="15103" max="15103" width="25.2857142857143" style="23" customWidth="1"/>
    <col min="15104" max="15104" width="21.7142857142857" style="23" customWidth="1"/>
    <col min="15105" max="15105" width="18.1428571428571" style="23" customWidth="1"/>
    <col min="15106" max="15106" width="11.1428571428571" style="23" customWidth="1"/>
    <col min="15107" max="15107" width="18.5714285714286" style="23" customWidth="1"/>
    <col min="15108" max="15108" width="14.4285714285714" style="23" customWidth="1"/>
    <col min="15109" max="15353" width="9.14285714285714" style="23"/>
    <col min="15354" max="15354" width="37.4285714285714" style="23" customWidth="1"/>
    <col min="15355" max="15355" width="29.7142857142857" style="23" customWidth="1"/>
    <col min="15356" max="15356" width="17.1428571428571" style="23" customWidth="1"/>
    <col min="15357" max="15357" width="21.1428571428571" style="23" customWidth="1"/>
    <col min="15358" max="15358" width="21.5714285714286" style="23" customWidth="1"/>
    <col min="15359" max="15359" width="25.2857142857143" style="23" customWidth="1"/>
    <col min="15360" max="15360" width="21.7142857142857" style="23" customWidth="1"/>
    <col min="15361" max="15361" width="18.1428571428571" style="23" customWidth="1"/>
    <col min="15362" max="15362" width="11.1428571428571" style="23" customWidth="1"/>
    <col min="15363" max="15363" width="18.5714285714286" style="23" customWidth="1"/>
    <col min="15364" max="15364" width="14.4285714285714" style="23" customWidth="1"/>
    <col min="15365" max="15609" width="9.14285714285714" style="23"/>
    <col min="15610" max="15610" width="37.4285714285714" style="23" customWidth="1"/>
    <col min="15611" max="15611" width="29.7142857142857" style="23" customWidth="1"/>
    <col min="15612" max="15612" width="17.1428571428571" style="23" customWidth="1"/>
    <col min="15613" max="15613" width="21.1428571428571" style="23" customWidth="1"/>
    <col min="15614" max="15614" width="21.5714285714286" style="23" customWidth="1"/>
    <col min="15615" max="15615" width="25.2857142857143" style="23" customWidth="1"/>
    <col min="15616" max="15616" width="21.7142857142857" style="23" customWidth="1"/>
    <col min="15617" max="15617" width="18.1428571428571" style="23" customWidth="1"/>
    <col min="15618" max="15618" width="11.1428571428571" style="23" customWidth="1"/>
    <col min="15619" max="15619" width="18.5714285714286" style="23" customWidth="1"/>
    <col min="15620" max="15620" width="14.4285714285714" style="23" customWidth="1"/>
    <col min="15621" max="15865" width="9.14285714285714" style="23"/>
    <col min="15866" max="15866" width="37.4285714285714" style="23" customWidth="1"/>
    <col min="15867" max="15867" width="29.7142857142857" style="23" customWidth="1"/>
    <col min="15868" max="15868" width="17.1428571428571" style="23" customWidth="1"/>
    <col min="15869" max="15869" width="21.1428571428571" style="23" customWidth="1"/>
    <col min="15870" max="15870" width="21.5714285714286" style="23" customWidth="1"/>
    <col min="15871" max="15871" width="25.2857142857143" style="23" customWidth="1"/>
    <col min="15872" max="15872" width="21.7142857142857" style="23" customWidth="1"/>
    <col min="15873" max="15873" width="18.1428571428571" style="23" customWidth="1"/>
    <col min="15874" max="15874" width="11.1428571428571" style="23" customWidth="1"/>
    <col min="15875" max="15875" width="18.5714285714286" style="23" customWidth="1"/>
    <col min="15876" max="15876" width="14.4285714285714" style="23" customWidth="1"/>
    <col min="15877" max="16121" width="9.14285714285714" style="23"/>
    <col min="16122" max="16122" width="37.4285714285714" style="23" customWidth="1"/>
    <col min="16123" max="16123" width="29.7142857142857" style="23" customWidth="1"/>
    <col min="16124" max="16124" width="17.1428571428571" style="23" customWidth="1"/>
    <col min="16125" max="16125" width="21.1428571428571" style="23" customWidth="1"/>
    <col min="16126" max="16126" width="21.5714285714286" style="23" customWidth="1"/>
    <col min="16127" max="16127" width="25.2857142857143" style="23" customWidth="1"/>
    <col min="16128" max="16128" width="21.7142857142857" style="23" customWidth="1"/>
    <col min="16129" max="16129" width="18.1428571428571" style="23" customWidth="1"/>
    <col min="16130" max="16130" width="11.1428571428571" style="23" customWidth="1"/>
    <col min="16131" max="16131" width="18.5714285714286" style="23" customWidth="1"/>
    <col min="16132" max="16132" width="14.4285714285714" style="23" customWidth="1"/>
    <col min="16133" max="16384" width="9.14285714285714" style="23"/>
  </cols>
  <sheetData>
    <row r="1" ht="21" customHeight="1" spans="1:13">
      <c r="A1" s="9" t="s">
        <v>104</v>
      </c>
      <c r="B1" s="9"/>
      <c r="E1" s="9" t="s">
        <v>105</v>
      </c>
      <c r="F1" s="9"/>
    </row>
    <row r="2" ht="33" customHeight="1" spans="1:13">
      <c r="A2" s="12" t="s">
        <v>106</v>
      </c>
      <c r="B2" s="12"/>
      <c r="E2" s="12" t="s">
        <v>107</v>
      </c>
      <c r="F2" s="12"/>
    </row>
    <row r="3" ht="25.5" customHeight="1" spans="1:13">
      <c r="A3" s="17" t="s">
        <v>108</v>
      </c>
      <c r="B3" s="17"/>
      <c r="E3" s="17" t="s">
        <v>109</v>
      </c>
      <c r="F3" s="17"/>
    </row>
    <row r="4" ht="25.5" customHeight="1" spans="1:13">
      <c r="A4" s="17" t="s">
        <v>110</v>
      </c>
      <c r="B4" s="17"/>
      <c r="E4" s="17" t="s">
        <v>110</v>
      </c>
      <c r="F4" s="17"/>
    </row>
    <row r="5" spans="1:13">
      <c r="E5" s="17"/>
      <c r="F5" s="17"/>
    </row>
    <row r="6" spans="1:13">
      <c r="A6" s="545" t="s">
        <v>111</v>
      </c>
      <c r="B6" s="545"/>
      <c r="C6" s="545"/>
      <c r="D6" s="545"/>
      <c r="E6" s="545"/>
      <c r="F6" s="545"/>
    </row>
    <row r="7" ht="18" customHeight="1" spans="1:13">
      <c r="A7" s="546" t="s">
        <v>112</v>
      </c>
      <c r="B7" s="547"/>
      <c r="C7" s="547"/>
      <c r="D7" s="547"/>
      <c r="E7" s="547"/>
      <c r="F7" s="547"/>
    </row>
    <row r="8" spans="1:13">
      <c r="A8" s="548"/>
      <c r="B8" s="26"/>
      <c r="C8" s="549"/>
      <c r="D8" s="26"/>
      <c r="E8" s="26"/>
      <c r="F8" s="26"/>
    </row>
    <row r="9" spans="1:13">
      <c r="A9" s="23" t="s">
        <v>113</v>
      </c>
    </row>
    <row r="10" ht="33.75" customHeight="1" spans="1:13">
      <c r="A10" s="550" t="s">
        <v>114</v>
      </c>
      <c r="B10" s="550"/>
      <c r="C10" s="550"/>
      <c r="D10" s="550"/>
      <c r="E10" s="550"/>
      <c r="F10" s="550"/>
      <c r="G10" s="551"/>
      <c r="I10" s="552"/>
      <c r="J10" s="552"/>
      <c r="K10" s="552"/>
      <c r="L10" s="552"/>
      <c r="M10" s="552"/>
    </row>
    <row r="11" ht="33.75" customHeight="1" spans="1:13">
      <c r="A11" s="550" t="s">
        <v>115</v>
      </c>
      <c r="B11" s="550"/>
      <c r="C11" s="550"/>
      <c r="D11" s="550"/>
      <c r="E11" s="550"/>
      <c r="F11" s="550"/>
      <c r="G11" s="553"/>
      <c r="I11" s="552"/>
      <c r="J11" s="552"/>
      <c r="K11" s="552"/>
      <c r="L11" s="552"/>
      <c r="M11" s="552"/>
    </row>
    <row r="12" spans="1:13">
      <c r="A12" s="554" t="s">
        <v>116</v>
      </c>
      <c r="B12" s="554"/>
      <c r="C12" s="554"/>
      <c r="D12" s="554"/>
      <c r="E12" s="554"/>
      <c r="F12" s="554"/>
      <c r="G12" s="66"/>
      <c r="I12" s="555"/>
      <c r="J12" s="555"/>
      <c r="K12" s="555"/>
      <c r="L12" s="555"/>
      <c r="M12" s="555"/>
    </row>
    <row r="13" s="66" customFormat="1" spans="1:13">
      <c r="A13" s="23"/>
      <c r="B13" s="543"/>
      <c r="C13" s="544"/>
      <c r="D13" s="23"/>
      <c r="E13" s="23"/>
      <c r="F13" s="556" t="s">
        <v>117</v>
      </c>
      <c r="G13" s="23"/>
      <c r="H13" s="23"/>
      <c r="I13" s="23"/>
      <c r="J13" s="23"/>
      <c r="K13" s="23"/>
    </row>
    <row r="14" s="66" customFormat="1" ht="94.5" spans="1:13">
      <c r="A14" s="557" t="s">
        <v>118</v>
      </c>
      <c r="B14" s="558" t="s">
        <v>119</v>
      </c>
      <c r="C14" s="559" t="s">
        <v>10</v>
      </c>
      <c r="D14" s="557" t="s">
        <v>120</v>
      </c>
      <c r="E14" s="557" t="s">
        <v>121</v>
      </c>
      <c r="F14" s="557" t="s">
        <v>13</v>
      </c>
      <c r="G14" s="23"/>
      <c r="H14" s="23"/>
      <c r="I14" s="23"/>
      <c r="J14" s="23"/>
      <c r="K14" s="23"/>
    </row>
    <row r="15" s="66" customFormat="1" spans="1:13">
      <c r="A15" s="560">
        <v>1</v>
      </c>
      <c r="B15" s="561">
        <v>2</v>
      </c>
      <c r="C15" s="562">
        <v>3</v>
      </c>
      <c r="D15" s="563">
        <v>4</v>
      </c>
      <c r="E15" s="563">
        <v>5</v>
      </c>
      <c r="F15" s="563">
        <v>6</v>
      </c>
      <c r="G15" s="23"/>
      <c r="H15" s="23"/>
      <c r="I15" s="23"/>
      <c r="J15" s="23"/>
      <c r="K15" s="23"/>
    </row>
    <row r="16" s="66" customFormat="1" spans="1:13">
      <c r="A16" s="564" t="s">
        <v>122</v>
      </c>
      <c r="B16" s="565">
        <f>Затраты!H28*1000-0.12</f>
        <v>11464049.88</v>
      </c>
      <c r="C16" s="566">
        <f>Справка!F15</f>
        <v>1.399</v>
      </c>
      <c r="D16" s="567">
        <f>B16*C16</f>
        <v>16038205.78</v>
      </c>
      <c r="E16" s="566">
        <f>Справка!K15</f>
        <v>1.07537</v>
      </c>
      <c r="F16" s="568">
        <f>ROUND(D16*E16,2)</f>
        <v>17247005.35</v>
      </c>
      <c r="G16" s="569"/>
    </row>
    <row r="17" s="66" customFormat="1" spans="1:21">
      <c r="A17" s="570" t="s">
        <v>93</v>
      </c>
      <c r="B17" s="565">
        <f>Затраты!I36/1.2*1000</f>
        <v>177787030</v>
      </c>
      <c r="C17" s="566">
        <f t="shared" ref="C17:C21" si="0">$C$16</f>
        <v>1.399</v>
      </c>
      <c r="D17" s="567">
        <f t="shared" ref="D17:D21" si="1">B17*C17</f>
        <v>248724054.97</v>
      </c>
      <c r="E17" s="566">
        <f>$E$16</f>
        <v>1.07537</v>
      </c>
      <c r="F17" s="568">
        <f t="shared" ref="F17:F21" si="2">ROUND(D17*E17,2)</f>
        <v>267470386.99</v>
      </c>
      <c r="G17" s="569"/>
    </row>
    <row r="18" s="66" customFormat="1" spans="1:21">
      <c r="A18" s="564" t="s">
        <v>100</v>
      </c>
      <c r="B18" s="565">
        <f>Затраты!I44/1.2*1000</f>
        <v>3382520</v>
      </c>
      <c r="C18" s="566">
        <f t="shared" si="0"/>
        <v>1.399</v>
      </c>
      <c r="D18" s="567">
        <f t="shared" si="1"/>
        <v>4732145.48</v>
      </c>
      <c r="E18" s="566">
        <f t="shared" ref="E18:E21" si="3">$E$16</f>
        <v>1.07537</v>
      </c>
      <c r="F18" s="568">
        <f t="shared" si="2"/>
        <v>5088807.28</v>
      </c>
      <c r="G18" s="569"/>
    </row>
    <row r="19" s="66" customFormat="1" spans="1:21">
      <c r="A19" s="564" t="s">
        <v>123</v>
      </c>
      <c r="B19" s="565">
        <f>Затраты!I46/1.2*1000</f>
        <v>2798500</v>
      </c>
      <c r="C19" s="566">
        <f t="shared" si="0"/>
        <v>1.399</v>
      </c>
      <c r="D19" s="567">
        <f t="shared" si="1"/>
        <v>3915101.5</v>
      </c>
      <c r="E19" s="566">
        <f t="shared" si="3"/>
        <v>1.07537</v>
      </c>
      <c r="F19" s="568">
        <f t="shared" si="2"/>
        <v>4210182.7</v>
      </c>
      <c r="G19" s="569"/>
    </row>
    <row r="20" s="66" customFormat="1" spans="1:21">
      <c r="A20" s="564" t="s">
        <v>124</v>
      </c>
      <c r="B20" s="565">
        <f>Затраты!I45/1.2*1000</f>
        <v>8349480</v>
      </c>
      <c r="C20" s="566">
        <f t="shared" si="0"/>
        <v>1.399</v>
      </c>
      <c r="D20" s="567">
        <f t="shared" si="1"/>
        <v>11680922.52</v>
      </c>
      <c r="E20" s="566">
        <f t="shared" si="3"/>
        <v>1.07537</v>
      </c>
      <c r="F20" s="568">
        <f t="shared" si="2"/>
        <v>12561313.65</v>
      </c>
      <c r="G20" s="569"/>
    </row>
    <row r="21" s="70" customFormat="1" ht="31.5" spans="1:21">
      <c r="A21" s="564" t="s">
        <v>125</v>
      </c>
      <c r="B21" s="565">
        <f>(B16+B17+B18+B19+B20)*2%</f>
        <v>4075631.6</v>
      </c>
      <c r="C21" s="566">
        <f t="shared" si="0"/>
        <v>1.399</v>
      </c>
      <c r="D21" s="567">
        <f t="shared" si="1"/>
        <v>5701808.61</v>
      </c>
      <c r="E21" s="566">
        <f t="shared" si="3"/>
        <v>1.07537</v>
      </c>
      <c r="F21" s="568">
        <f t="shared" si="2"/>
        <v>6131553.92</v>
      </c>
      <c r="G21" s="569"/>
      <c r="H21" s="571"/>
      <c r="I21" s="66"/>
      <c r="J21" s="66"/>
      <c r="K21" s="66"/>
    </row>
    <row r="22" s="70" customFormat="1" customHeight="1" spans="1:21">
      <c r="A22" s="572" t="s">
        <v>126</v>
      </c>
      <c r="B22" s="565">
        <f>SUM(B16:B21)</f>
        <v>207857211.48</v>
      </c>
      <c r="C22" s="566"/>
      <c r="D22" s="568">
        <f>SUM(D16:D21)</f>
        <v>290792238.86</v>
      </c>
      <c r="E22" s="566"/>
      <c r="F22" s="568">
        <f>SUM(F16:F21)</f>
        <v>312709249.89</v>
      </c>
      <c r="G22" s="569"/>
      <c r="H22" s="573"/>
    </row>
    <row r="23" s="70" customFormat="1" customHeight="1" spans="1:21">
      <c r="A23" s="574" t="s">
        <v>127</v>
      </c>
      <c r="B23" s="575">
        <f>B22*0.22-0.01</f>
        <v>45728586.52</v>
      </c>
      <c r="C23" s="576"/>
      <c r="D23" s="577">
        <f>D22*22%</f>
        <v>63974292.55</v>
      </c>
      <c r="E23" s="578"/>
      <c r="F23" s="577">
        <f>F22*22%</f>
        <v>68796034.98</v>
      </c>
      <c r="G23" s="569"/>
    </row>
    <row r="24" s="70" customFormat="1" spans="1:21">
      <c r="A24" s="579" t="s">
        <v>128</v>
      </c>
      <c r="B24" s="580">
        <f>B22+B23</f>
        <v>253585798</v>
      </c>
      <c r="C24" s="581"/>
      <c r="D24" s="580">
        <f>D22+D23</f>
        <v>354766531.41</v>
      </c>
      <c r="E24" s="581"/>
      <c r="F24" s="580">
        <f>F22+F23</f>
        <v>381505284.87</v>
      </c>
      <c r="G24" s="569"/>
    </row>
    <row r="25" s="70" customFormat="1" spans="1:21">
      <c r="A25" s="582"/>
      <c r="B25" s="583">
        <f>Справка!B14</f>
        <v>253585798</v>
      </c>
      <c r="C25" s="584"/>
      <c r="D25" s="585">
        <f>Справка!H14</f>
        <v>354766531</v>
      </c>
      <c r="E25" s="586"/>
      <c r="F25" s="587"/>
      <c r="G25" s="588"/>
    </row>
    <row r="26" s="70" customFormat="1" ht="17.25" customHeight="1" spans="1:21">
      <c r="A26" s="589" t="s">
        <v>129</v>
      </c>
      <c r="B26" s="590">
        <f>B25-B24</f>
        <v>0</v>
      </c>
      <c r="C26" s="590"/>
      <c r="D26" s="591">
        <f>B24*C22</f>
        <v>0</v>
      </c>
      <c r="E26" s="592"/>
      <c r="F26" s="591">
        <f>Справка!AA14</f>
        <v>381505284.87</v>
      </c>
    </row>
    <row r="27" s="70" customFormat="1" spans="1:21">
      <c r="A27" s="589" t="s">
        <v>130</v>
      </c>
      <c r="B27" s="67"/>
      <c r="C27" s="593"/>
      <c r="D27" s="594"/>
      <c r="E27" s="595"/>
      <c r="F27" s="596"/>
    </row>
    <row r="28" s="70" customFormat="1" spans="1:21">
      <c r="A28" s="589" t="s">
        <v>131</v>
      </c>
      <c r="B28" s="67"/>
      <c r="C28" s="593"/>
      <c r="D28" s="66"/>
      <c r="E28" s="595"/>
      <c r="F28" s="595"/>
    </row>
    <row r="29" s="70" customFormat="1" spans="1:21">
      <c r="A29" s="589" t="s">
        <v>132</v>
      </c>
      <c r="B29" s="67"/>
      <c r="C29" s="593"/>
      <c r="D29" s="66"/>
      <c r="E29" s="595"/>
      <c r="F29" s="595"/>
    </row>
    <row r="30" s="66" customFormat="1" spans="1:21">
      <c r="A30" s="589" t="s">
        <v>133</v>
      </c>
      <c r="B30" s="67"/>
      <c r="C30" s="593"/>
      <c r="G30" s="70"/>
      <c r="H30" s="70"/>
      <c r="I30" s="70"/>
      <c r="J30" s="70"/>
      <c r="K30" s="70"/>
    </row>
    <row r="31" s="66" customFormat="1" spans="1:21">
      <c r="B31" s="67"/>
      <c r="C31" s="593"/>
      <c r="G31" s="70"/>
      <c r="H31" s="70"/>
      <c r="I31" s="70"/>
      <c r="J31" s="70"/>
      <c r="K31" s="70"/>
    </row>
    <row r="32" s="66" customFormat="1" customHeight="1" spans="1:21">
      <c r="A32" s="597" t="s">
        <v>31</v>
      </c>
      <c r="B32" s="597"/>
      <c r="C32" s="597"/>
      <c r="D32" s="597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8"/>
    </row>
    <row r="33" s="66" customFormat="1" customHeight="1" spans="1:21">
      <c r="A33" s="599"/>
      <c r="B33" s="67"/>
      <c r="C33" s="593"/>
      <c r="S33" s="600"/>
      <c r="T33" s="600"/>
      <c r="U33" s="601"/>
    </row>
    <row r="34" s="66" customFormat="1" customHeight="1" spans="1:21">
      <c r="A34" s="602" t="str">
        <f>Справка!A24</f>
        <v>март 2023 / март 2022</v>
      </c>
      <c r="B34" s="602">
        <v>108.6</v>
      </c>
      <c r="C34" s="603">
        <f>B34/100</f>
        <v>1.086</v>
      </c>
      <c r="S34" s="600"/>
      <c r="T34" s="600"/>
      <c r="U34" s="601"/>
    </row>
    <row r="35" s="66" customFormat="1" customHeight="1" spans="1:21">
      <c r="A35" s="602" t="str">
        <f>Справка!A25</f>
        <v>март 2024 / март 2023</v>
      </c>
      <c r="B35" s="602">
        <v>109.53</v>
      </c>
      <c r="C35" s="603">
        <f t="shared" ref="C35:C48" si="4">B35/100</f>
        <v>1.0953</v>
      </c>
      <c r="S35" s="600"/>
      <c r="T35" s="600"/>
      <c r="U35" s="601"/>
    </row>
    <row r="36" s="66" customFormat="1" customHeight="1" spans="1:21">
      <c r="A36" s="602" t="str">
        <f>Справка!A26</f>
        <v>март 2025 / март  2024</v>
      </c>
      <c r="B36" s="602">
        <v>106.56</v>
      </c>
      <c r="C36" s="603">
        <f t="shared" si="4"/>
        <v>1.0656</v>
      </c>
      <c r="S36" s="600"/>
      <c r="T36" s="600"/>
      <c r="U36" s="601"/>
    </row>
    <row r="37" s="66" customFormat="1" customHeight="1" spans="1:21">
      <c r="A37" s="604">
        <f>Справка!A27</f>
        <v>45748</v>
      </c>
      <c r="B37" s="602">
        <v>98.08</v>
      </c>
      <c r="C37" s="603">
        <f t="shared" si="4"/>
        <v>0.9808</v>
      </c>
      <c r="S37" s="600"/>
      <c r="T37" s="600"/>
      <c r="U37" s="601"/>
    </row>
    <row r="38" s="66" customFormat="1" customHeight="1" spans="1:21">
      <c r="A38" s="604">
        <f>Справка!A28</f>
        <v>45778</v>
      </c>
      <c r="B38" s="602">
        <v>101.17</v>
      </c>
      <c r="C38" s="603">
        <f t="shared" si="4"/>
        <v>1.0117</v>
      </c>
      <c r="S38" s="600"/>
      <c r="T38" s="600"/>
      <c r="U38" s="601"/>
    </row>
    <row r="39" s="66" customFormat="1" customHeight="1" spans="1:21">
      <c r="A39" s="604">
        <f>Справка!A29</f>
        <v>45809</v>
      </c>
      <c r="B39" s="602">
        <v>103.19</v>
      </c>
      <c r="C39" s="603">
        <f t="shared" si="4"/>
        <v>1.0319</v>
      </c>
      <c r="S39" s="600"/>
      <c r="T39" s="600"/>
      <c r="U39" s="601"/>
    </row>
    <row r="40" s="66" customFormat="1" customHeight="1" spans="1:21">
      <c r="A40" s="604">
        <f>Справка!A30</f>
        <v>45839</v>
      </c>
      <c r="B40" s="602">
        <v>100.64</v>
      </c>
      <c r="C40" s="603">
        <f t="shared" si="4"/>
        <v>1.0064</v>
      </c>
      <c r="S40" s="600"/>
      <c r="T40" s="600"/>
      <c r="U40" s="601"/>
    </row>
    <row r="41" s="66" customFormat="1" customHeight="1" spans="1:21">
      <c r="A41" s="604">
        <f>Справка!A31</f>
        <v>45870</v>
      </c>
      <c r="B41" s="602">
        <v>100.15</v>
      </c>
      <c r="C41" s="603">
        <f t="shared" si="4"/>
        <v>1.0015</v>
      </c>
      <c r="S41" s="600"/>
      <c r="T41" s="600"/>
      <c r="U41" s="601"/>
    </row>
    <row r="42" s="66" customFormat="1" customHeight="1" spans="1:21">
      <c r="A42" s="604">
        <f>Справка!A32</f>
        <v>45901</v>
      </c>
      <c r="B42" s="602">
        <v>102.06</v>
      </c>
      <c r="C42" s="603">
        <f t="shared" si="4"/>
        <v>1.0206</v>
      </c>
      <c r="S42" s="600"/>
      <c r="T42" s="600"/>
      <c r="U42" s="601"/>
    </row>
    <row r="43" s="66" customFormat="1" customHeight="1" spans="1:21">
      <c r="A43" s="604">
        <f>Справка!A33</f>
        <v>45931</v>
      </c>
      <c r="B43" s="602">
        <v>100.26</v>
      </c>
      <c r="C43" s="603">
        <f t="shared" si="4"/>
        <v>1.0026</v>
      </c>
      <c r="S43" s="600"/>
      <c r="T43" s="600"/>
      <c r="U43" s="601"/>
    </row>
    <row r="44" s="66" customFormat="1" customHeight="1" spans="1:21">
      <c r="A44" s="604">
        <f>Справка!A34</f>
        <v>45962</v>
      </c>
      <c r="B44" s="602">
        <v>100.86</v>
      </c>
      <c r="C44" s="603">
        <f t="shared" si="4"/>
        <v>1.0086</v>
      </c>
      <c r="S44" s="600"/>
      <c r="T44" s="600"/>
      <c r="U44" s="601"/>
    </row>
    <row r="45" s="66" customFormat="1" ht="12" customHeight="1" spans="1:21">
      <c r="A45" s="604">
        <f>Справка!A35</f>
        <v>45992</v>
      </c>
      <c r="B45" s="602">
        <v>100.46</v>
      </c>
      <c r="C45" s="603">
        <f t="shared" si="4"/>
        <v>1.0046</v>
      </c>
      <c r="S45" s="600"/>
      <c r="T45" s="600"/>
      <c r="U45" s="605"/>
    </row>
    <row r="46" s="66" customFormat="1" customHeight="1" spans="1:21">
      <c r="A46" s="604">
        <f>Справка!A36</f>
        <v>46023</v>
      </c>
      <c r="B46" s="602">
        <v>101.14</v>
      </c>
      <c r="C46" s="603">
        <f t="shared" si="4"/>
        <v>1.0114</v>
      </c>
      <c r="S46" s="600"/>
      <c r="T46" s="600"/>
      <c r="U46" s="605"/>
    </row>
    <row r="47" s="66" customFormat="1" customHeight="1" spans="1:21">
      <c r="A47" s="604">
        <f>Справка!A37</f>
        <v>46054</v>
      </c>
      <c r="B47" s="602">
        <v>100.99</v>
      </c>
      <c r="C47" s="603">
        <f t="shared" si="4"/>
        <v>1.0099</v>
      </c>
      <c r="S47" s="600"/>
      <c r="T47" s="600"/>
      <c r="U47" s="605"/>
    </row>
    <row r="48" s="66" customFormat="1" customHeight="1" spans="1:21">
      <c r="A48" s="604">
        <f>Справка!A38</f>
        <v>46082</v>
      </c>
      <c r="B48" s="602">
        <v>100.99</v>
      </c>
      <c r="C48" s="603">
        <f t="shared" si="4"/>
        <v>1.0099</v>
      </c>
      <c r="S48" s="600"/>
      <c r="T48" s="600"/>
      <c r="U48" s="605"/>
    </row>
    <row r="49" s="66" customFormat="1" customHeight="1" spans="1:21">
      <c r="A49" s="606"/>
      <c r="B49" s="71"/>
      <c r="C49" s="607"/>
      <c r="S49" s="600"/>
      <c r="T49" s="600"/>
      <c r="U49" s="605"/>
    </row>
    <row r="50" s="66" customFormat="1" spans="1:21">
      <c r="A50" s="74" t="s">
        <v>41</v>
      </c>
      <c r="B50" s="75">
        <f>C34*C35*C36*C37*C38*C39*C40*C41*C42*C43*C44*C45*C46*C47*C48</f>
        <v>1.399</v>
      </c>
      <c r="C50" s="593"/>
    </row>
    <row r="51" s="66" customFormat="1" spans="1:21">
      <c r="A51" s="74"/>
      <c r="B51" s="608"/>
      <c r="C51" s="593"/>
    </row>
    <row r="52" s="66" customFormat="1" customHeight="1" spans="1:21">
      <c r="A52" s="609" t="s">
        <v>134</v>
      </c>
      <c r="B52" s="609"/>
      <c r="C52" s="609"/>
      <c r="D52" s="609"/>
      <c r="E52" s="609"/>
      <c r="F52" s="609"/>
      <c r="G52" s="598"/>
      <c r="H52" s="70"/>
      <c r="I52" s="70"/>
      <c r="J52" s="70"/>
      <c r="K52" s="70"/>
    </row>
    <row r="53" s="66" customFormat="1" spans="1:21">
      <c r="A53" s="609"/>
      <c r="B53" s="609"/>
      <c r="C53" s="609"/>
      <c r="D53" s="609"/>
      <c r="E53" s="609"/>
      <c r="F53" s="609"/>
      <c r="G53" s="149"/>
      <c r="H53" s="70"/>
      <c r="I53" s="70"/>
      <c r="J53" s="70"/>
      <c r="K53" s="70"/>
    </row>
    <row r="54" s="66" customFormat="1" ht="17.25" customHeight="1" spans="1:21">
      <c r="E54" s="610"/>
      <c r="F54" s="611"/>
      <c r="G54" s="612"/>
      <c r="H54" s="70"/>
      <c r="I54" s="70"/>
      <c r="J54" s="70"/>
      <c r="K54" s="70"/>
    </row>
    <row r="55" s="66" customFormat="1" customHeight="1" spans="1:21">
      <c r="A55" s="613"/>
      <c r="B55" s="605"/>
      <c r="C55" s="614"/>
      <c r="E55" s="615"/>
      <c r="F55" s="616"/>
      <c r="H55" s="70"/>
      <c r="I55" s="70"/>
      <c r="J55" s="70"/>
      <c r="K55" s="70"/>
    </row>
    <row r="56" s="66" customFormat="1" spans="1:21">
      <c r="A56" s="617"/>
      <c r="B56" s="605"/>
      <c r="C56" s="614"/>
      <c r="F56" s="616"/>
      <c r="H56" s="70"/>
      <c r="I56" s="70"/>
      <c r="J56" s="70"/>
      <c r="K56" s="70"/>
    </row>
    <row r="57" s="66" customFormat="1" spans="1:21">
      <c r="A57" s="613" t="s">
        <v>38</v>
      </c>
      <c r="B57" s="605">
        <f>Справка!F41</f>
        <v>1.078</v>
      </c>
      <c r="C57" s="618" t="s">
        <v>135</v>
      </c>
      <c r="D57" s="618"/>
      <c r="E57" s="615" t="s">
        <v>136</v>
      </c>
      <c r="F57" s="616" t="str">
        <f>CONCATENATE(B57,"     =    ",ROUND(B57^(1/12),4))</f>
        <v>1,078     =    1,0063</v>
      </c>
      <c r="H57" s="70"/>
      <c r="I57" s="70"/>
      <c r="J57" s="70"/>
      <c r="K57" s="70"/>
    </row>
    <row r="58" s="66" customFormat="1" spans="1:21">
      <c r="A58" s="613"/>
      <c r="B58" s="605"/>
      <c r="C58" s="614"/>
      <c r="E58" s="615"/>
      <c r="F58" s="616"/>
      <c r="H58" s="70"/>
      <c r="I58" s="70"/>
      <c r="J58" s="70"/>
      <c r="K58" s="70"/>
    </row>
    <row r="59" s="66" customFormat="1" spans="1:21">
      <c r="A59" s="613"/>
      <c r="B59" s="605"/>
      <c r="C59" s="614"/>
      <c r="E59" s="610"/>
      <c r="F59" s="616"/>
      <c r="H59" s="70"/>
      <c r="I59" s="70"/>
      <c r="J59" s="70"/>
      <c r="K59" s="70"/>
    </row>
    <row r="60" s="66" customFormat="1" spans="1:21">
      <c r="A60" s="613" t="s">
        <v>42</v>
      </c>
      <c r="B60" s="605">
        <f>Справка!F44</f>
        <v>1.077</v>
      </c>
      <c r="C60" s="618" t="s">
        <v>137</v>
      </c>
      <c r="D60" s="618"/>
      <c r="E60" s="615" t="s">
        <v>136</v>
      </c>
      <c r="F60" s="616" t="str">
        <f>CONCATENATE(B60,"     =    ",ROUND(B60^(1/12),4))</f>
        <v>1,077     =    1,0062</v>
      </c>
      <c r="H60" s="70"/>
      <c r="I60" s="70"/>
      <c r="J60" s="70"/>
      <c r="K60" s="70"/>
    </row>
    <row r="61" s="66" customFormat="1" spans="1:21">
      <c r="A61" s="613"/>
      <c r="B61" s="605"/>
      <c r="C61" s="614"/>
      <c r="E61" s="615"/>
      <c r="F61" s="616"/>
      <c r="H61" s="70"/>
      <c r="I61" s="70"/>
      <c r="J61" s="70"/>
      <c r="K61" s="70"/>
    </row>
    <row r="62" s="66" customFormat="1" spans="1:21">
      <c r="A62" s="619"/>
      <c r="B62" s="620"/>
      <c r="C62" s="593"/>
    </row>
    <row r="63" s="66" customFormat="1" ht="46.5" customHeight="1" spans="1:21">
      <c r="A63" s="621" t="s">
        <v>138</v>
      </c>
      <c r="B63" s="622" t="s">
        <v>139</v>
      </c>
      <c r="C63" s="623">
        <v>2022</v>
      </c>
      <c r="D63" s="624">
        <v>2023</v>
      </c>
      <c r="E63" s="624">
        <v>2024</v>
      </c>
      <c r="F63" s="625"/>
    </row>
    <row r="64" s="66" customFormat="1" ht="33" customHeight="1" spans="1:21">
      <c r="A64" s="626" t="s">
        <v>93</v>
      </c>
      <c r="B64" s="627">
        <f>B25</f>
        <v>253585798</v>
      </c>
      <c r="C64" s="628">
        <f>Затраты!D26*1000</f>
        <v>0</v>
      </c>
      <c r="D64" s="628">
        <f>Затраты!E26*1000</f>
        <v>76075739.4</v>
      </c>
      <c r="E64" s="628">
        <f>B64-C64-D64</f>
        <v>177510058.6</v>
      </c>
      <c r="F64" s="629"/>
    </row>
    <row r="65" s="66" customFormat="1" spans="1:11">
      <c r="A65" s="619"/>
      <c r="B65" s="620"/>
      <c r="C65" s="593"/>
    </row>
    <row r="66" s="66" customFormat="1" spans="1:11">
      <c r="A66" s="66" t="s">
        <v>140</v>
      </c>
      <c r="B66" s="67"/>
      <c r="C66" s="593"/>
      <c r="D66" s="630">
        <f>Справка!E46</f>
        <v>0.3</v>
      </c>
      <c r="E66" s="631"/>
    </row>
    <row r="67" s="66" customFormat="1" spans="1:11">
      <c r="A67" s="66" t="s">
        <v>141</v>
      </c>
      <c r="B67" s="67"/>
      <c r="C67" s="593"/>
      <c r="D67" s="630">
        <f>Справка!E47</f>
        <v>0.7</v>
      </c>
      <c r="E67" s="631"/>
    </row>
    <row r="68" spans="1:11">
      <c r="A68" s="632"/>
      <c r="B68" s="67"/>
      <c r="C68" s="633"/>
      <c r="D68" s="67"/>
      <c r="E68" s="67"/>
      <c r="F68" s="67"/>
      <c r="G68" s="66"/>
      <c r="H68" s="66"/>
      <c r="I68" s="66"/>
      <c r="J68" s="66"/>
      <c r="K68" s="66"/>
    </row>
    <row r="69" spans="1:11">
      <c r="A69" s="632" t="s">
        <v>56</v>
      </c>
      <c r="B69" s="67"/>
      <c r="C69" s="633"/>
      <c r="D69" s="67"/>
      <c r="E69" s="66"/>
      <c r="F69" s="66"/>
      <c r="G69" s="66"/>
      <c r="H69" s="66"/>
      <c r="I69" s="66"/>
      <c r="J69" s="66"/>
      <c r="K69" s="66"/>
    </row>
    <row r="70" spans="1:11">
      <c r="A70" s="67"/>
      <c r="B70" s="67"/>
      <c r="C70" s="633"/>
      <c r="D70" s="634" t="s">
        <v>57</v>
      </c>
      <c r="E70" s="634" t="s">
        <v>58</v>
      </c>
      <c r="F70" s="66"/>
      <c r="G70" s="66"/>
      <c r="H70" s="66"/>
      <c r="I70" s="66"/>
      <c r="J70" s="66"/>
      <c r="K70" s="66"/>
    </row>
    <row r="71" spans="1:11">
      <c r="A71" s="142"/>
      <c r="B71" s="635"/>
      <c r="C71" s="636"/>
      <c r="D71" s="130"/>
      <c r="E71" s="130"/>
      <c r="G71" s="66"/>
      <c r="H71" s="66"/>
      <c r="I71" s="66"/>
      <c r="J71" s="66"/>
      <c r="K71" s="66"/>
    </row>
    <row r="72" spans="1:11">
      <c r="A72" s="142">
        <v>2023</v>
      </c>
      <c r="B72" s="635">
        <f>Справка!C62</f>
        <v>1.0063</v>
      </c>
      <c r="C72" s="636">
        <f>POWER(B72,D72)</f>
        <v>1.0063</v>
      </c>
      <c r="D72" s="130">
        <f>Справка!E62</f>
        <v>1</v>
      </c>
      <c r="E72" s="637" t="str">
        <f>Справка!F62</f>
        <v>январь 2026</v>
      </c>
      <c r="G72" s="66"/>
      <c r="H72" s="66"/>
      <c r="I72" s="66"/>
      <c r="J72" s="66"/>
      <c r="K72" s="66"/>
    </row>
    <row r="73" spans="1:11">
      <c r="A73" s="142"/>
      <c r="B73" s="635">
        <f>Справка!C63</f>
        <v>1.0063</v>
      </c>
      <c r="C73" s="636">
        <f t="shared" ref="C73:C76" si="5">POWER(B73,D73)</f>
        <v>1.05815</v>
      </c>
      <c r="D73" s="130">
        <f>Справка!E63</f>
        <v>9</v>
      </c>
      <c r="E73" s="130" t="str">
        <f>Справка!F63</f>
        <v>апрель -декабрь 2026</v>
      </c>
    </row>
    <row r="74" spans="1:11">
      <c r="A74" s="142"/>
      <c r="B74" s="635"/>
      <c r="C74" s="636"/>
      <c r="D74" s="130"/>
      <c r="E74" s="130"/>
    </row>
    <row r="75" spans="1:11">
      <c r="A75" s="142">
        <v>2024</v>
      </c>
      <c r="B75" s="635">
        <f>Справка!C65</f>
        <v>1.0062</v>
      </c>
      <c r="C75" s="636">
        <f t="shared" si="5"/>
        <v>1.0062</v>
      </c>
      <c r="D75" s="130">
        <f>Справка!E65</f>
        <v>1</v>
      </c>
      <c r="E75" s="130" t="str">
        <f>Справка!F65</f>
        <v>январь 2027</v>
      </c>
    </row>
    <row r="76" spans="1:11">
      <c r="A76" s="149"/>
      <c r="B76" s="635">
        <f>Справка!C66</f>
        <v>1.0062</v>
      </c>
      <c r="C76" s="636">
        <f t="shared" si="5"/>
        <v>1.06376</v>
      </c>
      <c r="D76" s="130">
        <f>Справка!E66</f>
        <v>10</v>
      </c>
      <c r="E76" s="130" t="str">
        <f>Справка!F66</f>
        <v>январь-октябрь 2027</v>
      </c>
    </row>
    <row r="77" spans="1:11">
      <c r="A77" s="149"/>
      <c r="B77" s="635"/>
      <c r="C77" s="636"/>
      <c r="D77" s="130"/>
      <c r="E77" s="146"/>
    </row>
    <row r="78" spans="1:11">
      <c r="A78" s="638">
        <v>2026</v>
      </c>
      <c r="B78" s="639"/>
      <c r="C78" s="640"/>
      <c r="D78" s="66"/>
      <c r="F78" s="66"/>
      <c r="G78" s="109"/>
      <c r="H78" s="109"/>
      <c r="I78" s="109"/>
    </row>
    <row r="79" ht="18" spans="1:11">
      <c r="A79" s="641" t="s">
        <v>142</v>
      </c>
      <c r="B79" s="642">
        <f>Справка!M52</f>
        <v>1.0291</v>
      </c>
      <c r="C79" s="643"/>
      <c r="D79" s="66"/>
      <c r="F79" s="66"/>
      <c r="G79" s="109"/>
      <c r="H79" s="109"/>
      <c r="I79" s="109"/>
    </row>
    <row r="80" spans="1:11">
      <c r="A80" s="638">
        <v>2027</v>
      </c>
      <c r="B80" s="644"/>
      <c r="C80" s="640"/>
      <c r="D80" s="66"/>
      <c r="F80" s="66"/>
    </row>
    <row r="81" ht="18" spans="1:12">
      <c r="A81" s="645" t="s">
        <v>143</v>
      </c>
      <c r="B81" s="645"/>
      <c r="C81" s="646">
        <f>Справка!P54</f>
        <v>1.0952</v>
      </c>
      <c r="D81" s="593"/>
      <c r="F81" s="66"/>
    </row>
    <row r="82" spans="1:12">
      <c r="A82" s="647"/>
      <c r="B82" s="648"/>
      <c r="C82" s="649"/>
      <c r="D82" s="66"/>
      <c r="E82" s="128"/>
      <c r="F82" s="66"/>
    </row>
    <row r="83" spans="1:12">
      <c r="A83" s="599" t="s">
        <v>144</v>
      </c>
      <c r="B83" s="67"/>
      <c r="C83" s="649"/>
      <c r="D83" s="66"/>
      <c r="F83" s="66"/>
    </row>
    <row r="84" ht="24" customHeight="1" spans="1:12">
      <c r="A84" s="650"/>
      <c r="B84" s="650"/>
      <c r="C84" s="651">
        <f>D66*B79+D67*C81</f>
        <v>1.07537</v>
      </c>
      <c r="E84" s="128"/>
      <c r="F84" s="652"/>
    </row>
    <row r="85" spans="1:12">
      <c r="A85" s="66"/>
      <c r="B85" s="67"/>
      <c r="C85" s="653"/>
      <c r="D85" s="66"/>
      <c r="F85" s="66"/>
    </row>
    <row r="86" spans="1:12">
      <c r="A86" s="65" t="s">
        <v>145</v>
      </c>
      <c r="B86" s="67"/>
      <c r="C86" s="593"/>
      <c r="D86" s="66"/>
      <c r="E86" s="66"/>
      <c r="F86" s="66"/>
      <c r="H86" s="128"/>
      <c r="I86" s="127"/>
      <c r="J86" s="127"/>
      <c r="K86" s="3"/>
      <c r="L86" s="3"/>
    </row>
    <row r="87" spans="1:12">
      <c r="A87" s="65"/>
      <c r="B87" s="67"/>
      <c r="C87" s="593"/>
      <c r="D87" s="66"/>
      <c r="E87" s="66"/>
      <c r="F87" s="66"/>
      <c r="H87" s="128"/>
      <c r="I87" s="127"/>
      <c r="J87" s="127"/>
      <c r="K87" s="654"/>
      <c r="L87" s="124"/>
    </row>
    <row r="88" spans="1:12">
      <c r="A88" s="655"/>
      <c r="B88" s="656">
        <f>Справка!U14</f>
        <v>0</v>
      </c>
      <c r="C88" s="657"/>
      <c r="D88" s="66"/>
      <c r="E88" s="571" t="s">
        <v>146</v>
      </c>
      <c r="F88" s="66"/>
      <c r="H88" s="124"/>
      <c r="I88" s="658"/>
      <c r="J88" s="659"/>
      <c r="K88" s="660"/>
      <c r="L88" s="128"/>
    </row>
    <row r="89" spans="1:12">
      <c r="A89" s="655" t="s">
        <v>147</v>
      </c>
      <c r="B89" s="661">
        <f>D64*B50*C84</f>
        <v>114451585.46</v>
      </c>
      <c r="C89" s="657"/>
      <c r="D89" s="66"/>
      <c r="E89" s="571"/>
      <c r="F89" s="66"/>
      <c r="H89" s="124"/>
      <c r="I89" s="658"/>
      <c r="J89" s="659"/>
      <c r="K89" s="660"/>
      <c r="L89" s="128"/>
    </row>
    <row r="90" spans="1:12">
      <c r="A90" s="655" t="s">
        <v>148</v>
      </c>
      <c r="B90" s="661">
        <f>E64*B50*C84</f>
        <v>267053699.41</v>
      </c>
      <c r="C90" s="657"/>
      <c r="D90" s="66"/>
      <c r="E90" s="571"/>
      <c r="F90" s="66"/>
      <c r="H90" s="124"/>
      <c r="I90" s="658"/>
      <c r="J90" s="659"/>
      <c r="K90" s="660"/>
      <c r="L90" s="128"/>
    </row>
    <row r="91" spans="1:12">
      <c r="A91" s="655"/>
      <c r="B91" s="656"/>
      <c r="C91" s="662"/>
      <c r="D91" s="66"/>
      <c r="E91" s="571"/>
      <c r="F91" s="66"/>
      <c r="H91" s="124"/>
      <c r="I91" s="658"/>
      <c r="J91" s="659"/>
      <c r="K91" s="660"/>
      <c r="L91" s="128"/>
    </row>
    <row r="92" ht="54" customHeight="1" spans="1:12">
      <c r="A92" s="663" t="s">
        <v>149</v>
      </c>
      <c r="B92" s="132" t="s">
        <v>150</v>
      </c>
      <c r="C92" s="132"/>
      <c r="D92" s="132"/>
      <c r="E92" s="664"/>
      <c r="F92" s="665" t="s">
        <v>151</v>
      </c>
      <c r="H92" s="124"/>
      <c r="I92" s="658"/>
      <c r="J92" s="659"/>
      <c r="K92" s="660"/>
      <c r="L92" s="128"/>
    </row>
    <row r="93" ht="54" customHeight="1" spans="1:12">
      <c r="A93" s="663" t="s">
        <v>152</v>
      </c>
      <c r="B93" s="132" t="s">
        <v>153</v>
      </c>
      <c r="C93" s="132"/>
      <c r="D93" s="132"/>
      <c r="E93" s="664"/>
      <c r="F93" s="665" t="s">
        <v>154</v>
      </c>
      <c r="H93" s="124"/>
      <c r="I93" s="658"/>
      <c r="J93" s="659"/>
      <c r="K93" s="660"/>
      <c r="L93" s="128"/>
    </row>
    <row r="94" ht="54" hidden="1" customHeight="1" spans="1:12">
      <c r="A94" s="663" t="s">
        <v>155</v>
      </c>
      <c r="B94" s="132" t="s">
        <v>156</v>
      </c>
      <c r="C94" s="132"/>
      <c r="D94" s="132"/>
      <c r="E94" s="666"/>
      <c r="F94" s="665" t="s">
        <v>157</v>
      </c>
      <c r="H94" s="124"/>
      <c r="I94" s="658"/>
      <c r="J94" s="659"/>
      <c r="K94" s="660"/>
      <c r="L94" s="128"/>
    </row>
  </sheetData>
  <mergeCells count="24">
    <mergeCell ref="A1:B1"/>
    <mergeCell ref="E1:F1"/>
    <mergeCell ref="A2:B2"/>
    <mergeCell ref="E2:F2"/>
    <mergeCell ref="A3:B3"/>
    <mergeCell ref="E3:F3"/>
    <mergeCell ref="A4:B4"/>
    <mergeCell ref="E4:F4"/>
    <mergeCell ref="A6:F6"/>
    <mergeCell ref="A7:F7"/>
    <mergeCell ref="A10:F10"/>
    <mergeCell ref="A11:F11"/>
    <mergeCell ref="A12:F12"/>
    <mergeCell ref="A32:D32"/>
    <mergeCell ref="C57:D57"/>
    <mergeCell ref="C60:D60"/>
    <mergeCell ref="A81:B81"/>
    <mergeCell ref="A84:B84"/>
    <mergeCell ref="B92:D92"/>
    <mergeCell ref="B93:D93"/>
    <mergeCell ref="B94:D94"/>
    <mergeCell ref="E57:E58"/>
    <mergeCell ref="E60:E61"/>
    <mergeCell ref="A52:F53"/>
  </mergeCells>
  <pageMargins left="0.7" right="0.7" top="0.75" bottom="0.75" header="0.3" footer="0.3"/>
  <pageSetup paperSize="9" scale="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opLeftCell="A10" workbookViewId="0">
      <selection activeCell="H38" sqref="H38"/>
    </sheetView>
  </sheetViews>
  <sheetFormatPr defaultColWidth="9" defaultRowHeight="12.75"/>
  <cols>
    <col min="1" max="1" width="5" style="489" customWidth="1"/>
    <col min="2" max="2" width="19.2857142857143" style="490" customWidth="1"/>
    <col min="3" max="3" width="51.2857142857143" style="490" customWidth="1"/>
    <col min="4" max="4" width="13.1428571428571" style="491" customWidth="1"/>
    <col min="5" max="5" width="13" style="491" customWidth="1"/>
    <col min="6" max="6" width="13.4285714285714" style="491" customWidth="1"/>
    <col min="7" max="7" width="12.5714285714286" style="491" customWidth="1"/>
    <col min="8" max="8" width="13.8571428571429" style="491" customWidth="1"/>
    <col min="9" max="10" width="15" style="492" customWidth="1"/>
    <col min="11" max="11" width="17.5714285714286" style="492" customWidth="1"/>
    <col min="12" max="12" width="18.2857142857143" style="492" customWidth="1"/>
    <col min="13" max="13" width="15.2857142857143" style="492" customWidth="1"/>
    <col min="14" max="14" width="9.14285714285714" style="493"/>
    <col min="15" max="15" width="14.4285714285714" style="493" customWidth="1"/>
    <col min="16" max="16384" width="9.14285714285714" style="493"/>
  </cols>
  <sheetData>
    <row r="1" spans="1:16">
      <c r="A1" s="493"/>
      <c r="G1" s="494"/>
      <c r="H1" s="494"/>
    </row>
    <row r="2" spans="1:16">
      <c r="A2" s="493"/>
      <c r="D2" s="495" t="s">
        <v>158</v>
      </c>
      <c r="F2" s="494"/>
      <c r="G2" s="494"/>
      <c r="H2" s="494"/>
    </row>
    <row r="3" spans="1:16">
      <c r="A3" s="493"/>
      <c r="D3" s="496"/>
      <c r="F3" s="494"/>
      <c r="G3" s="494"/>
      <c r="H3" s="494"/>
    </row>
    <row r="4" spans="1:16">
      <c r="A4" s="493"/>
      <c r="C4" s="497" t="s">
        <v>159</v>
      </c>
      <c r="D4" s="498"/>
      <c r="E4" s="498"/>
      <c r="F4" s="498"/>
      <c r="G4" s="498"/>
      <c r="H4" s="498"/>
    </row>
    <row r="5" spans="1:16">
      <c r="A5" s="493"/>
      <c r="D5" s="499" t="s">
        <v>160</v>
      </c>
      <c r="F5" s="494"/>
      <c r="G5" s="494"/>
      <c r="H5" s="494"/>
    </row>
    <row r="6" spans="1:16">
      <c r="H6" s="494"/>
    </row>
    <row r="7" spans="1:16">
      <c r="B7" s="490" t="s">
        <v>161</v>
      </c>
      <c r="D7" s="496"/>
      <c r="E7" s="494"/>
      <c r="F7" s="494"/>
      <c r="G7" s="494"/>
      <c r="H7" s="494"/>
    </row>
    <row r="8" spans="1:16">
      <c r="D8" s="496"/>
      <c r="E8" s="494"/>
      <c r="F8" s="494"/>
      <c r="G8" s="494"/>
      <c r="H8" s="494"/>
      <c r="O8" s="500">
        <f>(H38)/(H25+H29+H16+H17+H18)</f>
        <v>0.014787996</v>
      </c>
      <c r="P8" s="493" t="s">
        <v>162</v>
      </c>
    </row>
    <row r="9" spans="1:16">
      <c r="D9" s="494"/>
      <c r="E9" s="494"/>
      <c r="F9" s="494"/>
      <c r="G9" s="494"/>
      <c r="H9" s="501" t="s">
        <v>163</v>
      </c>
      <c r="O9" s="500">
        <f>(H37)/(H24+H28)</f>
        <v>0.053245327</v>
      </c>
      <c r="P9" s="493" t="s">
        <v>164</v>
      </c>
    </row>
    <row r="10" s="487" customFormat="1" spans="1:16">
      <c r="A10" s="502" t="s">
        <v>165</v>
      </c>
      <c r="B10" s="503" t="s">
        <v>166</v>
      </c>
      <c r="C10" s="503" t="s">
        <v>167</v>
      </c>
      <c r="D10" s="502" t="s">
        <v>168</v>
      </c>
      <c r="E10" s="502"/>
      <c r="F10" s="502"/>
      <c r="G10" s="502"/>
      <c r="H10" s="502" t="s">
        <v>169</v>
      </c>
      <c r="I10" s="504" t="s">
        <v>101</v>
      </c>
      <c r="J10" s="504" t="s">
        <v>170</v>
      </c>
      <c r="K10" s="504" t="s">
        <v>128</v>
      </c>
      <c r="L10" s="504" t="s">
        <v>171</v>
      </c>
      <c r="M10" s="504" t="s">
        <v>172</v>
      </c>
      <c r="O10" s="500">
        <f>(H36)/(H23+H27)</f>
        <v>0.040715226</v>
      </c>
      <c r="P10" s="493" t="s">
        <v>173</v>
      </c>
    </row>
    <row r="11" s="487" customFormat="1" spans="1:16">
      <c r="A11" s="502"/>
      <c r="B11" s="503"/>
      <c r="C11" s="503"/>
      <c r="D11" s="502" t="s">
        <v>174</v>
      </c>
      <c r="E11" s="502" t="s">
        <v>175</v>
      </c>
      <c r="F11" s="502" t="s">
        <v>176</v>
      </c>
      <c r="G11" s="502" t="s">
        <v>177</v>
      </c>
      <c r="H11" s="502"/>
      <c r="I11" s="505"/>
      <c r="J11" s="505"/>
      <c r="K11" s="505"/>
      <c r="L11" s="505"/>
      <c r="M11" s="505"/>
    </row>
    <row r="12" s="487" customFormat="1" spans="1:16">
      <c r="A12" s="502"/>
      <c r="B12" s="503"/>
      <c r="C12" s="503"/>
      <c r="D12" s="502"/>
      <c r="E12" s="502"/>
      <c r="F12" s="502"/>
      <c r="G12" s="502"/>
      <c r="H12" s="502"/>
      <c r="I12" s="505"/>
      <c r="J12" s="505"/>
      <c r="K12" s="505"/>
      <c r="L12" s="505"/>
      <c r="M12" s="505"/>
    </row>
    <row r="13" s="487" customFormat="1" spans="1:16">
      <c r="A13" s="502"/>
      <c r="B13" s="503"/>
      <c r="C13" s="503"/>
      <c r="D13" s="502"/>
      <c r="E13" s="502"/>
      <c r="F13" s="502"/>
      <c r="G13" s="502"/>
      <c r="H13" s="502"/>
      <c r="I13" s="505"/>
      <c r="J13" s="505"/>
      <c r="K13" s="505"/>
      <c r="L13" s="505"/>
      <c r="M13" s="505"/>
    </row>
    <row r="14" spans="1:16">
      <c r="A14" s="506">
        <v>1</v>
      </c>
      <c r="B14" s="507">
        <v>2</v>
      </c>
      <c r="C14" s="507">
        <v>3</v>
      </c>
      <c r="D14" s="506">
        <v>4</v>
      </c>
      <c r="E14" s="506">
        <v>5</v>
      </c>
      <c r="F14" s="506">
        <v>6</v>
      </c>
      <c r="G14" s="506">
        <v>7</v>
      </c>
      <c r="H14" s="506">
        <v>8</v>
      </c>
      <c r="I14" s="508"/>
      <c r="J14" s="508"/>
      <c r="K14" s="508"/>
      <c r="L14" s="508"/>
      <c r="M14" s="508"/>
    </row>
    <row r="15" spans="1:16">
      <c r="A15" s="509" t="s">
        <v>178</v>
      </c>
      <c r="B15" s="510"/>
      <c r="C15" s="510"/>
      <c r="D15" s="510"/>
      <c r="E15" s="510"/>
      <c r="F15" s="510"/>
      <c r="G15" s="510"/>
      <c r="H15" s="510"/>
      <c r="I15" s="511"/>
      <c r="J15" s="511"/>
      <c r="K15" s="511"/>
      <c r="L15" s="511"/>
      <c r="M15" s="511"/>
    </row>
    <row r="16" spans="1:16">
      <c r="A16" s="512"/>
      <c r="B16" s="513" t="s">
        <v>179</v>
      </c>
      <c r="C16" s="513" t="s">
        <v>180</v>
      </c>
      <c r="D16" s="514">
        <v>7693.11</v>
      </c>
      <c r="E16" s="514"/>
      <c r="F16" s="514"/>
      <c r="G16" s="514"/>
      <c r="H16" s="514">
        <f>D16+E16+F16+G16</f>
        <v>7693.11</v>
      </c>
      <c r="I16" s="515"/>
      <c r="J16" s="516">
        <f>H16*$O$8</f>
        <v>113.766</v>
      </c>
      <c r="K16" s="517">
        <f>H16+I16+J16</f>
        <v>7806.876</v>
      </c>
      <c r="L16" s="518">
        <f>K16*Справка!$F$15*Справка!$K$15</f>
        <v>11744.997</v>
      </c>
      <c r="M16" s="519">
        <f>L16/K16</f>
        <v>1.50444262211927</v>
      </c>
    </row>
    <row r="17" spans="1:13">
      <c r="A17" s="512"/>
      <c r="B17" s="513" t="s">
        <v>181</v>
      </c>
      <c r="C17" s="513" t="s">
        <v>182</v>
      </c>
      <c r="D17" s="514">
        <v>3264.51</v>
      </c>
      <c r="E17" s="514">
        <v>476.64</v>
      </c>
      <c r="F17" s="514"/>
      <c r="G17" s="514"/>
      <c r="H17" s="514">
        <f t="shared" ref="H17:H20" si="0">D17+E17+F17+G17</f>
        <v>3741.15</v>
      </c>
      <c r="I17" s="515"/>
      <c r="J17" s="516">
        <f t="shared" ref="J17:J18" si="1">H17*$O$8</f>
        <v>55.324</v>
      </c>
      <c r="K17" s="517">
        <f t="shared" ref="K17:K20" si="2">H17+I17+J17</f>
        <v>3796.474</v>
      </c>
      <c r="L17" s="518">
        <f>K17*Справка!$F$15*Справка!$K$15</f>
        <v>5711.577</v>
      </c>
      <c r="M17" s="519">
        <f t="shared" ref="M17:M20" si="3">L17/K17</f>
        <v>1.50444254326515</v>
      </c>
    </row>
    <row r="18" spans="1:13">
      <c r="A18" s="512"/>
      <c r="B18" s="513" t="s">
        <v>183</v>
      </c>
      <c r="C18" s="513" t="s">
        <v>92</v>
      </c>
      <c r="D18" s="514">
        <v>20.04</v>
      </c>
      <c r="E18" s="514"/>
      <c r="F18" s="514"/>
      <c r="G18" s="514"/>
      <c r="H18" s="514">
        <f t="shared" si="0"/>
        <v>20.04</v>
      </c>
      <c r="I18" s="516"/>
      <c r="J18" s="516">
        <f t="shared" si="1"/>
        <v>0.296</v>
      </c>
      <c r="K18" s="517">
        <f t="shared" si="2"/>
        <v>20.336</v>
      </c>
      <c r="L18" s="518">
        <f>K18*Справка!$F$15*Справка!$K$15</f>
        <v>30.594</v>
      </c>
      <c r="M18" s="519">
        <f t="shared" si="3"/>
        <v>1.5044256490952</v>
      </c>
    </row>
    <row r="19" spans="1:13">
      <c r="A19" s="512"/>
      <c r="B19" s="513" t="s">
        <v>184</v>
      </c>
      <c r="C19" s="513" t="s">
        <v>185</v>
      </c>
      <c r="D19" s="514"/>
      <c r="E19" s="514"/>
      <c r="F19" s="514"/>
      <c r="G19" s="514">
        <v>7.82</v>
      </c>
      <c r="H19" s="514">
        <f t="shared" si="0"/>
        <v>7.82</v>
      </c>
      <c r="I19" s="516"/>
      <c r="J19" s="516"/>
      <c r="K19" s="517">
        <f t="shared" si="2"/>
        <v>7.82</v>
      </c>
      <c r="L19" s="518">
        <f>K19*Справка!$F$15*Справка!$K$15</f>
        <v>11.765</v>
      </c>
      <c r="M19" s="519">
        <f t="shared" si="3"/>
        <v>1.50447570332481</v>
      </c>
    </row>
    <row r="20" spans="1:13">
      <c r="A20" s="512"/>
      <c r="B20" s="513" t="s">
        <v>186</v>
      </c>
      <c r="C20" s="513" t="s">
        <v>187</v>
      </c>
      <c r="D20" s="514"/>
      <c r="E20" s="514"/>
      <c r="F20" s="514"/>
      <c r="G20" s="514">
        <v>1.93</v>
      </c>
      <c r="H20" s="514">
        <f t="shared" si="0"/>
        <v>1.93</v>
      </c>
      <c r="I20" s="516"/>
      <c r="J20" s="516"/>
      <c r="K20" s="517">
        <f t="shared" si="2"/>
        <v>1.93</v>
      </c>
      <c r="L20" s="518">
        <f>K20*Справка!$F$15*Справка!$K$15</f>
        <v>2.904</v>
      </c>
      <c r="M20" s="519">
        <f t="shared" si="3"/>
        <v>1.50466321243523</v>
      </c>
    </row>
    <row r="21" spans="1:13">
      <c r="A21" s="512"/>
      <c r="B21" s="520" t="s">
        <v>188</v>
      </c>
      <c r="C21" s="521"/>
      <c r="D21" s="514">
        <f>SUM(D16:D20)</f>
        <v>10977.66</v>
      </c>
      <c r="E21" s="514">
        <f t="shared" ref="E21:H21" si="4">SUM(E16:E20)</f>
        <v>476.64</v>
      </c>
      <c r="F21" s="514">
        <f t="shared" si="4"/>
        <v>0</v>
      </c>
      <c r="G21" s="514">
        <f t="shared" si="4"/>
        <v>9.75</v>
      </c>
      <c r="H21" s="514">
        <f t="shared" si="4"/>
        <v>11464.05</v>
      </c>
      <c r="I21" s="522">
        <f t="shared" ref="I21:J21" si="5">SUM(I16:I20)</f>
        <v>0</v>
      </c>
      <c r="J21" s="522">
        <f t="shared" si="5"/>
        <v>169.386</v>
      </c>
      <c r="K21" s="522">
        <f t="shared" ref="K21:L21" si="6">SUM(K16:K20)</f>
        <v>11633.436</v>
      </c>
      <c r="L21" s="522">
        <f t="shared" si="6"/>
        <v>17501.837</v>
      </c>
      <c r="M21" s="523"/>
    </row>
    <row r="22" spans="1:13">
      <c r="A22" s="524" t="s">
        <v>189</v>
      </c>
      <c r="B22" s="525"/>
      <c r="C22" s="525"/>
      <c r="D22" s="525"/>
      <c r="E22" s="525"/>
      <c r="F22" s="525"/>
      <c r="G22" s="525"/>
      <c r="H22" s="525"/>
      <c r="I22" s="516"/>
      <c r="J22" s="516"/>
      <c r="K22" s="526"/>
      <c r="L22" s="526"/>
      <c r="M22" s="523"/>
    </row>
    <row r="23" spans="1:13">
      <c r="A23" s="512"/>
      <c r="B23" s="513" t="s">
        <v>190</v>
      </c>
      <c r="C23" s="513" t="s">
        <v>191</v>
      </c>
      <c r="D23" s="514">
        <v>86653.19</v>
      </c>
      <c r="E23" s="514">
        <v>23.94</v>
      </c>
      <c r="F23" s="514"/>
      <c r="G23" s="514"/>
      <c r="H23" s="514">
        <f t="shared" ref="H23:H24" si="7">D23+E23+F23+G23</f>
        <v>86677.13</v>
      </c>
      <c r="I23" s="516">
        <f>H23*O10</f>
        <v>3529.079</v>
      </c>
      <c r="J23" s="516">
        <f t="shared" ref="J23:J24" si="8">H23*$O$8</f>
        <v>1281.781</v>
      </c>
      <c r="K23" s="517">
        <f t="shared" ref="K23:K24" si="9">H23+I23+J23</f>
        <v>91487.99</v>
      </c>
      <c r="L23" s="518">
        <f>K23*Справка!$F$15*Справка!$K$15</f>
        <v>137638.432</v>
      </c>
      <c r="M23" s="519">
        <f t="shared" ref="M23:M24" si="10">L23/K23</f>
        <v>1.50444262684097</v>
      </c>
    </row>
    <row r="24" spans="1:13">
      <c r="A24" s="512"/>
      <c r="B24" s="513" t="s">
        <v>192</v>
      </c>
      <c r="C24" s="513" t="s">
        <v>193</v>
      </c>
      <c r="D24" s="514">
        <v>87288.08</v>
      </c>
      <c r="E24" s="514">
        <v>23.94</v>
      </c>
      <c r="F24" s="514"/>
      <c r="G24" s="514"/>
      <c r="H24" s="514">
        <f t="shared" si="7"/>
        <v>87312.02</v>
      </c>
      <c r="I24" s="516">
        <f>H24*O9</f>
        <v>4648.957</v>
      </c>
      <c r="J24" s="516">
        <f t="shared" si="8"/>
        <v>1291.17</v>
      </c>
      <c r="K24" s="517">
        <f t="shared" si="9"/>
        <v>93252.147</v>
      </c>
      <c r="L24" s="518">
        <f>K24*Справка!$F$15*Справка!$K$15</f>
        <v>140292.505</v>
      </c>
      <c r="M24" s="519">
        <f t="shared" si="10"/>
        <v>1.50444262693491</v>
      </c>
    </row>
    <row r="25" spans="1:13">
      <c r="A25" s="512"/>
      <c r="B25" s="520" t="s">
        <v>194</v>
      </c>
      <c r="C25" s="521"/>
      <c r="D25" s="514">
        <f>SUM(D23:D24)</f>
        <v>173941.27</v>
      </c>
      <c r="E25" s="514">
        <f>SUM(E23:E24)</f>
        <v>47.88</v>
      </c>
      <c r="F25" s="514">
        <f>SUM(F23:F24)</f>
        <v>0</v>
      </c>
      <c r="G25" s="514">
        <f>SUM(G23:G24)</f>
        <v>0</v>
      </c>
      <c r="H25" s="514">
        <f>SUM(H23:H24)</f>
        <v>173989.15</v>
      </c>
      <c r="I25" s="522">
        <f t="shared" ref="I25:L25" si="11">SUM(I23:I24)</f>
        <v>8178.036</v>
      </c>
      <c r="J25" s="522">
        <f t="shared" si="11"/>
        <v>2572.951</v>
      </c>
      <c r="K25" s="522">
        <f t="shared" si="11"/>
        <v>184740.137</v>
      </c>
      <c r="L25" s="522">
        <f t="shared" si="11"/>
        <v>277930.937</v>
      </c>
      <c r="M25" s="523"/>
    </row>
    <row r="26" spans="1:13">
      <c r="A26" s="524" t="s">
        <v>195</v>
      </c>
      <c r="B26" s="525"/>
      <c r="C26" s="525"/>
      <c r="D26" s="525"/>
      <c r="E26" s="525"/>
      <c r="F26" s="525"/>
      <c r="G26" s="525"/>
      <c r="H26" s="525"/>
      <c r="I26" s="516"/>
      <c r="J26" s="516"/>
      <c r="K26" s="526"/>
      <c r="L26" s="526"/>
      <c r="M26" s="523"/>
    </row>
    <row r="27" spans="1:13">
      <c r="A27" s="512"/>
      <c r="B27" s="513" t="s">
        <v>196</v>
      </c>
      <c r="C27" s="513" t="s">
        <v>197</v>
      </c>
      <c r="D27" s="514">
        <v>1627.57</v>
      </c>
      <c r="E27" s="514">
        <v>820.21</v>
      </c>
      <c r="F27" s="514">
        <v>8.33</v>
      </c>
      <c r="G27" s="514"/>
      <c r="H27" s="514">
        <f t="shared" ref="H27:H28" si="12">D27+E27+F27+G27</f>
        <v>2456.11</v>
      </c>
      <c r="I27" s="516">
        <f>H27*O10</f>
        <v>100.001</v>
      </c>
      <c r="J27" s="516">
        <f t="shared" ref="J27:J28" si="13">H27*$O$8</f>
        <v>36.321</v>
      </c>
      <c r="K27" s="517">
        <f>H27+I27+J27</f>
        <v>2592.432</v>
      </c>
      <c r="L27" s="518">
        <f>K27*Справка!$F$15*Справка!$K$15</f>
        <v>3900.165</v>
      </c>
      <c r="M27" s="519">
        <f t="shared" ref="M27:M28" si="14">L27/K27</f>
        <v>1.5044425466126</v>
      </c>
    </row>
    <row r="28" spans="1:13">
      <c r="A28" s="512"/>
      <c r="B28" s="513" t="s">
        <v>198</v>
      </c>
      <c r="C28" s="513" t="s">
        <v>199</v>
      </c>
      <c r="D28" s="514">
        <v>784.57</v>
      </c>
      <c r="E28" s="514">
        <v>550.82</v>
      </c>
      <c r="F28" s="514">
        <v>6.38</v>
      </c>
      <c r="G28" s="514"/>
      <c r="H28" s="514">
        <f t="shared" si="12"/>
        <v>1341.77</v>
      </c>
      <c r="I28" s="516">
        <f>H28*O9</f>
        <v>71.443</v>
      </c>
      <c r="J28" s="516">
        <f t="shared" si="13"/>
        <v>19.842</v>
      </c>
      <c r="K28" s="517">
        <f>H28+I28+J28</f>
        <v>1433.055</v>
      </c>
      <c r="L28" s="518">
        <f>K28*Справка!$F$15*Справка!$K$15</f>
        <v>2155.949</v>
      </c>
      <c r="M28" s="519">
        <f t="shared" si="14"/>
        <v>1.50444260687831</v>
      </c>
    </row>
    <row r="29" spans="1:13">
      <c r="A29" s="512"/>
      <c r="B29" s="520" t="s">
        <v>200</v>
      </c>
      <c r="C29" s="521"/>
      <c r="D29" s="514">
        <f>SUM(D27:D28)</f>
        <v>2412.14</v>
      </c>
      <c r="E29" s="514">
        <f t="shared" ref="E29:H29" si="15">SUM(E27:E28)</f>
        <v>1371.03</v>
      </c>
      <c r="F29" s="514">
        <f t="shared" si="15"/>
        <v>14.71</v>
      </c>
      <c r="G29" s="514">
        <f t="shared" si="15"/>
        <v>0</v>
      </c>
      <c r="H29" s="514">
        <f t="shared" si="15"/>
        <v>3797.88</v>
      </c>
      <c r="I29" s="522">
        <f t="shared" ref="I29:J29" si="16">SUM(I27:I28)</f>
        <v>171.444</v>
      </c>
      <c r="J29" s="522">
        <f t="shared" si="16"/>
        <v>56.163</v>
      </c>
      <c r="K29" s="522">
        <f t="shared" ref="K29" si="17">SUM(K27:K28)</f>
        <v>4025.487</v>
      </c>
      <c r="L29" s="522">
        <f t="shared" ref="L29" si="18">SUM(L27:L28)</f>
        <v>6056.114</v>
      </c>
      <c r="M29" s="523"/>
    </row>
    <row r="30" customHeight="1" spans="1:13">
      <c r="A30" s="527" t="s">
        <v>201</v>
      </c>
      <c r="B30" s="528"/>
      <c r="C30" s="528"/>
      <c r="D30" s="528"/>
      <c r="E30" s="528"/>
      <c r="F30" s="528"/>
      <c r="G30" s="528"/>
      <c r="H30" s="529"/>
      <c r="I30" s="530"/>
      <c r="J30" s="516"/>
      <c r="K30" s="531"/>
      <c r="L30" s="532"/>
      <c r="M30" s="523"/>
    </row>
    <row r="31" customHeight="1" spans="1:13">
      <c r="A31" s="512"/>
      <c r="B31" s="533" t="s">
        <v>202</v>
      </c>
      <c r="C31" s="534"/>
      <c r="D31" s="514">
        <f>D29+D25+D21</f>
        <v>187331.07</v>
      </c>
      <c r="E31" s="514">
        <f>E29+E25+E21</f>
        <v>1895.55</v>
      </c>
      <c r="F31" s="514">
        <f>F29+F25+F21</f>
        <v>14.71</v>
      </c>
      <c r="G31" s="514">
        <f>G29+G25+G21</f>
        <v>9.75</v>
      </c>
      <c r="H31" s="514">
        <f>H29+H25+H21</f>
        <v>189251.08</v>
      </c>
      <c r="I31" s="522">
        <f t="shared" ref="I31:L31" si="19">I29+I25+I21</f>
        <v>8349.48</v>
      </c>
      <c r="J31" s="522">
        <f t="shared" si="19"/>
        <v>2798.5</v>
      </c>
      <c r="K31" s="522">
        <f t="shared" si="19"/>
        <v>200399.06</v>
      </c>
      <c r="L31" s="522">
        <f t="shared" si="19"/>
        <v>301488.888</v>
      </c>
      <c r="M31" s="523"/>
    </row>
    <row r="32" customHeight="1" spans="1:13">
      <c r="A32" s="527" t="s">
        <v>203</v>
      </c>
      <c r="B32" s="528"/>
      <c r="C32" s="528"/>
      <c r="D32" s="528"/>
      <c r="E32" s="528"/>
      <c r="F32" s="528"/>
      <c r="G32" s="528"/>
      <c r="H32" s="529"/>
      <c r="I32" s="516"/>
      <c r="J32" s="516"/>
      <c r="K32" s="526"/>
      <c r="L32" s="526"/>
      <c r="M32" s="523"/>
    </row>
    <row r="33" customHeight="1" spans="1:13">
      <c r="A33" s="512"/>
      <c r="B33" s="533" t="s">
        <v>204</v>
      </c>
      <c r="C33" s="534"/>
      <c r="D33" s="514">
        <f>D31</f>
        <v>187331.07</v>
      </c>
      <c r="E33" s="514">
        <f t="shared" ref="E33:L33" si="20">E31</f>
        <v>1895.55</v>
      </c>
      <c r="F33" s="514">
        <f t="shared" si="20"/>
        <v>14.71</v>
      </c>
      <c r="G33" s="514">
        <f t="shared" si="20"/>
        <v>9.75</v>
      </c>
      <c r="H33" s="514">
        <f t="shared" si="20"/>
        <v>189251.08</v>
      </c>
      <c r="I33" s="522">
        <f t="shared" si="20"/>
        <v>8349.48</v>
      </c>
      <c r="J33" s="522">
        <f t="shared" si="20"/>
        <v>2798.5</v>
      </c>
      <c r="K33" s="522">
        <f t="shared" si="20"/>
        <v>200399.06</v>
      </c>
      <c r="L33" s="522">
        <f t="shared" si="20"/>
        <v>301488.888</v>
      </c>
      <c r="M33" s="523"/>
    </row>
    <row r="34" spans="1:13">
      <c r="A34" s="524" t="s">
        <v>205</v>
      </c>
      <c r="B34" s="525"/>
      <c r="C34" s="525"/>
      <c r="D34" s="525"/>
      <c r="E34" s="525"/>
      <c r="F34" s="525"/>
      <c r="G34" s="525"/>
      <c r="H34" s="525"/>
      <c r="I34" s="516"/>
      <c r="J34" s="516"/>
      <c r="K34" s="526"/>
      <c r="L34" s="526"/>
      <c r="M34" s="523"/>
    </row>
    <row r="35" spans="1:13">
      <c r="A35" s="512"/>
      <c r="B35" s="513" t="s">
        <v>206</v>
      </c>
      <c r="C35" s="513" t="s">
        <v>207</v>
      </c>
      <c r="D35" s="514"/>
      <c r="E35" s="514"/>
      <c r="F35" s="514"/>
      <c r="G35" s="514">
        <v>3382.52</v>
      </c>
      <c r="H35" s="514">
        <f t="shared" ref="H35:H38" si="21">D35+E35+F35+G35</f>
        <v>3382.52</v>
      </c>
      <c r="I35" s="516"/>
      <c r="J35" s="516"/>
      <c r="K35" s="517">
        <f>H35+I35+J35</f>
        <v>3382.52</v>
      </c>
      <c r="L35" s="518">
        <f>K35*Справка!$F$15*Справка!$K$15</f>
        <v>5088.807</v>
      </c>
      <c r="M35" s="519">
        <f t="shared" ref="M35" si="22">L35/K35</f>
        <v>1.50444254579426</v>
      </c>
    </row>
    <row r="36" spans="1:13">
      <c r="A36" s="512"/>
      <c r="B36" s="513" t="s">
        <v>208</v>
      </c>
      <c r="C36" s="513" t="s">
        <v>209</v>
      </c>
      <c r="D36" s="514">
        <v>3629.08</v>
      </c>
      <c r="E36" s="514"/>
      <c r="F36" s="514"/>
      <c r="G36" s="514"/>
      <c r="H36" s="514">
        <f t="shared" si="21"/>
        <v>3629.08</v>
      </c>
      <c r="I36" s="516"/>
      <c r="J36" s="516"/>
      <c r="K36" s="526"/>
      <c r="L36" s="526"/>
      <c r="M36" s="523"/>
    </row>
    <row r="37" spans="1:13">
      <c r="A37" s="512"/>
      <c r="B37" s="513" t="s">
        <v>210</v>
      </c>
      <c r="C37" s="513" t="s">
        <v>211</v>
      </c>
      <c r="D37" s="514">
        <v>4720.4</v>
      </c>
      <c r="E37" s="514"/>
      <c r="F37" s="514"/>
      <c r="G37" s="514"/>
      <c r="H37" s="514">
        <f t="shared" ref="H37" si="23">D37+E37+F37+G37</f>
        <v>4720.4</v>
      </c>
      <c r="I37" s="516"/>
      <c r="J37" s="516"/>
      <c r="K37" s="526"/>
      <c r="L37" s="526"/>
      <c r="M37" s="523"/>
    </row>
    <row r="38" spans="1:13">
      <c r="A38" s="512"/>
      <c r="B38" s="513" t="s">
        <v>212</v>
      </c>
      <c r="C38" s="513" t="s">
        <v>123</v>
      </c>
      <c r="D38" s="514"/>
      <c r="E38" s="514"/>
      <c r="F38" s="514"/>
      <c r="G38" s="514">
        <v>2798.5</v>
      </c>
      <c r="H38" s="514">
        <f t="shared" si="21"/>
        <v>2798.5</v>
      </c>
      <c r="I38" s="516"/>
      <c r="J38" s="516"/>
      <c r="K38" s="526"/>
      <c r="L38" s="526"/>
      <c r="M38" s="523"/>
    </row>
    <row r="39" spans="1:13">
      <c r="A39" s="512"/>
      <c r="B39" s="520" t="s">
        <v>213</v>
      </c>
      <c r="C39" s="521"/>
      <c r="D39" s="514">
        <f>SUM(D35:D38)</f>
        <v>8349.48</v>
      </c>
      <c r="E39" s="514">
        <f t="shared" ref="E39:H39" si="24">SUM(E35:E38)</f>
        <v>0</v>
      </c>
      <c r="F39" s="514">
        <f t="shared" si="24"/>
        <v>0</v>
      </c>
      <c r="G39" s="514">
        <f t="shared" si="24"/>
        <v>6181.02</v>
      </c>
      <c r="H39" s="514">
        <f t="shared" si="24"/>
        <v>14530.5</v>
      </c>
      <c r="I39" s="522">
        <f t="shared" ref="I39:J39" si="25">SUM(I35:I38)</f>
        <v>0</v>
      </c>
      <c r="J39" s="522">
        <f t="shared" si="25"/>
        <v>0</v>
      </c>
      <c r="K39" s="522">
        <f t="shared" ref="K39:L39" si="26">SUM(K35:K38)</f>
        <v>3382.52</v>
      </c>
      <c r="L39" s="522">
        <f t="shared" si="26"/>
        <v>5088.807</v>
      </c>
      <c r="M39" s="523"/>
    </row>
    <row r="40" s="488" customFormat="1" spans="1:13">
      <c r="A40" s="535"/>
      <c r="B40" s="520" t="s">
        <v>214</v>
      </c>
      <c r="C40" s="536"/>
      <c r="D40" s="520">
        <f>D39+D33</f>
        <v>195680.55</v>
      </c>
      <c r="E40" s="520">
        <f t="shared" ref="E40:H40" si="27">E39+E33</f>
        <v>1895.55</v>
      </c>
      <c r="F40" s="520">
        <f t="shared" si="27"/>
        <v>14.71</v>
      </c>
      <c r="G40" s="520">
        <f t="shared" si="27"/>
        <v>6190.77</v>
      </c>
      <c r="H40" s="520">
        <f t="shared" si="27"/>
        <v>203781.58</v>
      </c>
      <c r="I40" s="537">
        <f t="shared" ref="I40:J40" si="28">I39+I33</f>
        <v>8349.48</v>
      </c>
      <c r="J40" s="537">
        <f t="shared" si="28"/>
        <v>2798.5</v>
      </c>
      <c r="K40" s="537">
        <f t="shared" ref="K40:L40" si="29">K39+K33</f>
        <v>203781.58</v>
      </c>
      <c r="L40" s="537">
        <f t="shared" si="29"/>
        <v>306577.695</v>
      </c>
      <c r="M40" s="523"/>
    </row>
    <row r="41" spans="1:13">
      <c r="A41" s="512"/>
      <c r="B41" s="520"/>
      <c r="C41" s="521"/>
      <c r="D41" s="514"/>
      <c r="E41" s="514"/>
      <c r="F41" s="514"/>
      <c r="G41" s="514"/>
      <c r="H41" s="514"/>
      <c r="I41" s="538">
        <f>H36+H37</f>
        <v>8349.48</v>
      </c>
      <c r="J41" s="538">
        <f>H38</f>
        <v>2798.5</v>
      </c>
      <c r="K41" s="538">
        <f>H40</f>
        <v>203781.58</v>
      </c>
      <c r="L41" s="526"/>
      <c r="M41" s="523"/>
    </row>
    <row r="42" spans="1:13">
      <c r="A42" s="512"/>
      <c r="B42" s="513"/>
      <c r="C42" s="513" t="s">
        <v>215</v>
      </c>
      <c r="D42" s="514"/>
      <c r="E42" s="514"/>
      <c r="F42" s="514"/>
      <c r="G42" s="514"/>
      <c r="H42" s="514">
        <f>'НМЦК подряд'!B21/1000</f>
        <v>4075.63</v>
      </c>
      <c r="I42" s="516"/>
      <c r="J42" s="516"/>
      <c r="K42" s="522">
        <f>H42+I42+J42</f>
        <v>4075.63</v>
      </c>
      <c r="L42" s="518">
        <f>K42*Справка!$F$15*Справка!$K$15</f>
        <v>6131.552</v>
      </c>
      <c r="M42" s="523"/>
    </row>
    <row r="43" spans="1:13">
      <c r="A43" s="512"/>
      <c r="B43" s="513"/>
      <c r="C43" s="513" t="s">
        <v>216</v>
      </c>
      <c r="D43" s="514"/>
      <c r="E43" s="514"/>
      <c r="F43" s="514"/>
      <c r="G43" s="514"/>
      <c r="H43" s="514">
        <f>(H40+H42)*20%</f>
        <v>41571.44</v>
      </c>
      <c r="I43" s="530"/>
      <c r="J43" s="530"/>
      <c r="K43" s="531"/>
      <c r="L43" s="522">
        <f>(L40+L42)*20%</f>
        <v>62541.849</v>
      </c>
      <c r="M43" s="523"/>
    </row>
    <row r="44" spans="1:13">
      <c r="A44" s="512"/>
      <c r="B44" s="520" t="s">
        <v>217</v>
      </c>
      <c r="C44" s="521"/>
      <c r="D44" s="514"/>
      <c r="E44" s="514"/>
      <c r="F44" s="514"/>
      <c r="G44" s="514"/>
      <c r="H44" s="514">
        <f>H40+H42+H43</f>
        <v>249428.65</v>
      </c>
      <c r="I44" s="516"/>
      <c r="J44" s="516"/>
      <c r="K44" s="526"/>
      <c r="L44" s="539">
        <f>L40+L42+L43</f>
        <v>375251.096</v>
      </c>
      <c r="M44" s="523"/>
    </row>
    <row r="45" spans="1:13">
      <c r="H45" s="540">
        <f>Справка!B14/1000</f>
        <v>253585.8</v>
      </c>
      <c r="I45" s="541"/>
      <c r="J45" s="541"/>
      <c r="K45" s="541"/>
      <c r="L45" s="542">
        <f>Справка!M14/1000</f>
        <v>381505.285</v>
      </c>
    </row>
  </sheetData>
  <mergeCells count="29">
    <mergeCell ref="C4:H4"/>
    <mergeCell ref="D10:G10"/>
    <mergeCell ref="A15:H15"/>
    <mergeCell ref="B21:C21"/>
    <mergeCell ref="A22:H22"/>
    <mergeCell ref="B25:C25"/>
    <mergeCell ref="A26:H26"/>
    <mergeCell ref="B29:C29"/>
    <mergeCell ref="A30:H30"/>
    <mergeCell ref="B31:C31"/>
    <mergeCell ref="A32:H32"/>
    <mergeCell ref="B33:C33"/>
    <mergeCell ref="A34:H34"/>
    <mergeCell ref="B39:C39"/>
    <mergeCell ref="B40:C40"/>
    <mergeCell ref="B44:C44"/>
    <mergeCell ref="A10:A13"/>
    <mergeCell ref="B10:B13"/>
    <mergeCell ref="C10:C13"/>
    <mergeCell ref="D11:D13"/>
    <mergeCell ref="E11:E13"/>
    <mergeCell ref="F11:F13"/>
    <mergeCell ref="G11:G13"/>
    <mergeCell ref="H10:H13"/>
    <mergeCell ref="I10:I13"/>
    <mergeCell ref="J10:J13"/>
    <mergeCell ref="K10:K13"/>
    <mergeCell ref="L10:L13"/>
    <mergeCell ref="M10:M1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4"/>
  <sheetViews>
    <sheetView view="pageBreakPreview" zoomScale="70" zoomScaleNormal="70" topLeftCell="A291" workbookViewId="0">
      <selection activeCell="C300" sqref="C300"/>
    </sheetView>
  </sheetViews>
  <sheetFormatPr defaultColWidth="9" defaultRowHeight="15.75"/>
  <cols>
    <col min="1" max="1" width="11.7142857142857" style="152" customWidth="1"/>
    <col min="2" max="2" width="27.2857142857143" style="152" customWidth="1"/>
    <col min="3" max="3" width="64.2857142857143" style="152" customWidth="1"/>
    <col min="4" max="4" width="12.8571428571429" style="155" customWidth="1"/>
    <col min="5" max="5" width="11.4285714285714" style="155" customWidth="1"/>
    <col min="6" max="6" width="20.7142857142857" style="217" customWidth="1"/>
    <col min="7" max="7" width="20.8571428571429" style="152" customWidth="1"/>
    <col min="8" max="8" width="20.4285714285714" style="152" customWidth="1"/>
    <col min="9" max="9" width="5.57142857142857" style="152" customWidth="1"/>
    <col min="10" max="10" width="14.5714285714286" style="344" customWidth="1"/>
    <col min="11" max="11" width="22" style="229" customWidth="1"/>
    <col min="12" max="12" width="15.2857142857143" style="344" customWidth="1"/>
    <col min="13" max="13" width="15.4285714285714" style="152" customWidth="1"/>
    <col min="14" max="15" width="15.7142857142857" style="155" customWidth="1"/>
    <col min="16" max="16" width="18.8571428571429" style="155" customWidth="1"/>
    <col min="17" max="17" width="20.7142857142857" style="155" customWidth="1"/>
    <col min="18" max="18" width="21" style="155" customWidth="1"/>
    <col min="19" max="19" width="20" style="155" customWidth="1"/>
    <col min="20" max="20" width="17.8571428571429" style="155" customWidth="1"/>
    <col min="21" max="21" width="14.4285714285714" style="152" hidden="1" customWidth="1"/>
    <col min="22" max="22" width="19.1428571428571" style="152" customWidth="1"/>
    <col min="23" max="23" width="9.14285714285714" style="152"/>
    <col min="24" max="26" width="9.14285714285714" style="156"/>
    <col min="27" max="27" width="9" style="156" customWidth="1"/>
    <col min="28" max="16384" width="9.14285714285714" style="156"/>
  </cols>
  <sheetData>
    <row r="1" spans="1:23">
      <c r="A1" s="152" t="s">
        <v>218</v>
      </c>
      <c r="D1" s="218"/>
      <c r="F1" s="219" t="s">
        <v>219</v>
      </c>
      <c r="G1" s="219"/>
      <c r="H1" s="218"/>
      <c r="I1" s="218"/>
      <c r="J1" s="345"/>
      <c r="K1" s="346"/>
      <c r="L1" s="347"/>
      <c r="M1" s="348"/>
      <c r="N1" s="349"/>
      <c r="O1" s="349"/>
      <c r="P1" s="349"/>
      <c r="Q1" s="349"/>
      <c r="R1" s="349"/>
      <c r="S1" s="349"/>
      <c r="T1" s="349"/>
      <c r="U1" s="348"/>
      <c r="V1" s="218"/>
      <c r="W1" s="218"/>
    </row>
    <row r="2" customHeight="1" spans="1:23">
      <c r="A2" s="152" t="s">
        <v>220</v>
      </c>
      <c r="C2" s="220"/>
      <c r="D2" s="218"/>
      <c r="F2" s="221"/>
      <c r="G2" s="9" t="s">
        <v>221</v>
      </c>
      <c r="H2" s="218"/>
      <c r="I2" s="218"/>
      <c r="J2" s="345"/>
      <c r="K2" s="346"/>
      <c r="L2" s="347"/>
      <c r="M2" s="348"/>
      <c r="N2" s="349"/>
      <c r="O2" s="349"/>
      <c r="P2" s="349"/>
      <c r="Q2" s="349"/>
      <c r="R2" s="349"/>
      <c r="S2" s="349"/>
      <c r="T2" s="349"/>
      <c r="U2" s="348"/>
      <c r="V2" s="218"/>
      <c r="W2" s="218"/>
    </row>
    <row r="3" ht="48.75" customHeight="1" spans="1:23">
      <c r="A3" s="222" t="s">
        <v>222</v>
      </c>
      <c r="B3" s="222"/>
      <c r="C3" s="218"/>
      <c r="D3" s="218"/>
      <c r="F3" s="221"/>
      <c r="G3" s="9" t="s">
        <v>223</v>
      </c>
      <c r="H3" s="218"/>
      <c r="I3" s="218"/>
      <c r="J3" s="345"/>
      <c r="K3" s="346"/>
      <c r="L3" s="347"/>
      <c r="M3" s="348"/>
      <c r="N3" s="349"/>
      <c r="O3" s="349"/>
      <c r="P3" s="349"/>
      <c r="Q3" s="349"/>
      <c r="R3" s="349"/>
      <c r="S3" s="349"/>
      <c r="T3" s="349"/>
      <c r="U3" s="348"/>
      <c r="V3" s="218"/>
      <c r="W3" s="218"/>
    </row>
    <row r="4" spans="1:23">
      <c r="A4" s="222"/>
      <c r="B4" s="222"/>
      <c r="C4" s="218"/>
      <c r="D4" s="218"/>
      <c r="F4" s="221"/>
      <c r="G4" s="9"/>
      <c r="H4" s="218"/>
      <c r="I4" s="218"/>
      <c r="J4" s="345"/>
      <c r="K4" s="346"/>
      <c r="L4" s="347"/>
      <c r="M4" s="348"/>
      <c r="N4" s="349"/>
      <c r="O4" s="349"/>
      <c r="P4" s="349"/>
      <c r="Q4" s="349"/>
      <c r="R4" s="349"/>
      <c r="S4" s="349"/>
      <c r="T4" s="349"/>
      <c r="U4" s="348"/>
      <c r="V4" s="218"/>
      <c r="W4" s="218"/>
    </row>
    <row r="5" spans="1:23">
      <c r="A5" s="223" t="s">
        <v>224</v>
      </c>
      <c r="B5" s="223"/>
      <c r="C5" s="223"/>
      <c r="D5" s="223"/>
      <c r="E5" s="223"/>
      <c r="F5" s="223"/>
      <c r="G5" s="223"/>
      <c r="H5" s="223"/>
      <c r="I5" s="223"/>
      <c r="J5" s="345"/>
      <c r="K5" s="346"/>
      <c r="L5" s="350"/>
      <c r="M5" s="351"/>
      <c r="N5" s="223"/>
      <c r="O5" s="223"/>
      <c r="P5" s="223"/>
      <c r="Q5" s="223"/>
      <c r="R5" s="223"/>
      <c r="S5" s="223"/>
      <c r="T5" s="223"/>
      <c r="U5" s="351"/>
      <c r="V5" s="224"/>
      <c r="W5" s="224"/>
    </row>
    <row r="6" spans="1:23">
      <c r="A6" s="224"/>
      <c r="B6" s="224"/>
      <c r="C6" s="222"/>
      <c r="G6" s="9"/>
      <c r="H6" s="224"/>
      <c r="I6" s="224"/>
      <c r="J6" s="345"/>
      <c r="K6" s="346"/>
      <c r="L6" s="352"/>
      <c r="M6" s="226"/>
      <c r="N6" s="353"/>
      <c r="O6" s="353"/>
      <c r="P6" s="353"/>
      <c r="Q6" s="353"/>
      <c r="R6" s="353"/>
      <c r="S6" s="353"/>
      <c r="T6" s="353"/>
      <c r="U6" s="226"/>
      <c r="V6" s="224"/>
      <c r="W6" s="224"/>
    </row>
    <row r="7" spans="1:23">
      <c r="A7" s="225" t="str">
        <f>Справка!B5</f>
        <v>Строительство причальных сооружений через протоку Озерная в Усть-Камчатском районе Камчатского края</v>
      </c>
      <c r="B7" s="225"/>
      <c r="C7" s="225"/>
      <c r="D7" s="225"/>
      <c r="E7" s="225"/>
      <c r="F7" s="225"/>
      <c r="G7" s="225"/>
      <c r="H7" s="225"/>
      <c r="I7" s="225"/>
      <c r="J7" s="354"/>
      <c r="K7" s="355"/>
      <c r="L7" s="356"/>
      <c r="M7" s="357"/>
      <c r="N7" s="225"/>
      <c r="O7" s="225"/>
      <c r="P7" s="225"/>
      <c r="Q7" s="225"/>
      <c r="R7" s="225"/>
      <c r="S7" s="225"/>
      <c r="T7" s="225"/>
      <c r="U7" s="357"/>
      <c r="V7" s="226"/>
      <c r="W7" s="226"/>
    </row>
    <row r="8" spans="1:23">
      <c r="A8" s="224"/>
      <c r="B8" s="224"/>
      <c r="C8" s="222"/>
      <c r="G8" s="9"/>
      <c r="H8" s="224"/>
      <c r="I8" s="224"/>
      <c r="J8" s="345"/>
      <c r="K8" s="358"/>
      <c r="L8" s="359" t="s">
        <v>225</v>
      </c>
      <c r="M8" s="359"/>
      <c r="N8" s="353"/>
      <c r="O8" s="353"/>
      <c r="P8" s="353"/>
      <c r="Q8" s="353"/>
      <c r="R8" s="353"/>
      <c r="S8" s="353"/>
      <c r="T8" s="353"/>
      <c r="U8" s="226"/>
      <c r="V8" s="224"/>
      <c r="W8" s="224"/>
    </row>
    <row r="9" ht="47.25" customHeight="1" spans="1:23">
      <c r="A9" s="170" t="s">
        <v>226</v>
      </c>
      <c r="B9" s="170" t="s">
        <v>227</v>
      </c>
      <c r="C9" s="170" t="s">
        <v>228</v>
      </c>
      <c r="D9" s="170" t="s">
        <v>229</v>
      </c>
      <c r="E9" s="170" t="s">
        <v>230</v>
      </c>
      <c r="F9" s="227" t="s">
        <v>231</v>
      </c>
      <c r="G9" s="170" t="s">
        <v>232</v>
      </c>
      <c r="H9" s="228"/>
      <c r="I9" s="228"/>
      <c r="J9" s="360"/>
      <c r="K9" s="361"/>
      <c r="L9" s="362" t="s">
        <v>233</v>
      </c>
      <c r="M9" s="363" t="s">
        <v>234</v>
      </c>
      <c r="N9" s="364" t="s">
        <v>235</v>
      </c>
      <c r="O9" s="364"/>
      <c r="P9" s="364"/>
      <c r="Q9" s="172"/>
      <c r="R9" s="172"/>
      <c r="S9" s="172"/>
      <c r="T9" s="172"/>
      <c r="U9" s="190"/>
      <c r="V9" s="155"/>
      <c r="W9" s="155"/>
    </row>
    <row r="10" ht="87.75" customHeight="1" spans="1:23">
      <c r="A10" s="170"/>
      <c r="B10" s="170"/>
      <c r="C10" s="170"/>
      <c r="D10" s="170"/>
      <c r="E10" s="170"/>
      <c r="F10" s="227"/>
      <c r="G10" s="170"/>
      <c r="H10" s="167"/>
      <c r="I10" s="167"/>
      <c r="J10" s="365"/>
      <c r="K10" s="366"/>
      <c r="L10" s="367">
        <v>51.31</v>
      </c>
      <c r="M10" s="363">
        <v>88.421</v>
      </c>
      <c r="N10" s="368">
        <f>76.39*17.26+0.31*485*17.26</f>
        <v>3913.53</v>
      </c>
      <c r="O10" s="368"/>
      <c r="P10" s="368"/>
      <c r="Q10" s="368" t="s">
        <v>236</v>
      </c>
      <c r="R10" s="368" t="s">
        <v>237</v>
      </c>
      <c r="S10" s="368" t="s">
        <v>238</v>
      </c>
      <c r="T10" s="368" t="s">
        <v>239</v>
      </c>
      <c r="U10" s="363">
        <f>M10*N10</f>
        <v>346038.23613</v>
      </c>
      <c r="V10" s="229"/>
      <c r="W10" s="229"/>
    </row>
    <row r="11" customHeight="1" spans="1:23">
      <c r="A11" s="170" t="s">
        <v>240</v>
      </c>
      <c r="B11" s="170" t="s">
        <v>241</v>
      </c>
      <c r="C11" s="170" t="s">
        <v>242</v>
      </c>
      <c r="D11" s="170" t="s">
        <v>243</v>
      </c>
      <c r="E11" s="170" t="s">
        <v>244</v>
      </c>
      <c r="F11" s="227" t="s">
        <v>245</v>
      </c>
      <c r="G11" s="170" t="s">
        <v>246</v>
      </c>
      <c r="H11" s="167"/>
      <c r="I11" s="167"/>
      <c r="J11" s="365"/>
      <c r="K11" s="366"/>
      <c r="L11" s="367">
        <v>568.18</v>
      </c>
      <c r="M11" s="363">
        <v>597.536</v>
      </c>
      <c r="N11" s="368">
        <f>76.39*17.26+0.31*511*17.26</f>
        <v>4052.65</v>
      </c>
      <c r="O11" s="368"/>
      <c r="P11" s="368"/>
      <c r="Q11" s="368">
        <f>'НМЦК подряд'!B16+'НМЦК подряд'!B17+'НМЦК подряд'!B20</f>
        <v>197600559.88</v>
      </c>
      <c r="R11" s="368"/>
      <c r="S11" s="368"/>
      <c r="T11" s="368"/>
      <c r="U11" s="363">
        <f>M11*N11</f>
        <v>2421604.2704</v>
      </c>
      <c r="V11" s="229"/>
      <c r="W11" s="229"/>
    </row>
    <row r="12" spans="1:23">
      <c r="A12" s="230" t="s">
        <v>178</v>
      </c>
      <c r="B12" s="231"/>
      <c r="C12" s="231"/>
      <c r="D12" s="172"/>
      <c r="E12" s="172"/>
      <c r="F12" s="232"/>
      <c r="G12" s="176"/>
      <c r="L12" s="369">
        <v>4.73</v>
      </c>
      <c r="M12" s="363">
        <v>6.41</v>
      </c>
      <c r="N12" s="368">
        <f>76.39*17.26+0.31*511*17.26+2141.78*17.26</f>
        <v>41019.77</v>
      </c>
      <c r="O12" s="368"/>
      <c r="P12" s="368"/>
      <c r="Q12" s="370">
        <f>Q17/Q11</f>
        <v>0.0141624093</v>
      </c>
      <c r="R12" s="371">
        <f>R17/Q11</f>
        <v>0.017117968</v>
      </c>
      <c r="S12" s="372"/>
      <c r="T12" s="372"/>
      <c r="U12" s="363">
        <f>M12*N12</f>
        <v>262936.7257</v>
      </c>
    </row>
    <row r="13" spans="1:23">
      <c r="A13" s="173" t="s">
        <v>247</v>
      </c>
      <c r="B13" s="173"/>
      <c r="C13" s="173"/>
      <c r="D13" s="172"/>
      <c r="E13" s="172"/>
      <c r="F13" s="232"/>
      <c r="G13" s="176"/>
      <c r="L13" s="373"/>
      <c r="M13" s="374"/>
      <c r="N13" s="375"/>
      <c r="O13" s="375"/>
      <c r="P13" s="375"/>
      <c r="Q13" s="370"/>
      <c r="R13" s="371"/>
      <c r="S13" s="372"/>
      <c r="T13" s="372"/>
      <c r="U13" s="363"/>
    </row>
    <row r="14" spans="1:23">
      <c r="A14" s="174" t="s">
        <v>248</v>
      </c>
      <c r="B14" s="175" t="s">
        <v>249</v>
      </c>
      <c r="C14" s="175" t="s">
        <v>250</v>
      </c>
      <c r="D14" s="172" t="s">
        <v>251</v>
      </c>
      <c r="E14" s="172">
        <v>0.335</v>
      </c>
      <c r="F14" s="233">
        <f>T14/E14</f>
        <v>36217.91</v>
      </c>
      <c r="G14" s="233">
        <f>F14*E14</f>
        <v>12133</v>
      </c>
      <c r="H14" s="234">
        <f>G14-T14</f>
        <v>0</v>
      </c>
      <c r="J14" s="376"/>
      <c r="K14" s="377">
        <v>7820</v>
      </c>
      <c r="L14" s="373"/>
      <c r="M14" s="374"/>
      <c r="N14" s="375"/>
      <c r="O14" s="375">
        <f>L14+M14+N14</f>
        <v>0</v>
      </c>
      <c r="P14" s="362">
        <f>K14</f>
        <v>7820</v>
      </c>
      <c r="Q14" s="362">
        <f>K14*$Q$12</f>
        <v>111</v>
      </c>
      <c r="R14" s="362">
        <f>K14*$R$12</f>
        <v>134</v>
      </c>
      <c r="S14" s="362">
        <f>P14+Q14+R14</f>
        <v>8065</v>
      </c>
      <c r="T14" s="362">
        <f>S14*'НМЦК подряд'!$C$16*'НМЦК подряд'!$E$16</f>
        <v>12133</v>
      </c>
      <c r="U14" s="363"/>
      <c r="V14" s="234"/>
    </row>
    <row r="15" ht="16.5" spans="1:23">
      <c r="A15" s="174" t="s">
        <v>252</v>
      </c>
      <c r="B15" s="235" t="s">
        <v>253</v>
      </c>
      <c r="C15" s="235" t="s">
        <v>254</v>
      </c>
      <c r="D15" s="236" t="s">
        <v>251</v>
      </c>
      <c r="E15" s="236">
        <v>0.9</v>
      </c>
      <c r="F15" s="237">
        <f>T15/E15</f>
        <v>3326.67</v>
      </c>
      <c r="G15" s="237">
        <f>F15*E15</f>
        <v>2994</v>
      </c>
      <c r="J15" s="376"/>
      <c r="K15" s="377">
        <v>1930</v>
      </c>
      <c r="L15" s="373"/>
      <c r="M15" s="374"/>
      <c r="N15" s="375"/>
      <c r="O15" s="375">
        <f t="shared" ref="O15:O69" si="0">L15+M15+N15</f>
        <v>0</v>
      </c>
      <c r="P15" s="362">
        <f>K15</f>
        <v>1930</v>
      </c>
      <c r="Q15" s="362">
        <f>K15*$Q$12</f>
        <v>27</v>
      </c>
      <c r="R15" s="362">
        <f>K15*$R$12</f>
        <v>33</v>
      </c>
      <c r="S15" s="362">
        <f>P15+Q15+R15</f>
        <v>1990</v>
      </c>
      <c r="T15" s="362">
        <f>S15*'НМЦК подряд'!$C$16*'НМЦК подряд'!$E$16</f>
        <v>2994</v>
      </c>
      <c r="U15" s="363"/>
      <c r="V15" s="234"/>
    </row>
    <row r="16" ht="16.5" spans="1:23">
      <c r="A16" s="238"/>
      <c r="B16" s="378"/>
      <c r="C16" s="239" t="s">
        <v>255</v>
      </c>
      <c r="D16" s="240"/>
      <c r="E16" s="240"/>
      <c r="F16" s="241"/>
      <c r="G16" s="242">
        <f>SUM(G14:G15)</f>
        <v>15127</v>
      </c>
      <c r="J16" s="376"/>
      <c r="K16" s="379">
        <f>K14+K15</f>
        <v>9750</v>
      </c>
      <c r="L16" s="379">
        <f t="shared" ref="L16:S16" si="1">L14+L15</f>
        <v>0</v>
      </c>
      <c r="M16" s="379">
        <f t="shared" si="1"/>
        <v>0</v>
      </c>
      <c r="N16" s="379">
        <f t="shared" si="1"/>
        <v>0</v>
      </c>
      <c r="O16" s="379">
        <f t="shared" si="1"/>
        <v>0</v>
      </c>
      <c r="P16" s="379">
        <f t="shared" si="1"/>
        <v>9750</v>
      </c>
      <c r="Q16" s="379">
        <f t="shared" si="1"/>
        <v>138</v>
      </c>
      <c r="R16" s="379">
        <f t="shared" si="1"/>
        <v>167</v>
      </c>
      <c r="S16" s="379">
        <f t="shared" si="1"/>
        <v>10055</v>
      </c>
      <c r="T16" s="379">
        <f t="shared" ref="T16:U16" si="2">T14+T15</f>
        <v>15127</v>
      </c>
      <c r="U16" s="379">
        <f t="shared" si="2"/>
        <v>0</v>
      </c>
      <c r="V16" s="234"/>
    </row>
    <row r="17" customHeight="1" spans="1:23">
      <c r="A17" s="243" t="s">
        <v>256</v>
      </c>
      <c r="B17" s="380"/>
      <c r="C17" s="244"/>
      <c r="D17" s="245"/>
      <c r="E17" s="245"/>
      <c r="F17" s="246"/>
      <c r="G17" s="247"/>
      <c r="J17" s="381"/>
      <c r="K17" s="382"/>
      <c r="L17" s="367">
        <v>96</v>
      </c>
      <c r="M17" s="363">
        <v>96</v>
      </c>
      <c r="N17" s="368">
        <f>76.39*17.26+0.31*524*17.26</f>
        <v>4122.21</v>
      </c>
      <c r="O17" s="368"/>
      <c r="P17" s="368"/>
      <c r="Q17" s="362">
        <f>'НМЦК подряд'!B19</f>
        <v>2798500</v>
      </c>
      <c r="R17" s="362">
        <f>'НМЦК подряд'!B18</f>
        <v>3382520</v>
      </c>
      <c r="S17" s="362"/>
      <c r="T17" s="362"/>
      <c r="U17" s="363">
        <f>M17*N17</f>
        <v>395732.16</v>
      </c>
    </row>
    <row r="18" ht="31.5" spans="1:23">
      <c r="A18" s="174" t="s">
        <v>257</v>
      </c>
      <c r="B18" s="176" t="s">
        <v>258</v>
      </c>
      <c r="C18" s="175" t="s">
        <v>259</v>
      </c>
      <c r="D18" s="172" t="s">
        <v>260</v>
      </c>
      <c r="E18" s="172">
        <v>1</v>
      </c>
      <c r="F18" s="233">
        <f>T18/E18</f>
        <v>5650864</v>
      </c>
      <c r="G18" s="248">
        <f>F18*E18</f>
        <v>5650864</v>
      </c>
      <c r="H18" s="285"/>
      <c r="I18" s="285"/>
      <c r="J18" s="383"/>
      <c r="K18" s="377">
        <f>2379956+55156+491806+681965+7945+25361</f>
        <v>3642189</v>
      </c>
      <c r="L18" s="373"/>
      <c r="M18" s="374"/>
      <c r="N18" s="375"/>
      <c r="O18" s="375">
        <f t="shared" si="0"/>
        <v>0</v>
      </c>
      <c r="P18" s="362">
        <f>K18</f>
        <v>3642189</v>
      </c>
      <c r="Q18" s="362">
        <f>K18*$Q$12</f>
        <v>51582</v>
      </c>
      <c r="R18" s="362">
        <f>K18*$R$12</f>
        <v>62347</v>
      </c>
      <c r="S18" s="362">
        <f>P18+Q18+R18</f>
        <v>3756118</v>
      </c>
      <c r="T18" s="362">
        <f>S18*'НМЦК подряд'!$C$16*'НМЦК подряд'!$E$16</f>
        <v>5650864</v>
      </c>
      <c r="U18" s="363"/>
      <c r="V18" s="234"/>
    </row>
    <row r="19" ht="32.25" spans="1:23">
      <c r="A19" s="174" t="s">
        <v>261</v>
      </c>
      <c r="B19" s="291" t="s">
        <v>262</v>
      </c>
      <c r="C19" s="235" t="s">
        <v>263</v>
      </c>
      <c r="D19" s="236" t="s">
        <v>260</v>
      </c>
      <c r="E19" s="236">
        <v>1</v>
      </c>
      <c r="F19" s="237">
        <f>T19/E19</f>
        <v>6285005</v>
      </c>
      <c r="G19" s="249">
        <f>F19*E19</f>
        <v>6285005</v>
      </c>
      <c r="H19" s="285"/>
      <c r="I19" s="285"/>
      <c r="J19" s="384"/>
      <c r="K19" s="377">
        <f>1411337+60887+175490+2336974+15798+50430</f>
        <v>4050916</v>
      </c>
      <c r="L19" s="385"/>
      <c r="M19" s="291"/>
      <c r="N19" s="375"/>
      <c r="O19" s="375">
        <f t="shared" si="0"/>
        <v>0</v>
      </c>
      <c r="P19" s="362">
        <f>K19</f>
        <v>4050916</v>
      </c>
      <c r="Q19" s="362">
        <f>K19*$Q$12</f>
        <v>57371</v>
      </c>
      <c r="R19" s="362">
        <f>K19*$R$12</f>
        <v>69343</v>
      </c>
      <c r="S19" s="362">
        <f>P19+Q19+R19</f>
        <v>4177630</v>
      </c>
      <c r="T19" s="362">
        <f>S19*'НМЦК подряд'!$C$16*'НМЦК подряд'!$E$16</f>
        <v>6285005</v>
      </c>
      <c r="U19" s="176"/>
      <c r="V19" s="234"/>
    </row>
    <row r="20" ht="16.5" spans="1:23">
      <c r="A20" s="250"/>
      <c r="B20" s="386"/>
      <c r="C20" s="239" t="s">
        <v>264</v>
      </c>
      <c r="D20" s="251"/>
      <c r="E20" s="251"/>
      <c r="F20" s="252"/>
      <c r="G20" s="242">
        <f>SUM(G18:G19)</f>
        <v>11935869</v>
      </c>
      <c r="H20" s="285"/>
      <c r="I20" s="285"/>
      <c r="J20" s="286"/>
      <c r="K20" s="387">
        <f>SUM(K18:K19)</f>
        <v>7693105</v>
      </c>
      <c r="L20" s="387">
        <f t="shared" ref="L20:U20" si="3">SUM(L18:L19)</f>
        <v>0</v>
      </c>
      <c r="M20" s="387">
        <f t="shared" si="3"/>
        <v>0</v>
      </c>
      <c r="N20" s="387">
        <f t="shared" si="3"/>
        <v>0</v>
      </c>
      <c r="O20" s="387">
        <f t="shared" si="3"/>
        <v>0</v>
      </c>
      <c r="P20" s="387">
        <f t="shared" si="3"/>
        <v>7693105</v>
      </c>
      <c r="Q20" s="387">
        <f t="shared" si="3"/>
        <v>108953</v>
      </c>
      <c r="R20" s="387">
        <f t="shared" si="3"/>
        <v>131690</v>
      </c>
      <c r="S20" s="387">
        <f t="shared" si="3"/>
        <v>7933748</v>
      </c>
      <c r="T20" s="387">
        <f t="shared" si="3"/>
        <v>11935869</v>
      </c>
      <c r="U20" s="387">
        <f t="shared" si="3"/>
        <v>0</v>
      </c>
      <c r="V20" s="234"/>
    </row>
    <row r="21" spans="1:23">
      <c r="A21" s="253" t="s">
        <v>265</v>
      </c>
      <c r="B21" s="388"/>
      <c r="C21" s="254"/>
      <c r="D21" s="255"/>
      <c r="E21" s="255"/>
      <c r="F21" s="256"/>
      <c r="G21" s="257"/>
      <c r="H21" s="389"/>
      <c r="I21" s="389"/>
      <c r="J21" s="390"/>
      <c r="K21" s="391"/>
      <c r="L21" s="392"/>
      <c r="M21" s="393"/>
      <c r="N21" s="368"/>
      <c r="O21" s="375">
        <f t="shared" si="0"/>
        <v>0</v>
      </c>
      <c r="P21" s="368"/>
      <c r="Q21" s="362"/>
      <c r="R21" s="362"/>
      <c r="S21" s="362"/>
      <c r="T21" s="362"/>
      <c r="U21" s="393"/>
      <c r="V21" s="234"/>
      <c r="W21" s="258"/>
    </row>
    <row r="22" spans="1:23">
      <c r="A22" s="259" t="s">
        <v>266</v>
      </c>
      <c r="B22" s="394"/>
      <c r="C22" s="260"/>
      <c r="D22" s="180"/>
      <c r="E22" s="180"/>
      <c r="F22" s="261"/>
      <c r="G22" s="262"/>
      <c r="H22" s="395"/>
      <c r="I22" s="395"/>
      <c r="J22" s="396"/>
      <c r="K22" s="397"/>
      <c r="L22" s="398"/>
      <c r="M22" s="399"/>
      <c r="N22" s="368"/>
      <c r="O22" s="375">
        <f t="shared" si="0"/>
        <v>0</v>
      </c>
      <c r="P22" s="368"/>
      <c r="Q22" s="362"/>
      <c r="R22" s="362"/>
      <c r="S22" s="362"/>
      <c r="T22" s="362"/>
      <c r="U22" s="399"/>
      <c r="V22" s="234"/>
      <c r="W22" s="263"/>
    </row>
    <row r="23" spans="1:23">
      <c r="A23" s="174" t="s">
        <v>267</v>
      </c>
      <c r="B23" s="180" t="s">
        <v>268</v>
      </c>
      <c r="C23" s="181" t="s">
        <v>269</v>
      </c>
      <c r="D23" s="180" t="s">
        <v>270</v>
      </c>
      <c r="E23" s="182">
        <v>750</v>
      </c>
      <c r="F23" s="233">
        <f t="shared" ref="F23:F33" si="4">T23/E23</f>
        <v>871.52</v>
      </c>
      <c r="G23" s="264">
        <f>E23*F23</f>
        <v>653640</v>
      </c>
      <c r="H23" s="395"/>
      <c r="I23" s="395"/>
      <c r="J23" s="396"/>
      <c r="K23" s="397">
        <v>421295</v>
      </c>
      <c r="L23" s="398"/>
      <c r="M23" s="399"/>
      <c r="N23" s="368"/>
      <c r="O23" s="375">
        <f t="shared" si="0"/>
        <v>0</v>
      </c>
      <c r="P23" s="362">
        <f t="shared" ref="P23:P33" si="5">K23+L23+M23+N23</f>
        <v>421295</v>
      </c>
      <c r="Q23" s="362">
        <f t="shared" ref="Q23:Q33" si="6">P23*$Q$12</f>
        <v>5967</v>
      </c>
      <c r="R23" s="362">
        <f t="shared" ref="R23:R33" si="7">P23*$R$12</f>
        <v>7212</v>
      </c>
      <c r="S23" s="362">
        <f t="shared" ref="S23:S33" si="8">P23+Q23+R23</f>
        <v>434474</v>
      </c>
      <c r="T23" s="362">
        <f>S23*'НМЦК подряд'!$C$16*'НМЦК подряд'!$E$16</f>
        <v>653641</v>
      </c>
      <c r="U23" s="399"/>
      <c r="V23" s="234"/>
      <c r="W23" s="263"/>
    </row>
    <row r="24" spans="1:23">
      <c r="A24" s="174" t="s">
        <v>271</v>
      </c>
      <c r="B24" s="180" t="s">
        <v>272</v>
      </c>
      <c r="C24" s="181" t="s">
        <v>273</v>
      </c>
      <c r="D24" s="183" t="s">
        <v>274</v>
      </c>
      <c r="E24" s="180">
        <v>100</v>
      </c>
      <c r="F24" s="233">
        <f t="shared" si="4"/>
        <v>140.15</v>
      </c>
      <c r="G24" s="264">
        <f t="shared" ref="G24:G33" si="9">E24*F24</f>
        <v>14015</v>
      </c>
      <c r="H24" s="395"/>
      <c r="I24" s="395"/>
      <c r="J24" s="396"/>
      <c r="K24" s="397">
        <v>9033</v>
      </c>
      <c r="L24" s="398"/>
      <c r="M24" s="399"/>
      <c r="N24" s="400"/>
      <c r="O24" s="375">
        <f t="shared" si="0"/>
        <v>0</v>
      </c>
      <c r="P24" s="362">
        <f t="shared" si="5"/>
        <v>9033</v>
      </c>
      <c r="Q24" s="362">
        <f t="shared" si="6"/>
        <v>128</v>
      </c>
      <c r="R24" s="362">
        <f t="shared" si="7"/>
        <v>155</v>
      </c>
      <c r="S24" s="362">
        <f t="shared" si="8"/>
        <v>9316</v>
      </c>
      <c r="T24" s="362">
        <f>S24*'НМЦК подряд'!$C$16*'НМЦК подряд'!$E$16</f>
        <v>14015</v>
      </c>
      <c r="U24" s="399"/>
      <c r="V24" s="234"/>
      <c r="W24" s="263"/>
    </row>
    <row r="25" spans="1:23">
      <c r="A25" s="174" t="s">
        <v>275</v>
      </c>
      <c r="B25" s="180" t="s">
        <v>276</v>
      </c>
      <c r="C25" s="184" t="s">
        <v>277</v>
      </c>
      <c r="D25" s="183" t="s">
        <v>274</v>
      </c>
      <c r="E25" s="183">
        <v>100</v>
      </c>
      <c r="F25" s="233">
        <f t="shared" si="4"/>
        <v>228.57</v>
      </c>
      <c r="G25" s="264">
        <f t="shared" si="9"/>
        <v>22857</v>
      </c>
      <c r="H25" s="395"/>
      <c r="I25" s="395"/>
      <c r="J25" s="401"/>
      <c r="K25" s="397">
        <v>14732</v>
      </c>
      <c r="L25" s="398"/>
      <c r="M25" s="402"/>
      <c r="N25" s="403"/>
      <c r="O25" s="375">
        <f t="shared" si="0"/>
        <v>0</v>
      </c>
      <c r="P25" s="362">
        <f t="shared" si="5"/>
        <v>14732</v>
      </c>
      <c r="Q25" s="362">
        <f t="shared" si="6"/>
        <v>209</v>
      </c>
      <c r="R25" s="362">
        <f t="shared" si="7"/>
        <v>252</v>
      </c>
      <c r="S25" s="362">
        <f t="shared" si="8"/>
        <v>15193</v>
      </c>
      <c r="T25" s="362">
        <f>S25*'НМЦК подряд'!$C$16*'НМЦК подряд'!$E$16</f>
        <v>22857</v>
      </c>
      <c r="U25" s="399"/>
      <c r="V25" s="234"/>
      <c r="W25" s="263"/>
    </row>
    <row r="26" spans="1:23">
      <c r="A26" s="174" t="s">
        <v>278</v>
      </c>
      <c r="B26" s="180" t="s">
        <v>279</v>
      </c>
      <c r="C26" s="184" t="s">
        <v>280</v>
      </c>
      <c r="D26" s="183" t="s">
        <v>274</v>
      </c>
      <c r="E26" s="183">
        <v>200</v>
      </c>
      <c r="F26" s="233">
        <f t="shared" si="4"/>
        <v>39.77</v>
      </c>
      <c r="G26" s="264">
        <f t="shared" si="9"/>
        <v>7954</v>
      </c>
      <c r="H26" s="395"/>
      <c r="I26" s="395"/>
      <c r="J26" s="401"/>
      <c r="K26" s="397">
        <v>5126</v>
      </c>
      <c r="L26" s="398"/>
      <c r="M26" s="399"/>
      <c r="N26" s="404"/>
      <c r="O26" s="375">
        <f t="shared" si="0"/>
        <v>0</v>
      </c>
      <c r="P26" s="362">
        <f t="shared" si="5"/>
        <v>5126</v>
      </c>
      <c r="Q26" s="362">
        <f t="shared" si="6"/>
        <v>73</v>
      </c>
      <c r="R26" s="362">
        <f t="shared" si="7"/>
        <v>88</v>
      </c>
      <c r="S26" s="362">
        <f t="shared" si="8"/>
        <v>5287</v>
      </c>
      <c r="T26" s="362">
        <f>S26*'НМЦК подряд'!$C$16*'НМЦК подряд'!$E$16</f>
        <v>7954</v>
      </c>
      <c r="U26" s="399"/>
      <c r="V26" s="234"/>
      <c r="W26" s="263"/>
    </row>
    <row r="27" spans="1:23">
      <c r="A27" s="174" t="s">
        <v>281</v>
      </c>
      <c r="B27" s="180" t="s">
        <v>282</v>
      </c>
      <c r="C27" s="184" t="s">
        <v>283</v>
      </c>
      <c r="D27" s="183" t="s">
        <v>284</v>
      </c>
      <c r="E27" s="183">
        <v>6.57</v>
      </c>
      <c r="F27" s="233">
        <f t="shared" si="4"/>
        <v>171729.98</v>
      </c>
      <c r="G27" s="264">
        <f t="shared" si="9"/>
        <v>1128265.97</v>
      </c>
      <c r="H27" s="395"/>
      <c r="I27" s="395"/>
      <c r="J27" s="401"/>
      <c r="K27" s="397">
        <f>94460+632749</f>
        <v>727209</v>
      </c>
      <c r="L27" s="398"/>
      <c r="M27" s="399"/>
      <c r="N27" s="404"/>
      <c r="O27" s="375">
        <f t="shared" si="0"/>
        <v>0</v>
      </c>
      <c r="P27" s="362">
        <f t="shared" si="5"/>
        <v>727209</v>
      </c>
      <c r="Q27" s="362">
        <f t="shared" si="6"/>
        <v>10299</v>
      </c>
      <c r="R27" s="362">
        <f t="shared" si="7"/>
        <v>12448</v>
      </c>
      <c r="S27" s="362">
        <f t="shared" si="8"/>
        <v>749956</v>
      </c>
      <c r="T27" s="362">
        <f>S27*'НМЦК подряд'!$C$16*'НМЦК подряд'!$E$16</f>
        <v>1128266</v>
      </c>
      <c r="U27" s="399"/>
      <c r="V27" s="234"/>
      <c r="W27" s="263"/>
    </row>
    <row r="28" spans="1:23">
      <c r="A28" s="174" t="s">
        <v>285</v>
      </c>
      <c r="B28" s="180" t="s">
        <v>286</v>
      </c>
      <c r="C28" s="184" t="s">
        <v>287</v>
      </c>
      <c r="D28" s="183" t="s">
        <v>274</v>
      </c>
      <c r="E28" s="183">
        <v>12</v>
      </c>
      <c r="F28" s="233">
        <f t="shared" si="4"/>
        <v>28581.75</v>
      </c>
      <c r="G28" s="264">
        <f t="shared" si="9"/>
        <v>342981</v>
      </c>
      <c r="H28" s="395"/>
      <c r="I28" s="395"/>
      <c r="J28" s="401"/>
      <c r="K28" s="397">
        <f>86744+129727+4593</f>
        <v>221064</v>
      </c>
      <c r="L28" s="398"/>
      <c r="M28" s="399"/>
      <c r="N28" s="404"/>
      <c r="O28" s="375">
        <f t="shared" si="0"/>
        <v>0</v>
      </c>
      <c r="P28" s="362">
        <f t="shared" si="5"/>
        <v>221064</v>
      </c>
      <c r="Q28" s="362">
        <f t="shared" si="6"/>
        <v>3131</v>
      </c>
      <c r="R28" s="362">
        <f t="shared" si="7"/>
        <v>3784</v>
      </c>
      <c r="S28" s="362">
        <f t="shared" si="8"/>
        <v>227979</v>
      </c>
      <c r="T28" s="362">
        <f>S28*'НМЦК подряд'!$C$16*'НМЦК подряд'!$E$16</f>
        <v>342981</v>
      </c>
      <c r="U28" s="399"/>
      <c r="V28" s="234"/>
      <c r="W28" s="263"/>
    </row>
    <row r="29" ht="22.5" customHeight="1" spans="1:23">
      <c r="A29" s="174" t="s">
        <v>288</v>
      </c>
      <c r="B29" s="180" t="s">
        <v>289</v>
      </c>
      <c r="C29" s="185" t="s">
        <v>290</v>
      </c>
      <c r="D29" s="183" t="s">
        <v>274</v>
      </c>
      <c r="E29" s="183">
        <v>200</v>
      </c>
      <c r="F29" s="233">
        <f t="shared" si="4"/>
        <v>140.13</v>
      </c>
      <c r="G29" s="264">
        <f t="shared" si="9"/>
        <v>28026</v>
      </c>
      <c r="H29" s="395"/>
      <c r="I29" s="395"/>
      <c r="J29" s="401"/>
      <c r="K29" s="397">
        <f>18064</f>
        <v>18064</v>
      </c>
      <c r="L29" s="398"/>
      <c r="M29" s="399"/>
      <c r="N29" s="404"/>
      <c r="O29" s="375">
        <f t="shared" si="0"/>
        <v>0</v>
      </c>
      <c r="P29" s="362">
        <f t="shared" si="5"/>
        <v>18064</v>
      </c>
      <c r="Q29" s="362">
        <f t="shared" si="6"/>
        <v>256</v>
      </c>
      <c r="R29" s="362">
        <f t="shared" si="7"/>
        <v>309</v>
      </c>
      <c r="S29" s="362">
        <f t="shared" si="8"/>
        <v>18629</v>
      </c>
      <c r="T29" s="362">
        <f>S29*'НМЦК подряд'!$C$16*'НМЦК подряд'!$E$16</f>
        <v>28026</v>
      </c>
      <c r="U29" s="399"/>
      <c r="V29" s="234"/>
      <c r="W29" s="263"/>
    </row>
    <row r="30" spans="1:23">
      <c r="A30" s="174" t="s">
        <v>291</v>
      </c>
      <c r="B30" s="180" t="s">
        <v>292</v>
      </c>
      <c r="C30" s="184" t="s">
        <v>293</v>
      </c>
      <c r="D30" s="183" t="s">
        <v>284</v>
      </c>
      <c r="E30" s="183">
        <v>100</v>
      </c>
      <c r="F30" s="233">
        <f t="shared" si="4"/>
        <v>8086.47</v>
      </c>
      <c r="G30" s="264">
        <f t="shared" si="9"/>
        <v>808647</v>
      </c>
      <c r="H30" s="395"/>
      <c r="I30" s="395"/>
      <c r="J30" s="401"/>
      <c r="K30" s="397">
        <f>512711+8492</f>
        <v>521203</v>
      </c>
      <c r="L30" s="398"/>
      <c r="M30" s="399"/>
      <c r="N30" s="404"/>
      <c r="O30" s="375">
        <f t="shared" si="0"/>
        <v>0</v>
      </c>
      <c r="P30" s="362">
        <f t="shared" si="5"/>
        <v>521203</v>
      </c>
      <c r="Q30" s="362">
        <f t="shared" si="6"/>
        <v>7381</v>
      </c>
      <c r="R30" s="362">
        <f t="shared" si="7"/>
        <v>8922</v>
      </c>
      <c r="S30" s="362">
        <f t="shared" si="8"/>
        <v>537506</v>
      </c>
      <c r="T30" s="362">
        <f>S30*'НМЦК подряд'!$C$16*'НМЦК подряд'!$E$16</f>
        <v>808647</v>
      </c>
      <c r="U30" s="399"/>
      <c r="V30" s="234"/>
      <c r="W30" s="263"/>
    </row>
    <row r="31" spans="1:23">
      <c r="A31" s="174" t="s">
        <v>294</v>
      </c>
      <c r="B31" s="180" t="s">
        <v>295</v>
      </c>
      <c r="C31" s="184" t="s">
        <v>296</v>
      </c>
      <c r="D31" s="183" t="s">
        <v>274</v>
      </c>
      <c r="E31" s="183">
        <v>12</v>
      </c>
      <c r="F31" s="233">
        <f t="shared" si="4"/>
        <v>146671.75</v>
      </c>
      <c r="G31" s="264">
        <f t="shared" si="9"/>
        <v>1760061</v>
      </c>
      <c r="H31" s="395"/>
      <c r="I31" s="395"/>
      <c r="J31" s="401"/>
      <c r="K31" s="397">
        <v>1134424</v>
      </c>
      <c r="L31" s="398"/>
      <c r="M31" s="399"/>
      <c r="N31" s="405"/>
      <c r="O31" s="375">
        <f t="shared" si="0"/>
        <v>0</v>
      </c>
      <c r="P31" s="362">
        <f t="shared" si="5"/>
        <v>1134424</v>
      </c>
      <c r="Q31" s="362">
        <f t="shared" si="6"/>
        <v>16066</v>
      </c>
      <c r="R31" s="362">
        <f t="shared" si="7"/>
        <v>19419</v>
      </c>
      <c r="S31" s="362">
        <f t="shared" si="8"/>
        <v>1169909</v>
      </c>
      <c r="T31" s="362">
        <f>S31*'НМЦК подряд'!$C$16*'НМЦК подряд'!$E$16</f>
        <v>1760061</v>
      </c>
      <c r="U31" s="399"/>
      <c r="V31" s="234"/>
      <c r="W31" s="263"/>
    </row>
    <row r="32" spans="1:23">
      <c r="A32" s="174" t="s">
        <v>297</v>
      </c>
      <c r="B32" s="180" t="s">
        <v>298</v>
      </c>
      <c r="C32" s="184" t="s">
        <v>299</v>
      </c>
      <c r="D32" s="183" t="s">
        <v>284</v>
      </c>
      <c r="E32" s="183">
        <v>6.57</v>
      </c>
      <c r="F32" s="233">
        <f t="shared" si="4"/>
        <v>27220.55</v>
      </c>
      <c r="G32" s="264">
        <f t="shared" si="9"/>
        <v>178839.01</v>
      </c>
      <c r="H32" s="395"/>
      <c r="I32" s="395"/>
      <c r="J32" s="401"/>
      <c r="K32" s="397">
        <v>115269</v>
      </c>
      <c r="L32" s="398"/>
      <c r="M32" s="399"/>
      <c r="N32" s="404"/>
      <c r="O32" s="375">
        <f t="shared" si="0"/>
        <v>0</v>
      </c>
      <c r="P32" s="362">
        <f t="shared" si="5"/>
        <v>115269</v>
      </c>
      <c r="Q32" s="362">
        <f t="shared" si="6"/>
        <v>1632</v>
      </c>
      <c r="R32" s="362">
        <f t="shared" si="7"/>
        <v>1973</v>
      </c>
      <c r="S32" s="362">
        <f t="shared" si="8"/>
        <v>118874</v>
      </c>
      <c r="T32" s="362">
        <f>S32*'НМЦК подряд'!$C$16*'НМЦК подряд'!$E$16</f>
        <v>178839</v>
      </c>
      <c r="U32" s="399"/>
      <c r="V32" s="234"/>
      <c r="W32" s="263"/>
    </row>
    <row r="33" ht="16.5" spans="1:23">
      <c r="A33" s="174" t="s">
        <v>300</v>
      </c>
      <c r="B33" s="266" t="s">
        <v>301</v>
      </c>
      <c r="C33" s="265" t="s">
        <v>302</v>
      </c>
      <c r="D33" s="266" t="s">
        <v>284</v>
      </c>
      <c r="E33" s="266">
        <v>150</v>
      </c>
      <c r="F33" s="237">
        <f t="shared" si="4"/>
        <v>280.38</v>
      </c>
      <c r="G33" s="264">
        <f t="shared" si="9"/>
        <v>42057</v>
      </c>
      <c r="H33" s="395"/>
      <c r="I33" s="406"/>
      <c r="J33" s="407"/>
      <c r="K33" s="408">
        <v>27107</v>
      </c>
      <c r="L33" s="409"/>
      <c r="M33" s="409"/>
      <c r="N33" s="410"/>
      <c r="O33" s="375">
        <f t="shared" si="0"/>
        <v>0</v>
      </c>
      <c r="P33" s="362">
        <f t="shared" si="5"/>
        <v>27107</v>
      </c>
      <c r="Q33" s="362">
        <f t="shared" si="6"/>
        <v>384</v>
      </c>
      <c r="R33" s="362">
        <f t="shared" si="7"/>
        <v>464</v>
      </c>
      <c r="S33" s="362">
        <f t="shared" si="8"/>
        <v>27955</v>
      </c>
      <c r="T33" s="362">
        <f>S33*'НМЦК подряд'!$C$16*'НМЦК подряд'!$E$16</f>
        <v>42057</v>
      </c>
      <c r="U33" s="411"/>
      <c r="V33" s="234"/>
      <c r="W33" s="267"/>
    </row>
    <row r="34" ht="16.5" spans="1:23">
      <c r="A34" s="268"/>
      <c r="B34" s="269"/>
      <c r="C34" s="239" t="s">
        <v>303</v>
      </c>
      <c r="D34" s="269"/>
      <c r="E34" s="269"/>
      <c r="F34" s="270"/>
      <c r="G34" s="271">
        <f>SUM(G23:G33)</f>
        <v>4987342.98</v>
      </c>
      <c r="H34" s="412"/>
      <c r="I34" s="412"/>
      <c r="J34" s="413"/>
      <c r="K34" s="414">
        <f t="shared" ref="K34:U34" si="10">SUM(K23:K33)</f>
        <v>3214526</v>
      </c>
      <c r="L34" s="414">
        <f t="shared" si="10"/>
        <v>0</v>
      </c>
      <c r="M34" s="414">
        <f t="shared" si="10"/>
        <v>0</v>
      </c>
      <c r="N34" s="414">
        <f t="shared" si="10"/>
        <v>0</v>
      </c>
      <c r="O34" s="414">
        <f t="shared" si="10"/>
        <v>0</v>
      </c>
      <c r="P34" s="414">
        <f t="shared" si="10"/>
        <v>3214526</v>
      </c>
      <c r="Q34" s="414">
        <f t="shared" si="10"/>
        <v>45526</v>
      </c>
      <c r="R34" s="414">
        <f t="shared" si="10"/>
        <v>55026</v>
      </c>
      <c r="S34" s="414">
        <f t="shared" si="10"/>
        <v>3315078</v>
      </c>
      <c r="T34" s="414">
        <f t="shared" si="10"/>
        <v>4987344</v>
      </c>
      <c r="U34" s="414">
        <f t="shared" si="10"/>
        <v>0</v>
      </c>
      <c r="V34" s="234"/>
      <c r="W34" s="272"/>
    </row>
    <row r="35" spans="1:23">
      <c r="A35" s="273" t="s">
        <v>304</v>
      </c>
      <c r="B35" s="415"/>
      <c r="C35" s="274"/>
      <c r="D35" s="275"/>
      <c r="E35" s="275"/>
      <c r="F35" s="276"/>
      <c r="G35" s="277"/>
      <c r="H35" s="416"/>
      <c r="I35" s="395"/>
      <c r="J35" s="401"/>
      <c r="K35" s="397"/>
      <c r="L35" s="398"/>
      <c r="M35" s="417"/>
      <c r="N35" s="404"/>
      <c r="O35" s="375">
        <f t="shared" si="0"/>
        <v>0</v>
      </c>
      <c r="P35" s="362">
        <f>K35+L35+M35+N35</f>
        <v>0</v>
      </c>
      <c r="Q35" s="362">
        <f>P35*$Q$12</f>
        <v>0</v>
      </c>
      <c r="R35" s="362">
        <f>P35*$R$12</f>
        <v>0</v>
      </c>
      <c r="S35" s="362">
        <f>K35+Q35+R35</f>
        <v>0</v>
      </c>
      <c r="T35" s="362">
        <f>S35*'НМЦК подряд'!$C$16*'НМЦК подряд'!$E$16</f>
        <v>0</v>
      </c>
      <c r="U35" s="399"/>
      <c r="V35" s="234"/>
      <c r="W35" s="263"/>
    </row>
    <row r="36" spans="1:23">
      <c r="A36" s="418">
        <v>14</v>
      </c>
      <c r="B36" s="180" t="s">
        <v>305</v>
      </c>
      <c r="C36" s="184" t="s">
        <v>306</v>
      </c>
      <c r="D36" s="183" t="s">
        <v>274</v>
      </c>
      <c r="E36" s="183">
        <v>200</v>
      </c>
      <c r="F36" s="233">
        <f>T36/E36</f>
        <v>157.66</v>
      </c>
      <c r="G36" s="278">
        <f t="shared" ref="G36:G39" si="11">E36*F36</f>
        <v>31532</v>
      </c>
      <c r="H36" s="419"/>
      <c r="I36" s="395"/>
      <c r="J36" s="401"/>
      <c r="K36" s="397">
        <v>20323</v>
      </c>
      <c r="L36" s="398"/>
      <c r="M36" s="399"/>
      <c r="N36" s="404"/>
      <c r="O36" s="375">
        <f t="shared" si="0"/>
        <v>0</v>
      </c>
      <c r="P36" s="362">
        <f>K36+L36+M36+N36</f>
        <v>20323</v>
      </c>
      <c r="Q36" s="362">
        <f>P36*$Q$12</f>
        <v>288</v>
      </c>
      <c r="R36" s="362">
        <f>P36*$R$12</f>
        <v>348</v>
      </c>
      <c r="S36" s="362">
        <f>P36+Q36+R36</f>
        <v>20959</v>
      </c>
      <c r="T36" s="362">
        <f>S36*'НМЦК подряд'!$C$16*'НМЦК подряд'!$E$16</f>
        <v>31532</v>
      </c>
      <c r="U36" s="399"/>
      <c r="V36" s="234"/>
      <c r="W36" s="263"/>
    </row>
    <row r="37" spans="1:23">
      <c r="A37" s="174" t="s">
        <v>307</v>
      </c>
      <c r="B37" s="180" t="s">
        <v>308</v>
      </c>
      <c r="C37" s="184" t="s">
        <v>309</v>
      </c>
      <c r="D37" s="183" t="s">
        <v>284</v>
      </c>
      <c r="E37" s="183">
        <v>100</v>
      </c>
      <c r="F37" s="233">
        <f>T37/E37</f>
        <v>140.15</v>
      </c>
      <c r="G37" s="278">
        <f t="shared" si="11"/>
        <v>14015</v>
      </c>
      <c r="H37" s="395"/>
      <c r="I37" s="395"/>
      <c r="J37" s="401"/>
      <c r="K37" s="397">
        <v>9033</v>
      </c>
      <c r="L37" s="398"/>
      <c r="M37" s="399"/>
      <c r="N37" s="404"/>
      <c r="O37" s="375">
        <f t="shared" si="0"/>
        <v>0</v>
      </c>
      <c r="P37" s="362">
        <f>K37+L37+M37+N37</f>
        <v>9033</v>
      </c>
      <c r="Q37" s="362">
        <f>P37*$Q$12</f>
        <v>128</v>
      </c>
      <c r="R37" s="362">
        <f>P37*$R$12</f>
        <v>155</v>
      </c>
      <c r="S37" s="362">
        <f>P37+Q37+R37</f>
        <v>9316</v>
      </c>
      <c r="T37" s="362">
        <f>S37*'НМЦК подряд'!$C$16*'НМЦК подряд'!$E$16</f>
        <v>14015</v>
      </c>
      <c r="U37" s="399"/>
      <c r="V37" s="234"/>
      <c r="W37" s="263"/>
    </row>
    <row r="38" spans="1:23">
      <c r="A38" s="174" t="s">
        <v>310</v>
      </c>
      <c r="B38" s="180" t="s">
        <v>311</v>
      </c>
      <c r="C38" s="184" t="s">
        <v>312</v>
      </c>
      <c r="D38" s="183" t="s">
        <v>284</v>
      </c>
      <c r="E38" s="183">
        <v>50</v>
      </c>
      <c r="F38" s="233">
        <f>T38/E38</f>
        <v>14942.1</v>
      </c>
      <c r="G38" s="278">
        <f t="shared" si="11"/>
        <v>747105</v>
      </c>
      <c r="H38" s="416"/>
      <c r="I38" s="416"/>
      <c r="J38" s="420"/>
      <c r="K38" s="421">
        <f>476635+4901</f>
        <v>481536</v>
      </c>
      <c r="L38" s="398"/>
      <c r="M38" s="399"/>
      <c r="N38" s="404"/>
      <c r="O38" s="375">
        <f t="shared" si="0"/>
        <v>0</v>
      </c>
      <c r="P38" s="362">
        <f>K38+L38+M38+N38</f>
        <v>481536</v>
      </c>
      <c r="Q38" s="362">
        <f>P38*$Q$12</f>
        <v>6820</v>
      </c>
      <c r="R38" s="362">
        <f>P38*$R$12</f>
        <v>8243</v>
      </c>
      <c r="S38" s="362">
        <f>P38+Q38+R38</f>
        <v>496599</v>
      </c>
      <c r="T38" s="362">
        <f>S38*'НМЦК подряд'!$C$16*'НМЦК подряд'!$E$16</f>
        <v>747105</v>
      </c>
      <c r="U38" s="399"/>
      <c r="V38" s="234"/>
      <c r="W38" s="263"/>
    </row>
    <row r="39" ht="16.5" spans="1:23">
      <c r="A39" s="174" t="s">
        <v>313</v>
      </c>
      <c r="B39" s="180" t="s">
        <v>314</v>
      </c>
      <c r="C39" s="265" t="s">
        <v>302</v>
      </c>
      <c r="D39" s="180" t="s">
        <v>284</v>
      </c>
      <c r="E39" s="180">
        <v>87</v>
      </c>
      <c r="F39" s="233">
        <f>T39/E39</f>
        <v>280.38</v>
      </c>
      <c r="G39" s="278">
        <f t="shared" si="11"/>
        <v>24393.06</v>
      </c>
      <c r="H39" s="395"/>
      <c r="I39" s="395"/>
      <c r="J39" s="422"/>
      <c r="K39" s="397">
        <f>15722</f>
        <v>15722</v>
      </c>
      <c r="L39" s="423"/>
      <c r="M39" s="399"/>
      <c r="N39" s="400"/>
      <c r="O39" s="375">
        <f t="shared" si="0"/>
        <v>0</v>
      </c>
      <c r="P39" s="362">
        <f>K39+L39+M39+N39</f>
        <v>15722</v>
      </c>
      <c r="Q39" s="362">
        <f>P39*$Q$12</f>
        <v>223</v>
      </c>
      <c r="R39" s="362">
        <f>P39*$R$12</f>
        <v>269</v>
      </c>
      <c r="S39" s="362">
        <f>P39+Q39+R39</f>
        <v>16214</v>
      </c>
      <c r="T39" s="362">
        <f>S39*'НМЦК подряд'!$C$16*'НМЦК подряд'!$E$16</f>
        <v>24393</v>
      </c>
      <c r="U39" s="399"/>
      <c r="V39" s="234"/>
      <c r="W39" s="263"/>
    </row>
    <row r="40" ht="16.5" spans="1:23">
      <c r="A40" s="268"/>
      <c r="B40" s="269"/>
      <c r="C40" s="239" t="s">
        <v>315</v>
      </c>
      <c r="D40" s="269"/>
      <c r="E40" s="269"/>
      <c r="F40" s="270"/>
      <c r="G40" s="271">
        <f>SUM(G36:G39)</f>
        <v>817045.06</v>
      </c>
      <c r="H40" s="285"/>
      <c r="I40" s="285"/>
      <c r="J40" s="424"/>
      <c r="K40" s="425">
        <f>SUM(K36:K39)</f>
        <v>526614</v>
      </c>
      <c r="L40" s="425">
        <f t="shared" ref="L40:T40" si="12">SUM(L36:L39)</f>
        <v>0</v>
      </c>
      <c r="M40" s="425">
        <f t="shared" si="12"/>
        <v>0</v>
      </c>
      <c r="N40" s="425">
        <f t="shared" si="12"/>
        <v>0</v>
      </c>
      <c r="O40" s="375">
        <f t="shared" si="0"/>
        <v>0</v>
      </c>
      <c r="P40" s="425">
        <f t="shared" si="12"/>
        <v>526614</v>
      </c>
      <c r="Q40" s="425">
        <f t="shared" si="12"/>
        <v>7459</v>
      </c>
      <c r="R40" s="425">
        <f t="shared" si="12"/>
        <v>9015</v>
      </c>
      <c r="S40" s="362">
        <f>P40+Q40+R40</f>
        <v>543088</v>
      </c>
      <c r="T40" s="425">
        <f t="shared" si="12"/>
        <v>817045</v>
      </c>
      <c r="U40" s="176"/>
      <c r="V40" s="234"/>
    </row>
    <row r="41" ht="16.5" spans="1:23">
      <c r="A41" s="268"/>
      <c r="B41" s="269"/>
      <c r="C41" s="239" t="s">
        <v>316</v>
      </c>
      <c r="D41" s="269"/>
      <c r="E41" s="269"/>
      <c r="F41" s="270"/>
      <c r="G41" s="271">
        <f>G40+G34</f>
        <v>5804388.04</v>
      </c>
      <c r="H41" s="285"/>
      <c r="I41" s="285"/>
      <c r="J41" s="424"/>
      <c r="K41" s="379">
        <f>K40+K34</f>
        <v>3741140</v>
      </c>
      <c r="L41" s="379">
        <f t="shared" ref="L41:U41" si="13">L40+L34</f>
        <v>0</v>
      </c>
      <c r="M41" s="379">
        <f t="shared" si="13"/>
        <v>0</v>
      </c>
      <c r="N41" s="379">
        <f t="shared" si="13"/>
        <v>0</v>
      </c>
      <c r="O41" s="379">
        <f t="shared" si="13"/>
        <v>0</v>
      </c>
      <c r="P41" s="379">
        <f t="shared" si="13"/>
        <v>3741140</v>
      </c>
      <c r="Q41" s="379">
        <f t="shared" si="13"/>
        <v>52985</v>
      </c>
      <c r="R41" s="379">
        <f t="shared" si="13"/>
        <v>64041</v>
      </c>
      <c r="S41" s="379">
        <f t="shared" si="13"/>
        <v>3858166</v>
      </c>
      <c r="T41" s="379">
        <f t="shared" si="13"/>
        <v>5804389</v>
      </c>
      <c r="U41" s="379">
        <f t="shared" si="13"/>
        <v>0</v>
      </c>
      <c r="V41" s="234"/>
    </row>
    <row r="42" customHeight="1" spans="1:23">
      <c r="A42" s="279" t="s">
        <v>317</v>
      </c>
      <c r="B42" s="426"/>
      <c r="C42" s="280"/>
      <c r="D42" s="175"/>
      <c r="E42" s="175"/>
      <c r="F42" s="233"/>
      <c r="G42" s="276"/>
      <c r="H42" s="285"/>
      <c r="I42" s="285"/>
      <c r="J42" s="424"/>
      <c r="K42" s="425"/>
      <c r="L42" s="427"/>
      <c r="M42" s="176"/>
      <c r="N42" s="172"/>
      <c r="O42" s="375">
        <f t="shared" si="0"/>
        <v>0</v>
      </c>
      <c r="P42" s="362">
        <f>K42+L42+M42+N42</f>
        <v>0</v>
      </c>
      <c r="Q42" s="362">
        <f>P42*$Q$12</f>
        <v>0</v>
      </c>
      <c r="R42" s="362">
        <f>P42*$R$12</f>
        <v>0</v>
      </c>
      <c r="S42" s="362">
        <f>K42+Q42+R42</f>
        <v>0</v>
      </c>
      <c r="T42" s="362">
        <f>S42*'НМЦК подряд'!$C$16*'НМЦК подряд'!$E$16</f>
        <v>0</v>
      </c>
      <c r="U42" s="176"/>
      <c r="V42" s="234"/>
    </row>
    <row r="43" ht="32.25" spans="1:23">
      <c r="A43" s="174" t="s">
        <v>318</v>
      </c>
      <c r="B43" s="176" t="s">
        <v>319</v>
      </c>
      <c r="C43" s="175" t="s">
        <v>320</v>
      </c>
      <c r="D43" s="281" t="s">
        <v>321</v>
      </c>
      <c r="E43" s="281">
        <v>4</v>
      </c>
      <c r="F43" s="233">
        <f>T43/E43</f>
        <v>7771.5</v>
      </c>
      <c r="G43" s="233">
        <f>F43*E43</f>
        <v>31086</v>
      </c>
      <c r="H43" s="285"/>
      <c r="I43" s="285"/>
      <c r="J43" s="424"/>
      <c r="K43" s="425">
        <v>20036</v>
      </c>
      <c r="L43" s="427"/>
      <c r="M43" s="176"/>
      <c r="N43" s="172"/>
      <c r="O43" s="375">
        <f t="shared" si="0"/>
        <v>0</v>
      </c>
      <c r="P43" s="362">
        <f>K43+L43+M43+N43</f>
        <v>20036</v>
      </c>
      <c r="Q43" s="362">
        <f>P43*$Q$12</f>
        <v>284</v>
      </c>
      <c r="R43" s="362">
        <f>P43*$R$12</f>
        <v>343</v>
      </c>
      <c r="S43" s="362">
        <f>P43+Q43+R43</f>
        <v>20663</v>
      </c>
      <c r="T43" s="362">
        <f>S43*'НМЦК подряд'!$C$16*'НМЦК подряд'!$E$16</f>
        <v>31086</v>
      </c>
      <c r="U43" s="176"/>
      <c r="V43" s="234"/>
    </row>
    <row r="44" ht="16.5" spans="1:23">
      <c r="A44" s="268"/>
      <c r="B44" s="269"/>
      <c r="C44" s="239" t="s">
        <v>322</v>
      </c>
      <c r="D44" s="269"/>
      <c r="E44" s="269"/>
      <c r="F44" s="270"/>
      <c r="G44" s="271">
        <f>G43</f>
        <v>31086</v>
      </c>
      <c r="H44" s="428"/>
      <c r="I44" s="428"/>
      <c r="J44" s="429"/>
      <c r="K44" s="387">
        <f>SUM(K42:K43)</f>
        <v>20036</v>
      </c>
      <c r="L44" s="387">
        <f t="shared" ref="L44:U44" si="14">SUM(L42:L43)</f>
        <v>0</v>
      </c>
      <c r="M44" s="387">
        <f t="shared" si="14"/>
        <v>0</v>
      </c>
      <c r="N44" s="387">
        <f t="shared" si="14"/>
        <v>0</v>
      </c>
      <c r="O44" s="387">
        <f t="shared" si="14"/>
        <v>0</v>
      </c>
      <c r="P44" s="387">
        <f t="shared" si="14"/>
        <v>20036</v>
      </c>
      <c r="Q44" s="387">
        <f t="shared" si="14"/>
        <v>284</v>
      </c>
      <c r="R44" s="387">
        <f t="shared" si="14"/>
        <v>343</v>
      </c>
      <c r="S44" s="387">
        <f t="shared" si="14"/>
        <v>20663</v>
      </c>
      <c r="T44" s="387">
        <f t="shared" si="14"/>
        <v>31086</v>
      </c>
      <c r="U44" s="387">
        <f t="shared" si="14"/>
        <v>0</v>
      </c>
      <c r="V44" s="234"/>
    </row>
    <row r="45" ht="16.5" spans="1:23">
      <c r="A45" s="268"/>
      <c r="B45" s="269"/>
      <c r="C45" s="239" t="s">
        <v>323</v>
      </c>
      <c r="D45" s="269"/>
      <c r="E45" s="269"/>
      <c r="F45" s="270"/>
      <c r="G45" s="271">
        <f>G44+G41+G20+G16</f>
        <v>17786470.04</v>
      </c>
      <c r="H45" s="428"/>
      <c r="I45" s="428"/>
      <c r="J45" s="430"/>
      <c r="K45" s="431">
        <f t="shared" ref="K45:U45" si="15">K44+K41+K20+K16</f>
        <v>11464031</v>
      </c>
      <c r="L45" s="431">
        <f t="shared" si="15"/>
        <v>0</v>
      </c>
      <c r="M45" s="431">
        <f t="shared" si="15"/>
        <v>0</v>
      </c>
      <c r="N45" s="431">
        <f t="shared" si="15"/>
        <v>0</v>
      </c>
      <c r="O45" s="431">
        <f t="shared" si="15"/>
        <v>0</v>
      </c>
      <c r="P45" s="431">
        <f t="shared" si="15"/>
        <v>11464031</v>
      </c>
      <c r="Q45" s="431">
        <f t="shared" si="15"/>
        <v>162360</v>
      </c>
      <c r="R45" s="431">
        <f t="shared" si="15"/>
        <v>196241</v>
      </c>
      <c r="S45" s="431">
        <f t="shared" si="15"/>
        <v>11822632</v>
      </c>
      <c r="T45" s="431">
        <f t="shared" si="15"/>
        <v>17786471</v>
      </c>
      <c r="U45" s="431">
        <f t="shared" si="15"/>
        <v>0</v>
      </c>
      <c r="V45" s="234"/>
    </row>
    <row r="46" spans="1:23">
      <c r="A46" s="282" t="s">
        <v>324</v>
      </c>
      <c r="B46" s="282"/>
      <c r="C46" s="282"/>
      <c r="D46" s="247"/>
      <c r="E46" s="247"/>
      <c r="F46" s="233"/>
      <c r="G46" s="247"/>
      <c r="H46" s="285"/>
      <c r="I46" s="285"/>
      <c r="J46" s="432"/>
      <c r="K46" s="425"/>
      <c r="L46" s="433"/>
      <c r="M46" s="176"/>
      <c r="N46" s="172"/>
      <c r="O46" s="375">
        <f t="shared" si="0"/>
        <v>0</v>
      </c>
      <c r="P46" s="362">
        <f>K46+L46+M46+N46</f>
        <v>0</v>
      </c>
      <c r="Q46" s="362">
        <f>P46*$Q$12</f>
        <v>0</v>
      </c>
      <c r="R46" s="362">
        <f>P46*$R$12</f>
        <v>0</v>
      </c>
      <c r="S46" s="362">
        <f>K46+Q46+R46</f>
        <v>0</v>
      </c>
      <c r="T46" s="362">
        <f>S46*'НМЦК подряд'!$C$16*'НМЦК подряд'!$E$16</f>
        <v>0</v>
      </c>
      <c r="U46" s="176"/>
      <c r="V46" s="234"/>
    </row>
    <row r="47" customHeight="1" spans="1:23">
      <c r="A47" s="283" t="s">
        <v>325</v>
      </c>
      <c r="B47" s="434"/>
      <c r="C47" s="284"/>
      <c r="D47" s="175"/>
      <c r="E47" s="175"/>
      <c r="F47" s="233"/>
      <c r="G47" s="176"/>
      <c r="J47" s="424"/>
      <c r="K47" s="382"/>
      <c r="L47" s="427"/>
      <c r="M47" s="176"/>
      <c r="N47" s="172"/>
      <c r="O47" s="375">
        <f t="shared" si="0"/>
        <v>0</v>
      </c>
      <c r="P47" s="362">
        <f>K47+L47+M47+N47</f>
        <v>0</v>
      </c>
      <c r="Q47" s="362">
        <f>P47*$Q$12</f>
        <v>0</v>
      </c>
      <c r="R47" s="362">
        <f>P47*$R$12</f>
        <v>0</v>
      </c>
      <c r="S47" s="362">
        <f>K47+Q47+R47</f>
        <v>0</v>
      </c>
      <c r="T47" s="362">
        <f>S47*'НМЦК подряд'!$C$16*'НМЦК подряд'!$E$16</f>
        <v>0</v>
      </c>
      <c r="U47" s="176"/>
      <c r="V47" s="234"/>
    </row>
    <row r="48" customHeight="1" spans="1:23">
      <c r="A48" s="173"/>
      <c r="B48" s="173"/>
      <c r="C48" s="188" t="s">
        <v>326</v>
      </c>
      <c r="D48" s="175"/>
      <c r="E48" s="175"/>
      <c r="F48" s="233"/>
      <c r="G48" s="176"/>
      <c r="J48" s="424"/>
      <c r="K48" s="382"/>
      <c r="L48" s="435"/>
      <c r="M48" s="176"/>
      <c r="N48" s="172"/>
      <c r="O48" s="375"/>
      <c r="P48" s="362"/>
      <c r="Q48" s="362"/>
      <c r="R48" s="362"/>
      <c r="S48" s="362"/>
      <c r="T48" s="362"/>
      <c r="U48" s="176"/>
      <c r="V48" s="234"/>
    </row>
    <row r="49" spans="1:22">
      <c r="A49" s="174" t="s">
        <v>327</v>
      </c>
      <c r="B49" s="175" t="s">
        <v>328</v>
      </c>
      <c r="C49" s="175" t="s">
        <v>329</v>
      </c>
      <c r="D49" s="172" t="s">
        <v>330</v>
      </c>
      <c r="E49" s="172">
        <v>23.81</v>
      </c>
      <c r="F49" s="233">
        <f t="shared" ref="F49:F62" si="16">T49/E49</f>
        <v>64335.95</v>
      </c>
      <c r="G49" s="233">
        <f>F49*E49</f>
        <v>1531838.97</v>
      </c>
      <c r="J49" s="436"/>
      <c r="K49" s="437">
        <f>4169080/100.54*23.81</f>
        <v>987326</v>
      </c>
      <c r="M49" s="427"/>
      <c r="N49" s="438"/>
      <c r="O49" s="375">
        <f t="shared" si="0"/>
        <v>0</v>
      </c>
      <c r="P49" s="362">
        <f t="shared" ref="P49:P62" si="17">K49+L49+M49+N49</f>
        <v>987326</v>
      </c>
      <c r="Q49" s="362">
        <f t="shared" ref="Q49:Q62" si="18">P49*$Q$12</f>
        <v>13983</v>
      </c>
      <c r="R49" s="362">
        <f t="shared" ref="R49:R62" si="19">P49*$R$12</f>
        <v>16901</v>
      </c>
      <c r="S49" s="362">
        <f t="shared" ref="S49:S62" si="20">P49+Q49+R49</f>
        <v>1018210</v>
      </c>
      <c r="T49" s="362">
        <f>S49*'НМЦК подряд'!$C$16*'НМЦК подряд'!$E$16</f>
        <v>1531839</v>
      </c>
      <c r="U49" s="427">
        <f>SUM(L49:N49)</f>
        <v>0</v>
      </c>
      <c r="V49" s="234"/>
    </row>
    <row r="50" spans="1:22">
      <c r="A50" s="174" t="s">
        <v>331</v>
      </c>
      <c r="B50" s="175" t="s">
        <v>328</v>
      </c>
      <c r="C50" s="175" t="s">
        <v>332</v>
      </c>
      <c r="D50" s="172" t="s">
        <v>330</v>
      </c>
      <c r="E50" s="172">
        <v>76.73</v>
      </c>
      <c r="F50" s="233">
        <f t="shared" si="16"/>
        <v>64335.96</v>
      </c>
      <c r="G50" s="233">
        <f t="shared" ref="G50:G57" si="21">F50*E50</f>
        <v>4936498.21</v>
      </c>
      <c r="J50" s="436"/>
      <c r="K50" s="437">
        <f>4169080/100.54*76.73</f>
        <v>3181754</v>
      </c>
      <c r="L50" s="439"/>
      <c r="M50" s="427"/>
      <c r="N50" s="438"/>
      <c r="O50" s="375">
        <f t="shared" si="0"/>
        <v>0</v>
      </c>
      <c r="P50" s="362">
        <f t="shared" si="17"/>
        <v>3181754</v>
      </c>
      <c r="Q50" s="362">
        <f t="shared" si="18"/>
        <v>45061</v>
      </c>
      <c r="R50" s="362">
        <f t="shared" si="19"/>
        <v>54465</v>
      </c>
      <c r="S50" s="362">
        <f t="shared" si="20"/>
        <v>3281280</v>
      </c>
      <c r="T50" s="362">
        <f>S50*'НМЦК подряд'!$C$16*'НМЦК подряд'!$E$16</f>
        <v>4936498</v>
      </c>
      <c r="U50" s="427">
        <f>L50+M50+N50</f>
        <v>0</v>
      </c>
      <c r="V50" s="234"/>
    </row>
    <row r="51" spans="1:22">
      <c r="A51" s="174" t="s">
        <v>333</v>
      </c>
      <c r="B51" s="175" t="s">
        <v>334</v>
      </c>
      <c r="C51" s="175" t="s">
        <v>335</v>
      </c>
      <c r="D51" s="172" t="s">
        <v>330</v>
      </c>
      <c r="E51" s="172">
        <v>76.73</v>
      </c>
      <c r="F51" s="233">
        <f t="shared" si="16"/>
        <v>77839.31</v>
      </c>
      <c r="G51" s="233">
        <f t="shared" si="21"/>
        <v>5972610.26</v>
      </c>
      <c r="J51" s="436"/>
      <c r="K51" s="437">
        <f>3849566</f>
        <v>3849566</v>
      </c>
      <c r="L51" s="439"/>
      <c r="M51" s="427"/>
      <c r="N51" s="438"/>
      <c r="O51" s="375">
        <f t="shared" si="0"/>
        <v>0</v>
      </c>
      <c r="P51" s="362">
        <f t="shared" si="17"/>
        <v>3849566</v>
      </c>
      <c r="Q51" s="362">
        <f t="shared" si="18"/>
        <v>54519</v>
      </c>
      <c r="R51" s="362">
        <f t="shared" si="19"/>
        <v>65897</v>
      </c>
      <c r="S51" s="362">
        <f t="shared" si="20"/>
        <v>3969982</v>
      </c>
      <c r="T51" s="362">
        <f>S51*'НМЦК подряд'!$C$16*'НМЦК подряд'!$E$16</f>
        <v>5972610</v>
      </c>
      <c r="U51" s="427">
        <f>L51+M51+N51</f>
        <v>0</v>
      </c>
      <c r="V51" s="234"/>
    </row>
    <row r="52" ht="31.5" spans="1:22">
      <c r="A52" s="174" t="s">
        <v>336</v>
      </c>
      <c r="B52" s="175" t="s">
        <v>337</v>
      </c>
      <c r="C52" s="175" t="s">
        <v>338</v>
      </c>
      <c r="D52" s="172" t="s">
        <v>330</v>
      </c>
      <c r="E52" s="172">
        <v>179</v>
      </c>
      <c r="F52" s="233">
        <f t="shared" si="16"/>
        <v>154224.96</v>
      </c>
      <c r="G52" s="233">
        <f t="shared" si="21"/>
        <v>27606267.84</v>
      </c>
      <c r="J52" s="436"/>
      <c r="K52" s="437">
        <v>17067827</v>
      </c>
      <c r="L52" s="439">
        <f>179*N11</f>
        <v>725424</v>
      </c>
      <c r="M52" s="176"/>
      <c r="N52" s="438"/>
      <c r="O52" s="375">
        <f t="shared" si="0"/>
        <v>725424</v>
      </c>
      <c r="P52" s="362">
        <f t="shared" si="17"/>
        <v>17793251</v>
      </c>
      <c r="Q52" s="362">
        <f t="shared" si="18"/>
        <v>251995</v>
      </c>
      <c r="R52" s="362">
        <f t="shared" si="19"/>
        <v>304584</v>
      </c>
      <c r="S52" s="362">
        <f t="shared" si="20"/>
        <v>18349830</v>
      </c>
      <c r="T52" s="362">
        <f>S52*'НМЦК подряд'!$C$16*'НМЦК подряд'!$E$16</f>
        <v>27606267</v>
      </c>
      <c r="U52" s="427">
        <f>L52+M52+N52</f>
        <v>725424</v>
      </c>
      <c r="V52" s="234"/>
    </row>
    <row r="53" spans="1:22">
      <c r="A53" s="174" t="s">
        <v>339</v>
      </c>
      <c r="B53" s="175" t="s">
        <v>340</v>
      </c>
      <c r="C53" s="175" t="s">
        <v>341</v>
      </c>
      <c r="D53" s="172" t="s">
        <v>321</v>
      </c>
      <c r="E53" s="172">
        <v>67</v>
      </c>
      <c r="F53" s="233">
        <f t="shared" si="16"/>
        <v>30016.82</v>
      </c>
      <c r="G53" s="233">
        <f t="shared" ref="G53" si="22">F53*E53</f>
        <v>2011126.94</v>
      </c>
      <c r="J53" s="436"/>
      <c r="K53" s="437">
        <f>1296245</f>
        <v>1296245</v>
      </c>
      <c r="L53" s="439"/>
      <c r="M53" s="176"/>
      <c r="N53" s="438"/>
      <c r="O53" s="375">
        <f t="shared" ref="O53:O54" si="23">L53+M53+N53</f>
        <v>0</v>
      </c>
      <c r="P53" s="362">
        <f t="shared" si="17"/>
        <v>1296245</v>
      </c>
      <c r="Q53" s="362">
        <f t="shared" si="18"/>
        <v>18358</v>
      </c>
      <c r="R53" s="362">
        <f t="shared" si="19"/>
        <v>22189</v>
      </c>
      <c r="S53" s="362">
        <f t="shared" si="20"/>
        <v>1336792</v>
      </c>
      <c r="T53" s="362">
        <f>S53*'НМЦК подряд'!$C$16*'НМЦК подряд'!$E$16</f>
        <v>2011127</v>
      </c>
      <c r="U53" s="427"/>
      <c r="V53" s="234"/>
    </row>
    <row r="54" ht="31.5" spans="1:22">
      <c r="A54" s="174" t="s">
        <v>342</v>
      </c>
      <c r="B54" s="175" t="s">
        <v>343</v>
      </c>
      <c r="C54" s="175" t="s">
        <v>344</v>
      </c>
      <c r="D54" s="172" t="s">
        <v>330</v>
      </c>
      <c r="E54" s="172">
        <v>19.27</v>
      </c>
      <c r="F54" s="233">
        <f t="shared" si="16"/>
        <v>173941.62</v>
      </c>
      <c r="G54" s="233">
        <f t="shared" si="21"/>
        <v>3351855.02</v>
      </c>
      <c r="J54" s="436"/>
      <c r="K54" s="437">
        <v>2090525</v>
      </c>
      <c r="L54" s="439"/>
      <c r="M54" s="427">
        <f>17.24*N11</f>
        <v>69868</v>
      </c>
      <c r="N54" s="438"/>
      <c r="O54" s="375">
        <f t="shared" si="23"/>
        <v>69868</v>
      </c>
      <c r="P54" s="362">
        <f t="shared" si="17"/>
        <v>2160393</v>
      </c>
      <c r="Q54" s="362">
        <f t="shared" si="18"/>
        <v>30596</v>
      </c>
      <c r="R54" s="362">
        <f t="shared" si="19"/>
        <v>36982</v>
      </c>
      <c r="S54" s="362">
        <f t="shared" si="20"/>
        <v>2227971</v>
      </c>
      <c r="T54" s="362">
        <f>S54*'НМЦК подряд'!$C$16*'НМЦК подряд'!$E$16</f>
        <v>3351855</v>
      </c>
      <c r="U54" s="427">
        <f t="shared" ref="U54:U87" si="24">L54+M54+N54</f>
        <v>69868</v>
      </c>
      <c r="V54" s="234"/>
    </row>
    <row r="55" ht="31.5" spans="1:22">
      <c r="A55" s="174" t="s">
        <v>345</v>
      </c>
      <c r="B55" s="175" t="s">
        <v>346</v>
      </c>
      <c r="C55" s="175" t="s">
        <v>347</v>
      </c>
      <c r="D55" s="172" t="s">
        <v>274</v>
      </c>
      <c r="E55" s="172">
        <v>155.44</v>
      </c>
      <c r="F55" s="233">
        <f t="shared" si="16"/>
        <v>45412.91</v>
      </c>
      <c r="G55" s="233">
        <f t="shared" si="21"/>
        <v>7058982.73</v>
      </c>
      <c r="J55" s="436"/>
      <c r="K55" s="437">
        <f>2691400+1521739+67333</f>
        <v>4280472</v>
      </c>
      <c r="L55" s="439"/>
      <c r="M55" s="427"/>
      <c r="N55" s="438">
        <f>155.44*0.4275*N11</f>
        <v>269301</v>
      </c>
      <c r="O55" s="375">
        <f t="shared" si="0"/>
        <v>269301</v>
      </c>
      <c r="P55" s="362">
        <f t="shared" si="17"/>
        <v>4549773</v>
      </c>
      <c r="Q55" s="362">
        <f t="shared" si="18"/>
        <v>64436</v>
      </c>
      <c r="R55" s="362">
        <f t="shared" si="19"/>
        <v>77883</v>
      </c>
      <c r="S55" s="362">
        <f t="shared" si="20"/>
        <v>4692092</v>
      </c>
      <c r="T55" s="362">
        <f>S55*'НМЦК подряд'!$C$16*'НМЦК подряд'!$E$16</f>
        <v>7058983</v>
      </c>
      <c r="U55" s="427">
        <f t="shared" si="24"/>
        <v>269301</v>
      </c>
      <c r="V55" s="234"/>
    </row>
    <row r="56" ht="31.5" spans="1:22">
      <c r="A56" s="174" t="s">
        <v>348</v>
      </c>
      <c r="B56" s="175" t="s">
        <v>349</v>
      </c>
      <c r="C56" s="175" t="s">
        <v>350</v>
      </c>
      <c r="D56" s="172" t="s">
        <v>330</v>
      </c>
      <c r="E56" s="172">
        <v>59.7</v>
      </c>
      <c r="F56" s="233">
        <f t="shared" si="16"/>
        <v>236099.7</v>
      </c>
      <c r="G56" s="233">
        <f t="shared" si="21"/>
        <v>14095152.09</v>
      </c>
      <c r="J56" s="436"/>
      <c r="K56" s="437">
        <f>3480452+5362447</f>
        <v>8842899</v>
      </c>
      <c r="L56" s="427">
        <f>59.7*N11</f>
        <v>241943</v>
      </c>
      <c r="M56" s="427"/>
      <c r="N56" s="172"/>
      <c r="O56" s="375">
        <f t="shared" si="0"/>
        <v>241943</v>
      </c>
      <c r="P56" s="362">
        <f t="shared" si="17"/>
        <v>9084842</v>
      </c>
      <c r="Q56" s="362">
        <f t="shared" si="18"/>
        <v>128663</v>
      </c>
      <c r="R56" s="362">
        <f t="shared" si="19"/>
        <v>155514</v>
      </c>
      <c r="S56" s="362">
        <f t="shared" si="20"/>
        <v>9369019</v>
      </c>
      <c r="T56" s="362">
        <f>S56*'НМЦК подряд'!$C$16*'НМЦК подряд'!$E$16</f>
        <v>14095152</v>
      </c>
      <c r="U56" s="427">
        <f t="shared" si="24"/>
        <v>241943</v>
      </c>
      <c r="V56" s="234"/>
    </row>
    <row r="57" ht="31.5" spans="1:22">
      <c r="A57" s="174" t="s">
        <v>351</v>
      </c>
      <c r="B57" s="175" t="s">
        <v>352</v>
      </c>
      <c r="C57" s="175" t="s">
        <v>353</v>
      </c>
      <c r="D57" s="172" t="s">
        <v>354</v>
      </c>
      <c r="E57" s="172">
        <f>201+165</f>
        <v>366</v>
      </c>
      <c r="F57" s="233">
        <f t="shared" si="16"/>
        <v>668.95</v>
      </c>
      <c r="G57" s="233">
        <f t="shared" si="21"/>
        <v>244835.7</v>
      </c>
      <c r="J57" s="424"/>
      <c r="K57" s="437">
        <f>(41384-937-27325+144684)/183*100.5+71142</f>
        <v>157806</v>
      </c>
      <c r="L57" s="427"/>
      <c r="M57" s="427"/>
      <c r="N57" s="438"/>
      <c r="O57" s="375">
        <f t="shared" si="0"/>
        <v>0</v>
      </c>
      <c r="P57" s="362">
        <f t="shared" si="17"/>
        <v>157806</v>
      </c>
      <c r="Q57" s="362">
        <f t="shared" si="18"/>
        <v>2235</v>
      </c>
      <c r="R57" s="362">
        <f t="shared" si="19"/>
        <v>2701</v>
      </c>
      <c r="S57" s="362">
        <f t="shared" si="20"/>
        <v>162742</v>
      </c>
      <c r="T57" s="362">
        <f>S57*'НМЦК подряд'!$C$16*'НМЦК подряд'!$E$16</f>
        <v>244836</v>
      </c>
      <c r="U57" s="427">
        <f t="shared" si="24"/>
        <v>0</v>
      </c>
      <c r="V57" s="234"/>
    </row>
    <row r="58" ht="31.5" spans="1:22">
      <c r="A58" s="174" t="s">
        <v>355</v>
      </c>
      <c r="B58" s="175" t="s">
        <v>356</v>
      </c>
      <c r="C58" s="175" t="s">
        <v>357</v>
      </c>
      <c r="D58" s="172" t="s">
        <v>354</v>
      </c>
      <c r="E58" s="172">
        <f>126+113</f>
        <v>239</v>
      </c>
      <c r="F58" s="233">
        <f t="shared" si="16"/>
        <v>20854.92</v>
      </c>
      <c r="G58" s="233">
        <f t="shared" ref="G58:G87" si="25">F58*E58</f>
        <v>4984325.88</v>
      </c>
      <c r="J58" s="436"/>
      <c r="K58" s="437">
        <f>(79191+3133389)/239*126+1518919</f>
        <v>3212580</v>
      </c>
      <c r="L58" s="427"/>
      <c r="M58" s="427"/>
      <c r="N58" s="172"/>
      <c r="O58" s="375">
        <f t="shared" si="0"/>
        <v>0</v>
      </c>
      <c r="P58" s="362">
        <f t="shared" si="17"/>
        <v>3212580</v>
      </c>
      <c r="Q58" s="362">
        <f t="shared" si="18"/>
        <v>45498</v>
      </c>
      <c r="R58" s="362">
        <f t="shared" si="19"/>
        <v>54993</v>
      </c>
      <c r="S58" s="362">
        <f t="shared" si="20"/>
        <v>3313071</v>
      </c>
      <c r="T58" s="362">
        <f>S58*'НМЦК подряд'!$C$16*'НМЦК подряд'!$E$16</f>
        <v>4984325</v>
      </c>
      <c r="U58" s="427">
        <f t="shared" si="24"/>
        <v>0</v>
      </c>
      <c r="V58" s="234"/>
    </row>
    <row r="59" ht="18" spans="1:22">
      <c r="A59" s="174" t="s">
        <v>358</v>
      </c>
      <c r="B59" s="175" t="s">
        <v>359</v>
      </c>
      <c r="C59" s="175" t="s">
        <v>360</v>
      </c>
      <c r="D59" s="172" t="s">
        <v>354</v>
      </c>
      <c r="E59" s="172">
        <f>126+113</f>
        <v>239</v>
      </c>
      <c r="F59" s="233">
        <f t="shared" si="16"/>
        <v>6436.7</v>
      </c>
      <c r="G59" s="233">
        <f t="shared" si="25"/>
        <v>1538371.3</v>
      </c>
      <c r="J59" s="436"/>
      <c r="K59" s="437">
        <f>(839768+151768)/239*126+468802</f>
        <v>991536</v>
      </c>
      <c r="L59" s="427"/>
      <c r="M59" s="427"/>
      <c r="N59" s="172"/>
      <c r="O59" s="375">
        <f t="shared" si="0"/>
        <v>0</v>
      </c>
      <c r="P59" s="362">
        <f t="shared" si="17"/>
        <v>991536</v>
      </c>
      <c r="Q59" s="362">
        <f t="shared" si="18"/>
        <v>14043</v>
      </c>
      <c r="R59" s="362">
        <f t="shared" si="19"/>
        <v>16973</v>
      </c>
      <c r="S59" s="362">
        <f t="shared" si="20"/>
        <v>1022552</v>
      </c>
      <c r="T59" s="362">
        <f>S59*'НМЦК подряд'!$C$16*'НМЦК подряд'!$E$16</f>
        <v>1538371</v>
      </c>
      <c r="U59" s="427">
        <f t="shared" si="24"/>
        <v>0</v>
      </c>
      <c r="V59" s="234"/>
    </row>
    <row r="60" ht="31.5" spans="1:22">
      <c r="A60" s="174" t="s">
        <v>361</v>
      </c>
      <c r="B60" s="175" t="s">
        <v>362</v>
      </c>
      <c r="C60" s="175" t="s">
        <v>363</v>
      </c>
      <c r="D60" s="172" t="s">
        <v>354</v>
      </c>
      <c r="E60" s="172">
        <v>108.2</v>
      </c>
      <c r="F60" s="233">
        <f t="shared" si="16"/>
        <v>1524.43</v>
      </c>
      <c r="G60" s="233">
        <f t="shared" si="25"/>
        <v>164943.33</v>
      </c>
      <c r="J60" s="436"/>
      <c r="K60" s="437">
        <f>106311/108.2*100.2+7860</f>
        <v>106311</v>
      </c>
      <c r="L60" s="427"/>
      <c r="M60" s="427"/>
      <c r="N60" s="172"/>
      <c r="O60" s="375">
        <f t="shared" si="0"/>
        <v>0</v>
      </c>
      <c r="P60" s="362">
        <f t="shared" si="17"/>
        <v>106311</v>
      </c>
      <c r="Q60" s="362">
        <f t="shared" si="18"/>
        <v>1506</v>
      </c>
      <c r="R60" s="362">
        <f t="shared" si="19"/>
        <v>1820</v>
      </c>
      <c r="S60" s="362">
        <f t="shared" si="20"/>
        <v>109637</v>
      </c>
      <c r="T60" s="362">
        <f>S60*'НМЦК подряд'!$C$16*'НМЦК подряд'!$E$16</f>
        <v>164943</v>
      </c>
      <c r="U60" s="427">
        <f t="shared" si="24"/>
        <v>0</v>
      </c>
      <c r="V60" s="234"/>
    </row>
    <row r="61" ht="31.5" spans="1:22">
      <c r="A61" s="174" t="s">
        <v>364</v>
      </c>
      <c r="B61" s="175" t="s">
        <v>365</v>
      </c>
      <c r="C61" s="176" t="s">
        <v>366</v>
      </c>
      <c r="D61" s="172" t="s">
        <v>330</v>
      </c>
      <c r="E61" s="172">
        <f>1.67+0.9+0.24</f>
        <v>2.81</v>
      </c>
      <c r="F61" s="233">
        <f t="shared" si="16"/>
        <v>321893.59</v>
      </c>
      <c r="G61" s="233">
        <f t="shared" si="25"/>
        <v>904520.99</v>
      </c>
      <c r="J61" s="436"/>
      <c r="K61" s="437">
        <v>571608</v>
      </c>
      <c r="L61" s="427"/>
      <c r="M61" s="427">
        <f>2.81*$N$11</f>
        <v>11388</v>
      </c>
      <c r="N61" s="172"/>
      <c r="O61" s="375">
        <f t="shared" si="0"/>
        <v>11388</v>
      </c>
      <c r="P61" s="362">
        <f t="shared" si="17"/>
        <v>582996</v>
      </c>
      <c r="Q61" s="362">
        <f t="shared" si="18"/>
        <v>8257</v>
      </c>
      <c r="R61" s="362">
        <f t="shared" si="19"/>
        <v>9980</v>
      </c>
      <c r="S61" s="362">
        <f t="shared" si="20"/>
        <v>601233</v>
      </c>
      <c r="T61" s="362">
        <f>S61*'НМЦК подряд'!$C$16*'НМЦК подряд'!$E$16</f>
        <v>904521</v>
      </c>
      <c r="U61" s="427">
        <f t="shared" si="24"/>
        <v>11388</v>
      </c>
      <c r="V61" s="234"/>
    </row>
    <row r="62" ht="31.5" spans="1:22">
      <c r="A62" s="174" t="s">
        <v>367</v>
      </c>
      <c r="B62" s="175" t="s">
        <v>368</v>
      </c>
      <c r="C62" s="175" t="s">
        <v>369</v>
      </c>
      <c r="D62" s="172" t="s">
        <v>330</v>
      </c>
      <c r="E62" s="172">
        <v>4.6328</v>
      </c>
      <c r="F62" s="233">
        <f t="shared" si="16"/>
        <v>289602.83</v>
      </c>
      <c r="G62" s="233">
        <f t="shared" si="25"/>
        <v>1341671.99</v>
      </c>
      <c r="J62" s="436"/>
      <c r="K62" s="437">
        <f>356964+489110</f>
        <v>846074</v>
      </c>
      <c r="L62" s="427">
        <f>(2.45+1.06+1.1)*$N$11</f>
        <v>18683</v>
      </c>
      <c r="M62" s="427"/>
      <c r="N62" s="172"/>
      <c r="O62" s="375">
        <f t="shared" si="0"/>
        <v>18683</v>
      </c>
      <c r="P62" s="362">
        <f t="shared" si="17"/>
        <v>864757</v>
      </c>
      <c r="Q62" s="362">
        <f t="shared" si="18"/>
        <v>12247</v>
      </c>
      <c r="R62" s="362">
        <f t="shared" si="19"/>
        <v>14803</v>
      </c>
      <c r="S62" s="362">
        <f t="shared" si="20"/>
        <v>891807</v>
      </c>
      <c r="T62" s="362">
        <f>S62*'НМЦК подряд'!$C$16*'НМЦК подряд'!$E$16</f>
        <v>1341672</v>
      </c>
      <c r="U62" s="427">
        <f t="shared" si="24"/>
        <v>18683</v>
      </c>
      <c r="V62" s="234"/>
    </row>
    <row r="63" spans="1:22">
      <c r="B63" s="176"/>
      <c r="C63" s="173" t="s">
        <v>370</v>
      </c>
      <c r="D63" s="172"/>
      <c r="E63" s="172"/>
      <c r="F63" s="233"/>
      <c r="G63" s="233"/>
      <c r="J63" s="424"/>
      <c r="K63" s="377"/>
      <c r="L63" s="427"/>
      <c r="M63" s="427"/>
      <c r="N63" s="438"/>
      <c r="O63" s="375"/>
      <c r="P63" s="362"/>
      <c r="Q63" s="362"/>
      <c r="R63" s="362"/>
      <c r="S63" s="362"/>
      <c r="T63" s="362"/>
      <c r="U63" s="427">
        <f t="shared" si="24"/>
        <v>0</v>
      </c>
      <c r="V63" s="234"/>
    </row>
    <row r="64" ht="31.5" spans="1:22">
      <c r="A64" s="174" t="s">
        <v>371</v>
      </c>
      <c r="B64" s="175" t="s">
        <v>372</v>
      </c>
      <c r="C64" s="175" t="s">
        <v>373</v>
      </c>
      <c r="D64" s="236" t="s">
        <v>330</v>
      </c>
      <c r="E64" s="172">
        <v>6.0149</v>
      </c>
      <c r="F64" s="233">
        <f t="shared" ref="F64:F70" si="26">T64/E64</f>
        <v>289969.74</v>
      </c>
      <c r="G64" s="233">
        <f>F64*E64</f>
        <v>1744138.99</v>
      </c>
      <c r="J64" s="424"/>
      <c r="K64" s="437">
        <f>463443+635025</f>
        <v>1098468</v>
      </c>
      <c r="L64" s="427">
        <f>(3.7+1.4+1.24)*$N$11</f>
        <v>25694</v>
      </c>
      <c r="M64" s="427"/>
      <c r="N64" s="172"/>
      <c r="O64" s="375">
        <f>L64+M64+N64</f>
        <v>25694</v>
      </c>
      <c r="P64" s="362">
        <f t="shared" ref="P64:P76" si="27">K64+L64+M64+N64</f>
        <v>1124162</v>
      </c>
      <c r="Q64" s="362">
        <f t="shared" ref="Q64:Q87" si="28">P64*$Q$12</f>
        <v>15921</v>
      </c>
      <c r="R64" s="362">
        <f t="shared" ref="R64:R87" si="29">P64*$R$12</f>
        <v>19243</v>
      </c>
      <c r="S64" s="362">
        <f t="shared" ref="S64:S87" si="30">P64+Q64+R64</f>
        <v>1159326</v>
      </c>
      <c r="T64" s="362">
        <f>S64*'НМЦК подряд'!$C$16*'НМЦК подряд'!$E$16</f>
        <v>1744139</v>
      </c>
      <c r="U64" s="427">
        <f t="shared" si="24"/>
        <v>25694</v>
      </c>
      <c r="V64" s="234"/>
    </row>
    <row r="65" ht="31.5" spans="1:23">
      <c r="A65" s="174" t="s">
        <v>374</v>
      </c>
      <c r="B65" s="175" t="s">
        <v>375</v>
      </c>
      <c r="C65" s="176" t="s">
        <v>376</v>
      </c>
      <c r="D65" s="172" t="s">
        <v>377</v>
      </c>
      <c r="E65" s="172" t="s">
        <v>378</v>
      </c>
      <c r="F65" s="233">
        <f t="shared" si="26"/>
        <v>50045.13</v>
      </c>
      <c r="G65" s="233">
        <f t="shared" si="25"/>
        <v>800722.08</v>
      </c>
      <c r="J65" s="436"/>
      <c r="K65" s="437">
        <f>312632+169736+6007</f>
        <v>488375</v>
      </c>
      <c r="L65" s="427"/>
      <c r="M65" s="427"/>
      <c r="N65" s="438">
        <f>E65*0.4275*N11</f>
        <v>27720</v>
      </c>
      <c r="O65" s="375">
        <f t="shared" si="0"/>
        <v>27720</v>
      </c>
      <c r="P65" s="362">
        <f t="shared" si="27"/>
        <v>516095</v>
      </c>
      <c r="Q65" s="362">
        <f t="shared" si="28"/>
        <v>7309</v>
      </c>
      <c r="R65" s="362">
        <f t="shared" si="29"/>
        <v>8834</v>
      </c>
      <c r="S65" s="362">
        <f t="shared" si="30"/>
        <v>532238</v>
      </c>
      <c r="T65" s="362">
        <f>S65*'НМЦК подряд'!$C$16*'НМЦК подряд'!$E$16</f>
        <v>800722</v>
      </c>
      <c r="U65" s="427">
        <f t="shared" si="24"/>
        <v>27720</v>
      </c>
      <c r="V65" s="234"/>
    </row>
    <row r="66" spans="1:23">
      <c r="A66" s="174" t="s">
        <v>379</v>
      </c>
      <c r="B66" s="175" t="s">
        <v>380</v>
      </c>
      <c r="C66" s="176" t="s">
        <v>381</v>
      </c>
      <c r="D66" s="172" t="s">
        <v>270</v>
      </c>
      <c r="E66" s="172">
        <v>5.2</v>
      </c>
      <c r="F66" s="233">
        <f t="shared" si="26"/>
        <v>3214.23</v>
      </c>
      <c r="G66" s="233">
        <f t="shared" ref="G66" si="31">F66*E66</f>
        <v>16714</v>
      </c>
      <c r="J66" s="436"/>
      <c r="K66" s="437">
        <v>10773</v>
      </c>
      <c r="L66" s="427"/>
      <c r="M66" s="427"/>
      <c r="N66" s="438"/>
      <c r="O66" s="375">
        <f t="shared" si="0"/>
        <v>0</v>
      </c>
      <c r="P66" s="362">
        <f t="shared" si="27"/>
        <v>10773</v>
      </c>
      <c r="Q66" s="362">
        <f t="shared" si="28"/>
        <v>153</v>
      </c>
      <c r="R66" s="362">
        <f t="shared" si="29"/>
        <v>184</v>
      </c>
      <c r="S66" s="362">
        <f t="shared" si="30"/>
        <v>11110</v>
      </c>
      <c r="T66" s="362">
        <f>S66*'НМЦК подряд'!$C$16*'НМЦК подряд'!$E$16</f>
        <v>16714</v>
      </c>
      <c r="U66" s="427">
        <f t="shared" si="24"/>
        <v>0</v>
      </c>
      <c r="V66" s="234"/>
    </row>
    <row r="67" ht="31.5" spans="1:23">
      <c r="A67" s="174" t="s">
        <v>382</v>
      </c>
      <c r="B67" s="175" t="s">
        <v>383</v>
      </c>
      <c r="C67" s="176" t="s">
        <v>384</v>
      </c>
      <c r="D67" s="172" t="s">
        <v>284</v>
      </c>
      <c r="E67" s="172">
        <f>2.5+1.4+0.14</f>
        <v>4.04</v>
      </c>
      <c r="F67" s="233">
        <f t="shared" si="26"/>
        <v>154077.72</v>
      </c>
      <c r="G67" s="233">
        <f t="shared" si="25"/>
        <v>622473.99</v>
      </c>
      <c r="J67" s="436"/>
      <c r="K67" s="437">
        <f>384834</f>
        <v>384834</v>
      </c>
      <c r="L67" s="427"/>
      <c r="M67" s="427">
        <f>E67*$N$11</f>
        <v>16373</v>
      </c>
      <c r="N67" s="438"/>
      <c r="O67" s="375">
        <f t="shared" si="0"/>
        <v>16373</v>
      </c>
      <c r="P67" s="362">
        <f t="shared" si="27"/>
        <v>401207</v>
      </c>
      <c r="Q67" s="362">
        <f t="shared" si="28"/>
        <v>5682</v>
      </c>
      <c r="R67" s="362">
        <f t="shared" si="29"/>
        <v>6868</v>
      </c>
      <c r="S67" s="362">
        <f t="shared" si="30"/>
        <v>413757</v>
      </c>
      <c r="T67" s="362">
        <f>S67*'НМЦК подряд'!$C$16*'НМЦК подряд'!$E$16</f>
        <v>622474</v>
      </c>
      <c r="U67" s="427">
        <f t="shared" si="24"/>
        <v>16373</v>
      </c>
      <c r="V67" s="234"/>
    </row>
    <row r="68" spans="1:23">
      <c r="A68" s="174" t="s">
        <v>385</v>
      </c>
      <c r="B68" s="175" t="s">
        <v>386</v>
      </c>
      <c r="C68" s="175" t="s">
        <v>387</v>
      </c>
      <c r="D68" s="172" t="s">
        <v>284</v>
      </c>
      <c r="E68" s="172" t="s">
        <v>388</v>
      </c>
      <c r="F68" s="233">
        <f t="shared" si="26"/>
        <v>168317.39</v>
      </c>
      <c r="G68" s="233">
        <f t="shared" si="25"/>
        <v>77426</v>
      </c>
      <c r="J68" s="436"/>
      <c r="K68" s="437">
        <v>49904</v>
      </c>
      <c r="L68" s="427"/>
      <c r="M68" s="427"/>
      <c r="N68" s="438"/>
      <c r="O68" s="375">
        <f t="shared" si="0"/>
        <v>0</v>
      </c>
      <c r="P68" s="362">
        <f t="shared" si="27"/>
        <v>49904</v>
      </c>
      <c r="Q68" s="362">
        <f t="shared" si="28"/>
        <v>707</v>
      </c>
      <c r="R68" s="362">
        <f t="shared" si="29"/>
        <v>854</v>
      </c>
      <c r="S68" s="362">
        <f t="shared" si="30"/>
        <v>51465</v>
      </c>
      <c r="T68" s="362">
        <f>S68*'НМЦК подряд'!$C$16*'НМЦК подряд'!$E$16</f>
        <v>77426</v>
      </c>
      <c r="U68" s="427">
        <f t="shared" si="24"/>
        <v>0</v>
      </c>
      <c r="V68" s="234"/>
    </row>
    <row r="69" s="153" customFormat="1" ht="47.25" spans="1:23">
      <c r="A69" s="174" t="s">
        <v>389</v>
      </c>
      <c r="B69" s="175" t="s">
        <v>390</v>
      </c>
      <c r="C69" s="175" t="s">
        <v>391</v>
      </c>
      <c r="D69" s="172" t="s">
        <v>377</v>
      </c>
      <c r="E69" s="172">
        <v>90</v>
      </c>
      <c r="F69" s="233">
        <f t="shared" si="26"/>
        <v>84624.03</v>
      </c>
      <c r="G69" s="233">
        <f t="shared" si="25"/>
        <v>7616162.7</v>
      </c>
      <c r="H69" s="152"/>
      <c r="I69" s="152"/>
      <c r="J69" s="436"/>
      <c r="K69" s="437">
        <f>2489260+1121324+39690+74444+84526+902074</f>
        <v>4711318</v>
      </c>
      <c r="L69" s="427"/>
      <c r="M69" s="427">
        <f>9.47*$N$11+3273</f>
        <v>41652</v>
      </c>
      <c r="N69" s="438">
        <f>E69*0.4275*N11</f>
        <v>155926</v>
      </c>
      <c r="O69" s="375">
        <f t="shared" si="0"/>
        <v>197578</v>
      </c>
      <c r="P69" s="362">
        <f t="shared" si="27"/>
        <v>4908896</v>
      </c>
      <c r="Q69" s="362">
        <f t="shared" si="28"/>
        <v>69522</v>
      </c>
      <c r="R69" s="362">
        <f t="shared" si="29"/>
        <v>84030</v>
      </c>
      <c r="S69" s="362">
        <f t="shared" si="30"/>
        <v>5062448</v>
      </c>
      <c r="T69" s="362">
        <f>S69*'НМЦК подряд'!$C$16*'НМЦК подряд'!$E$16</f>
        <v>7616163</v>
      </c>
      <c r="U69" s="427">
        <f t="shared" si="24"/>
        <v>197578</v>
      </c>
      <c r="V69" s="234"/>
      <c r="W69" s="152"/>
    </row>
    <row r="70" ht="18" spans="1:23">
      <c r="A70" s="174" t="s">
        <v>392</v>
      </c>
      <c r="B70" s="175" t="s">
        <v>393</v>
      </c>
      <c r="C70" s="175" t="s">
        <v>394</v>
      </c>
      <c r="D70" s="172" t="s">
        <v>377</v>
      </c>
      <c r="E70" s="172" t="s">
        <v>395</v>
      </c>
      <c r="F70" s="233">
        <f t="shared" si="26"/>
        <v>64300.49</v>
      </c>
      <c r="G70" s="233">
        <f t="shared" si="25"/>
        <v>520833.97</v>
      </c>
      <c r="J70" s="436"/>
      <c r="K70" s="437">
        <f>133924+78315+4158+100971</f>
        <v>317368</v>
      </c>
      <c r="L70" s="427"/>
      <c r="M70" s="427">
        <f>(0.8+0.25+0.01)*N11</f>
        <v>4296</v>
      </c>
      <c r="N70" s="438">
        <f>E70*0.4275*N11</f>
        <v>14033</v>
      </c>
      <c r="O70" s="375">
        <f t="shared" ref="O70:O124" si="32">L70+M70+N70</f>
        <v>18329</v>
      </c>
      <c r="P70" s="362">
        <f t="shared" si="27"/>
        <v>335697</v>
      </c>
      <c r="Q70" s="362">
        <f t="shared" si="28"/>
        <v>4754</v>
      </c>
      <c r="R70" s="362">
        <f t="shared" si="29"/>
        <v>5746</v>
      </c>
      <c r="S70" s="362">
        <f t="shared" si="30"/>
        <v>346197</v>
      </c>
      <c r="T70" s="362">
        <f>S70*'НМЦК подряд'!$C$16*'НМЦК подряд'!$E$16</f>
        <v>520834</v>
      </c>
      <c r="U70" s="427">
        <f t="shared" si="24"/>
        <v>18329</v>
      </c>
      <c r="V70" s="234"/>
    </row>
    <row r="71" spans="1:23">
      <c r="A71" s="156"/>
      <c r="B71" s="176"/>
      <c r="C71" s="187" t="s">
        <v>396</v>
      </c>
      <c r="D71" s="172"/>
      <c r="E71" s="172"/>
      <c r="F71" s="233"/>
      <c r="G71" s="233"/>
      <c r="J71" s="285"/>
      <c r="K71" s="382"/>
      <c r="L71" s="427"/>
      <c r="M71" s="427"/>
      <c r="N71" s="438"/>
      <c r="O71" s="375">
        <f t="shared" si="32"/>
        <v>0</v>
      </c>
      <c r="P71" s="362">
        <f t="shared" si="27"/>
        <v>0</v>
      </c>
      <c r="Q71" s="362">
        <f t="shared" si="28"/>
        <v>0</v>
      </c>
      <c r="R71" s="362">
        <f t="shared" si="29"/>
        <v>0</v>
      </c>
      <c r="S71" s="362">
        <f t="shared" si="30"/>
        <v>0</v>
      </c>
      <c r="T71" s="362">
        <f>S71*'НМЦК подряд'!$C$16*'НМЦК подряд'!$E$16</f>
        <v>0</v>
      </c>
      <c r="U71" s="427">
        <f t="shared" si="24"/>
        <v>0</v>
      </c>
      <c r="V71" s="234"/>
    </row>
    <row r="72" ht="31.5" spans="1:23">
      <c r="A72" s="174" t="s">
        <v>397</v>
      </c>
      <c r="B72" s="175" t="s">
        <v>398</v>
      </c>
      <c r="C72" s="175" t="s">
        <v>399</v>
      </c>
      <c r="D72" s="172" t="s">
        <v>377</v>
      </c>
      <c r="E72" s="172" t="s">
        <v>400</v>
      </c>
      <c r="F72" s="233">
        <f>T72/E72</f>
        <v>86022.19</v>
      </c>
      <c r="G72" s="233">
        <f t="shared" si="25"/>
        <v>20387259.03</v>
      </c>
      <c r="J72" s="436"/>
      <c r="K72" s="437">
        <f>6555058+3446791+122024+2499517</f>
        <v>12623390</v>
      </c>
      <c r="L72" s="427"/>
      <c r="M72" s="427">
        <f>26.24*N11</f>
        <v>106342</v>
      </c>
      <c r="N72" s="438">
        <f>E72*0.4275*N11</f>
        <v>410604</v>
      </c>
      <c r="O72" s="375">
        <f t="shared" si="32"/>
        <v>516946</v>
      </c>
      <c r="P72" s="362">
        <f t="shared" si="27"/>
        <v>13140336</v>
      </c>
      <c r="Q72" s="362">
        <f t="shared" si="28"/>
        <v>186099</v>
      </c>
      <c r="R72" s="362">
        <f t="shared" si="29"/>
        <v>224936</v>
      </c>
      <c r="S72" s="362">
        <f t="shared" si="30"/>
        <v>13551371</v>
      </c>
      <c r="T72" s="362">
        <f>S72*'НМЦК подряд'!$C$16*'НМЦК подряд'!$E$16</f>
        <v>20387260</v>
      </c>
      <c r="U72" s="427">
        <f t="shared" si="24"/>
        <v>516946</v>
      </c>
      <c r="V72" s="234"/>
    </row>
    <row r="73" spans="1:23">
      <c r="A73" s="174" t="s">
        <v>401</v>
      </c>
      <c r="B73" s="175" t="s">
        <v>402</v>
      </c>
      <c r="C73" s="175" t="s">
        <v>381</v>
      </c>
      <c r="D73" s="172" t="s">
        <v>270</v>
      </c>
      <c r="E73" s="172">
        <v>29.2</v>
      </c>
      <c r="F73" s="233">
        <f>T73/E73</f>
        <v>3214.86</v>
      </c>
      <c r="G73" s="233">
        <f t="shared" ref="G73:G74" si="33">F73*E73</f>
        <v>93873.91</v>
      </c>
      <c r="J73" s="436"/>
      <c r="K73" s="437">
        <v>60505</v>
      </c>
      <c r="L73" s="427"/>
      <c r="M73" s="427"/>
      <c r="N73" s="438"/>
      <c r="O73" s="375">
        <f t="shared" si="32"/>
        <v>0</v>
      </c>
      <c r="P73" s="362">
        <f t="shared" si="27"/>
        <v>60505</v>
      </c>
      <c r="Q73" s="362">
        <f t="shared" si="28"/>
        <v>857</v>
      </c>
      <c r="R73" s="362">
        <f t="shared" si="29"/>
        <v>1036</v>
      </c>
      <c r="S73" s="362">
        <f t="shared" si="30"/>
        <v>62398</v>
      </c>
      <c r="T73" s="362">
        <f>S73*'НМЦК подряд'!$C$16*'НМЦК подряд'!$E$16</f>
        <v>93874</v>
      </c>
      <c r="U73" s="427">
        <f t="shared" si="24"/>
        <v>0</v>
      </c>
      <c r="V73" s="234"/>
    </row>
    <row r="74" ht="31.5" spans="1:23">
      <c r="A74" s="174" t="s">
        <v>403</v>
      </c>
      <c r="B74" s="175" t="s">
        <v>404</v>
      </c>
      <c r="C74" s="175" t="s">
        <v>405</v>
      </c>
      <c r="D74" s="172" t="s">
        <v>377</v>
      </c>
      <c r="E74" s="172" t="s">
        <v>406</v>
      </c>
      <c r="F74" s="233">
        <f>T74/E74</f>
        <v>63307.62</v>
      </c>
      <c r="G74" s="233">
        <f t="shared" si="33"/>
        <v>265892</v>
      </c>
      <c r="J74" s="424"/>
      <c r="K74" s="437">
        <f>69411+51895+40608+2156+30</f>
        <v>164100</v>
      </c>
      <c r="L74" s="427"/>
      <c r="M74" s="427"/>
      <c r="N74" s="438">
        <f>E74*0.4275*N11</f>
        <v>7277</v>
      </c>
      <c r="O74" s="375">
        <f t="shared" si="32"/>
        <v>7277</v>
      </c>
      <c r="P74" s="362">
        <f t="shared" si="27"/>
        <v>171377</v>
      </c>
      <c r="Q74" s="362">
        <f t="shared" si="28"/>
        <v>2427</v>
      </c>
      <c r="R74" s="362">
        <f t="shared" si="29"/>
        <v>2934</v>
      </c>
      <c r="S74" s="362">
        <f t="shared" si="30"/>
        <v>176738</v>
      </c>
      <c r="T74" s="362">
        <f>S74*'НМЦК подряд'!$C$16*'НМЦК подряд'!$E$16</f>
        <v>265892</v>
      </c>
      <c r="U74" s="427">
        <f t="shared" si="24"/>
        <v>7277</v>
      </c>
      <c r="V74" s="234"/>
    </row>
    <row r="75" spans="1:23">
      <c r="A75" s="156"/>
      <c r="B75" s="176"/>
      <c r="C75" s="176" t="s">
        <v>407</v>
      </c>
      <c r="D75" s="172"/>
      <c r="E75" s="172"/>
      <c r="F75" s="233"/>
      <c r="G75" s="233"/>
      <c r="J75" s="424"/>
      <c r="K75" s="377"/>
      <c r="L75" s="427"/>
      <c r="M75" s="427"/>
      <c r="N75" s="438"/>
      <c r="O75" s="375">
        <f t="shared" ref="O75:O76" si="34">L75+M75+N75</f>
        <v>0</v>
      </c>
      <c r="P75" s="362">
        <f t="shared" si="27"/>
        <v>0</v>
      </c>
      <c r="Q75" s="362">
        <f t="shared" si="28"/>
        <v>0</v>
      </c>
      <c r="R75" s="362">
        <f t="shared" si="29"/>
        <v>0</v>
      </c>
      <c r="S75" s="362">
        <f t="shared" si="30"/>
        <v>0</v>
      </c>
      <c r="T75" s="362">
        <f>S75*'НМЦК подряд'!$C$16*'НМЦК подряд'!$E$16</f>
        <v>0</v>
      </c>
      <c r="U75" s="427">
        <f t="shared" si="24"/>
        <v>0</v>
      </c>
      <c r="V75" s="234"/>
    </row>
    <row r="76" ht="31.5" spans="1:23">
      <c r="A76" s="174" t="s">
        <v>408</v>
      </c>
      <c r="B76" s="175" t="s">
        <v>409</v>
      </c>
      <c r="C76" s="175" t="s">
        <v>387</v>
      </c>
      <c r="D76" s="172" t="s">
        <v>284</v>
      </c>
      <c r="E76" s="172" t="s">
        <v>388</v>
      </c>
      <c r="F76" s="233">
        <f>T76/E76</f>
        <v>174604.35</v>
      </c>
      <c r="G76" s="233">
        <f t="shared" si="25"/>
        <v>80318</v>
      </c>
      <c r="J76" s="424"/>
      <c r="K76" s="437">
        <v>49904</v>
      </c>
      <c r="L76" s="427"/>
      <c r="M76" s="427">
        <f>E76*N11</f>
        <v>1864</v>
      </c>
      <c r="N76" s="438"/>
      <c r="O76" s="375">
        <f t="shared" si="34"/>
        <v>1864</v>
      </c>
      <c r="P76" s="362">
        <f t="shared" si="27"/>
        <v>51768</v>
      </c>
      <c r="Q76" s="362">
        <f t="shared" si="28"/>
        <v>733</v>
      </c>
      <c r="R76" s="362">
        <f t="shared" si="29"/>
        <v>886</v>
      </c>
      <c r="S76" s="362">
        <f t="shared" si="30"/>
        <v>53387</v>
      </c>
      <c r="T76" s="362">
        <f>S76*'НМЦК подряд'!$C$16*'НМЦК подряд'!$E$16</f>
        <v>80318</v>
      </c>
      <c r="U76" s="427">
        <f t="shared" si="24"/>
        <v>1864</v>
      </c>
      <c r="V76" s="234"/>
    </row>
    <row r="77" ht="31.5" spans="1:23">
      <c r="A77" s="174" t="s">
        <v>410</v>
      </c>
      <c r="B77" s="175" t="s">
        <v>411</v>
      </c>
      <c r="C77" s="176" t="s">
        <v>412</v>
      </c>
      <c r="D77" s="172" t="s">
        <v>377</v>
      </c>
      <c r="E77" s="172" t="s">
        <v>413</v>
      </c>
      <c r="F77" s="233">
        <f>T77/E77</f>
        <v>46224.44</v>
      </c>
      <c r="G77" s="233">
        <f t="shared" si="25"/>
        <v>2542344.2</v>
      </c>
      <c r="J77" s="436"/>
      <c r="K77" s="437">
        <f>259418+633876+594635+21051</f>
        <v>1508980</v>
      </c>
      <c r="L77" s="427"/>
      <c r="M77" s="427">
        <f>(5.6+0.73+0.25+1.9)*N11</f>
        <v>34366</v>
      </c>
      <c r="N77" s="438">
        <f>E77*0.4275*N11</f>
        <v>95288</v>
      </c>
      <c r="O77" s="375">
        <f t="shared" si="32"/>
        <v>129654</v>
      </c>
      <c r="P77" s="362">
        <f t="shared" ref="P77:P132" si="35">K77+L77+M77+N77</f>
        <v>1638634</v>
      </c>
      <c r="Q77" s="362">
        <f t="shared" si="28"/>
        <v>23207</v>
      </c>
      <c r="R77" s="362">
        <f t="shared" si="29"/>
        <v>28050</v>
      </c>
      <c r="S77" s="362">
        <f t="shared" si="30"/>
        <v>1689891</v>
      </c>
      <c r="T77" s="362">
        <f>S77*'НМЦК подряд'!$C$16*'НМЦК подряд'!$E$16</f>
        <v>2542344</v>
      </c>
      <c r="U77" s="427">
        <f t="shared" si="24"/>
        <v>129654</v>
      </c>
      <c r="V77" s="234"/>
    </row>
    <row r="78" ht="18" spans="1:23">
      <c r="A78" s="174" t="s">
        <v>414</v>
      </c>
      <c r="B78" s="175" t="s">
        <v>415</v>
      </c>
      <c r="C78" s="176" t="s">
        <v>416</v>
      </c>
      <c r="D78" s="172" t="s">
        <v>377</v>
      </c>
      <c r="E78" s="172" t="s">
        <v>417</v>
      </c>
      <c r="F78" s="233">
        <f>T78/E78</f>
        <v>15126.64</v>
      </c>
      <c r="G78" s="233">
        <f t="shared" si="25"/>
        <v>166393.04</v>
      </c>
      <c r="J78" s="436"/>
      <c r="K78" s="437">
        <f>27762+79484</f>
        <v>107246</v>
      </c>
      <c r="L78" s="427"/>
      <c r="M78" s="427"/>
      <c r="N78" s="438"/>
      <c r="O78" s="375">
        <f t="shared" si="32"/>
        <v>0</v>
      </c>
      <c r="P78" s="362">
        <f t="shared" si="35"/>
        <v>107246</v>
      </c>
      <c r="Q78" s="362">
        <f t="shared" si="28"/>
        <v>1519</v>
      </c>
      <c r="R78" s="362">
        <f t="shared" si="29"/>
        <v>1836</v>
      </c>
      <c r="S78" s="362">
        <f t="shared" si="30"/>
        <v>110601</v>
      </c>
      <c r="T78" s="362">
        <f>S78*'НМЦК подряд'!$C$16*'НМЦК подряд'!$E$16</f>
        <v>166393</v>
      </c>
      <c r="U78" s="427">
        <f t="shared" si="24"/>
        <v>0</v>
      </c>
      <c r="V78" s="234"/>
    </row>
    <row r="79" ht="18" spans="1:23">
      <c r="A79" s="174" t="s">
        <v>418</v>
      </c>
      <c r="B79" s="175" t="s">
        <v>419</v>
      </c>
      <c r="C79" s="175" t="s">
        <v>420</v>
      </c>
      <c r="D79" s="172" t="s">
        <v>377</v>
      </c>
      <c r="E79" s="172">
        <f>352+470</f>
        <v>822</v>
      </c>
      <c r="F79" s="233">
        <f>T79/E79</f>
        <v>8878.68</v>
      </c>
      <c r="G79" s="233">
        <f t="shared" si="25"/>
        <v>7298274.96</v>
      </c>
      <c r="J79" s="436"/>
      <c r="K79" s="437">
        <f>3002469+744841+956698</f>
        <v>4704008</v>
      </c>
      <c r="L79" s="427"/>
      <c r="M79" s="427"/>
      <c r="N79" s="438"/>
      <c r="O79" s="375">
        <f t="shared" si="32"/>
        <v>0</v>
      </c>
      <c r="P79" s="362">
        <f t="shared" si="35"/>
        <v>4704008</v>
      </c>
      <c r="Q79" s="362">
        <f t="shared" si="28"/>
        <v>66620</v>
      </c>
      <c r="R79" s="362">
        <f t="shared" si="29"/>
        <v>80523</v>
      </c>
      <c r="S79" s="362">
        <f t="shared" si="30"/>
        <v>4851151</v>
      </c>
      <c r="T79" s="362">
        <f>S79*'НМЦК подряд'!$C$16*'НМЦК подряд'!$E$16</f>
        <v>7298278</v>
      </c>
      <c r="U79" s="427">
        <f t="shared" si="24"/>
        <v>0</v>
      </c>
      <c r="V79" s="234"/>
    </row>
    <row r="80" ht="18" spans="1:23">
      <c r="A80" s="174" t="s">
        <v>421</v>
      </c>
      <c r="B80" s="175" t="s">
        <v>422</v>
      </c>
      <c r="C80" s="176" t="s">
        <v>423</v>
      </c>
      <c r="D80" s="172" t="s">
        <v>377</v>
      </c>
      <c r="E80" s="172" t="s">
        <v>424</v>
      </c>
      <c r="F80" s="233">
        <f>T80/E80</f>
        <v>9884.15</v>
      </c>
      <c r="G80" s="233">
        <f t="shared" si="25"/>
        <v>3242001.2</v>
      </c>
      <c r="J80" s="436"/>
      <c r="K80" s="437">
        <f>1198066+891522</f>
        <v>2089588</v>
      </c>
      <c r="L80" s="427"/>
      <c r="M80" s="427"/>
      <c r="N80" s="438"/>
      <c r="O80" s="375">
        <f t="shared" si="32"/>
        <v>0</v>
      </c>
      <c r="P80" s="362">
        <f t="shared" si="35"/>
        <v>2089588</v>
      </c>
      <c r="Q80" s="362">
        <f t="shared" si="28"/>
        <v>29594</v>
      </c>
      <c r="R80" s="362">
        <f t="shared" si="29"/>
        <v>35770</v>
      </c>
      <c r="S80" s="362">
        <f t="shared" si="30"/>
        <v>2154952</v>
      </c>
      <c r="T80" s="362">
        <f>S80*'НМЦК подряд'!$C$16*'НМЦК подряд'!$E$16</f>
        <v>3242002</v>
      </c>
      <c r="U80" s="427">
        <f t="shared" si="24"/>
        <v>0</v>
      </c>
      <c r="V80" s="234"/>
    </row>
    <row r="81" spans="1:23">
      <c r="A81" s="156"/>
      <c r="B81" s="176"/>
      <c r="C81" s="176" t="s">
        <v>425</v>
      </c>
      <c r="D81" s="172"/>
      <c r="E81" s="172"/>
      <c r="F81" s="233"/>
      <c r="G81" s="233"/>
      <c r="J81" s="424"/>
      <c r="K81" s="377"/>
      <c r="L81" s="427"/>
      <c r="M81" s="427"/>
      <c r="N81" s="172"/>
      <c r="O81" s="375">
        <f t="shared" si="32"/>
        <v>0</v>
      </c>
      <c r="P81" s="362">
        <f t="shared" si="35"/>
        <v>0</v>
      </c>
      <c r="Q81" s="362">
        <f t="shared" si="28"/>
        <v>0</v>
      </c>
      <c r="R81" s="362">
        <f t="shared" si="29"/>
        <v>0</v>
      </c>
      <c r="S81" s="362">
        <f t="shared" si="30"/>
        <v>0</v>
      </c>
      <c r="T81" s="362">
        <f>S81*'НМЦК подряд'!$C$16*'НМЦК подряд'!$E$16</f>
        <v>0</v>
      </c>
      <c r="U81" s="427">
        <f t="shared" si="24"/>
        <v>0</v>
      </c>
      <c r="V81" s="234"/>
    </row>
    <row r="82" spans="1:23">
      <c r="A82" s="174" t="s">
        <v>426</v>
      </c>
      <c r="B82" s="175" t="s">
        <v>427</v>
      </c>
      <c r="C82" s="175" t="s">
        <v>428</v>
      </c>
      <c r="D82" s="190" t="s">
        <v>321</v>
      </c>
      <c r="E82" s="190">
        <v>6</v>
      </c>
      <c r="F82" s="233">
        <f t="shared" ref="F82:F87" si="36">T82/E82</f>
        <v>35295.67</v>
      </c>
      <c r="G82" s="233">
        <f t="shared" si="25"/>
        <v>211774.02</v>
      </c>
      <c r="J82" s="436"/>
      <c r="K82" s="437">
        <f>86464+50032</f>
        <v>136496</v>
      </c>
      <c r="L82" s="427"/>
      <c r="M82" s="427"/>
      <c r="N82" s="172"/>
      <c r="O82" s="375">
        <f t="shared" si="32"/>
        <v>0</v>
      </c>
      <c r="P82" s="362">
        <f t="shared" si="35"/>
        <v>136496</v>
      </c>
      <c r="Q82" s="362">
        <f t="shared" si="28"/>
        <v>1933</v>
      </c>
      <c r="R82" s="362">
        <f t="shared" si="29"/>
        <v>2337</v>
      </c>
      <c r="S82" s="362">
        <f t="shared" si="30"/>
        <v>140766</v>
      </c>
      <c r="T82" s="362">
        <f>S82*'НМЦК подряд'!$C$16*'НМЦК подряд'!$E$16</f>
        <v>211774</v>
      </c>
      <c r="U82" s="427">
        <f t="shared" si="24"/>
        <v>0</v>
      </c>
      <c r="V82" s="234"/>
    </row>
    <row r="83" ht="31.5" spans="1:23">
      <c r="A83" s="174" t="s">
        <v>429</v>
      </c>
      <c r="B83" s="175" t="s">
        <v>430</v>
      </c>
      <c r="C83" s="176" t="s">
        <v>431</v>
      </c>
      <c r="D83" s="172" t="s">
        <v>270</v>
      </c>
      <c r="E83" s="172">
        <v>75.6</v>
      </c>
      <c r="F83" s="233">
        <f t="shared" si="36"/>
        <v>5131.24</v>
      </c>
      <c r="G83" s="233">
        <f t="shared" si="25"/>
        <v>387921.74</v>
      </c>
      <c r="J83" s="436"/>
      <c r="K83" s="437">
        <f>225900+8446+9591</f>
        <v>243937</v>
      </c>
      <c r="L83" s="427"/>
      <c r="M83" s="427">
        <f>(1.4969+0.0066)*N11</f>
        <v>6093</v>
      </c>
      <c r="N83" s="172"/>
      <c r="O83" s="440">
        <f t="shared" si="32"/>
        <v>6093</v>
      </c>
      <c r="P83" s="362">
        <f t="shared" si="35"/>
        <v>250030</v>
      </c>
      <c r="Q83" s="362">
        <f t="shared" si="28"/>
        <v>3541</v>
      </c>
      <c r="R83" s="362">
        <f t="shared" si="29"/>
        <v>4280</v>
      </c>
      <c r="S83" s="362">
        <f t="shared" si="30"/>
        <v>257851</v>
      </c>
      <c r="T83" s="362">
        <f>S83*'НМЦК подряд'!$C$16*'НМЦК подряд'!$E$16</f>
        <v>387922</v>
      </c>
      <c r="U83" s="427">
        <f t="shared" si="24"/>
        <v>6093</v>
      </c>
      <c r="V83" s="234"/>
    </row>
    <row r="84" ht="31.5" spans="1:23">
      <c r="A84" s="174" t="s">
        <v>432</v>
      </c>
      <c r="B84" s="175" t="s">
        <v>433</v>
      </c>
      <c r="C84" s="175" t="s">
        <v>434</v>
      </c>
      <c r="D84" s="190" t="s">
        <v>330</v>
      </c>
      <c r="E84" s="190">
        <v>4.6</v>
      </c>
      <c r="F84" s="233">
        <f t="shared" si="36"/>
        <v>274517.17</v>
      </c>
      <c r="G84" s="233">
        <f t="shared" si="25"/>
        <v>1262778.98</v>
      </c>
      <c r="J84" s="436"/>
      <c r="K84" s="437">
        <v>742954</v>
      </c>
      <c r="L84" s="427"/>
      <c r="M84" s="427">
        <f>0.906*N12+24730+9060</f>
        <v>70954</v>
      </c>
      <c r="N84" s="172"/>
      <c r="O84" s="440">
        <f t="shared" si="32"/>
        <v>70954</v>
      </c>
      <c r="P84" s="362">
        <f t="shared" si="35"/>
        <v>813908</v>
      </c>
      <c r="Q84" s="362">
        <f t="shared" si="28"/>
        <v>11527</v>
      </c>
      <c r="R84" s="362">
        <f t="shared" si="29"/>
        <v>13932</v>
      </c>
      <c r="S84" s="362">
        <f t="shared" si="30"/>
        <v>839367</v>
      </c>
      <c r="T84" s="362">
        <f>S84*'НМЦК подряд'!$C$16*'НМЦК подряд'!$E$16</f>
        <v>1262779</v>
      </c>
      <c r="U84" s="427">
        <f t="shared" si="24"/>
        <v>70954</v>
      </c>
      <c r="V84" s="234"/>
    </row>
    <row r="85" spans="1:23">
      <c r="A85" s="174" t="s">
        <v>435</v>
      </c>
      <c r="B85" s="175" t="s">
        <v>436</v>
      </c>
      <c r="C85" s="176" t="s">
        <v>437</v>
      </c>
      <c r="D85" s="190" t="s">
        <v>330</v>
      </c>
      <c r="E85" s="190">
        <v>0.072</v>
      </c>
      <c r="F85" s="233">
        <f t="shared" si="36"/>
        <v>315597.22</v>
      </c>
      <c r="G85" s="233">
        <f t="shared" si="25"/>
        <v>22723</v>
      </c>
      <c r="J85" s="436"/>
      <c r="K85" s="437">
        <v>14646</v>
      </c>
      <c r="L85" s="427"/>
      <c r="M85" s="427"/>
      <c r="N85" s="172"/>
      <c r="O85" s="375">
        <f t="shared" si="32"/>
        <v>0</v>
      </c>
      <c r="P85" s="362">
        <f t="shared" si="35"/>
        <v>14646</v>
      </c>
      <c r="Q85" s="362">
        <f t="shared" si="28"/>
        <v>207</v>
      </c>
      <c r="R85" s="362">
        <f t="shared" si="29"/>
        <v>251</v>
      </c>
      <c r="S85" s="362">
        <f t="shared" si="30"/>
        <v>15104</v>
      </c>
      <c r="T85" s="362">
        <f>S85*'НМЦК подряд'!$C$16*'НМЦК подряд'!$E$16</f>
        <v>22723</v>
      </c>
      <c r="U85" s="427">
        <f t="shared" si="24"/>
        <v>0</v>
      </c>
      <c r="V85" s="234"/>
    </row>
    <row r="86" ht="31.5" spans="1:23">
      <c r="A86" s="174" t="s">
        <v>438</v>
      </c>
      <c r="B86" s="175" t="s">
        <v>439</v>
      </c>
      <c r="C86" s="176" t="s">
        <v>440</v>
      </c>
      <c r="D86" s="190" t="s">
        <v>321</v>
      </c>
      <c r="E86" s="190">
        <v>4</v>
      </c>
      <c r="F86" s="233">
        <f t="shared" si="36"/>
        <v>397589.5</v>
      </c>
      <c r="G86" s="233">
        <f t="shared" si="25"/>
        <v>1590358</v>
      </c>
      <c r="J86" s="436"/>
      <c r="K86" s="437">
        <f>273409+234498+4620+273409+234498+4620-10</f>
        <v>1025044</v>
      </c>
      <c r="L86" s="427"/>
      <c r="M86" s="427"/>
      <c r="N86" s="172"/>
      <c r="O86" s="375">
        <f t="shared" si="32"/>
        <v>0</v>
      </c>
      <c r="P86" s="362">
        <f t="shared" si="35"/>
        <v>1025044</v>
      </c>
      <c r="Q86" s="362">
        <f t="shared" si="28"/>
        <v>14517</v>
      </c>
      <c r="R86" s="362">
        <f t="shared" si="29"/>
        <v>17547</v>
      </c>
      <c r="S86" s="362">
        <f t="shared" si="30"/>
        <v>1057108</v>
      </c>
      <c r="T86" s="362">
        <f>S86*'НМЦК подряд'!$C$16*'НМЦК подряд'!$E$16</f>
        <v>1590358</v>
      </c>
      <c r="U86" s="427">
        <f t="shared" si="24"/>
        <v>0</v>
      </c>
      <c r="V86" s="234"/>
    </row>
    <row r="87" ht="16.5" spans="1:23">
      <c r="A87" s="174" t="s">
        <v>441</v>
      </c>
      <c r="B87" s="235" t="s">
        <v>442</v>
      </c>
      <c r="C87" s="235" t="s">
        <v>443</v>
      </c>
      <c r="D87" s="236" t="s">
        <v>444</v>
      </c>
      <c r="E87" s="236" t="s">
        <v>244</v>
      </c>
      <c r="F87" s="237">
        <f t="shared" si="36"/>
        <v>7429.8</v>
      </c>
      <c r="G87" s="237">
        <f t="shared" si="25"/>
        <v>37149</v>
      </c>
      <c r="H87" s="285"/>
      <c r="I87" s="285"/>
      <c r="J87" s="376"/>
      <c r="K87" s="437">
        <f>9281+14663</f>
        <v>23944</v>
      </c>
      <c r="L87" s="385"/>
      <c r="M87" s="427"/>
      <c r="N87" s="172"/>
      <c r="O87" s="375">
        <f t="shared" si="32"/>
        <v>0</v>
      </c>
      <c r="P87" s="362">
        <f t="shared" si="35"/>
        <v>23944</v>
      </c>
      <c r="Q87" s="362">
        <f t="shared" si="28"/>
        <v>339</v>
      </c>
      <c r="R87" s="362">
        <f t="shared" si="29"/>
        <v>410</v>
      </c>
      <c r="S87" s="362">
        <f t="shared" si="30"/>
        <v>24693</v>
      </c>
      <c r="T87" s="362">
        <f>S87*'НМЦК подряд'!$C$16*'НМЦК подряд'!$E$16</f>
        <v>37149</v>
      </c>
      <c r="U87" s="427">
        <f t="shared" si="24"/>
        <v>0</v>
      </c>
      <c r="V87" s="234"/>
      <c r="W87" s="285"/>
    </row>
    <row r="88" ht="16.5" spans="1:23">
      <c r="A88" s="238"/>
      <c r="B88" s="378"/>
      <c r="C88" s="239" t="s">
        <v>445</v>
      </c>
      <c r="D88" s="240"/>
      <c r="E88" s="240"/>
      <c r="F88" s="270"/>
      <c r="G88" s="242">
        <f>SUM(G49:G87)</f>
        <v>124730534.06</v>
      </c>
      <c r="H88" s="428"/>
      <c r="I88" s="428"/>
      <c r="J88" s="430"/>
      <c r="K88" s="441">
        <f>SUM(K49:K87)</f>
        <v>78038311</v>
      </c>
      <c r="L88" s="441"/>
      <c r="M88" s="441"/>
      <c r="N88" s="441"/>
      <c r="O88" s="441">
        <f t="shared" ref="O88:U88" si="37">SUM(O49:O87)</f>
        <v>2355089</v>
      </c>
      <c r="P88" s="441">
        <f t="shared" si="37"/>
        <v>80393400</v>
      </c>
      <c r="Q88" s="441">
        <f t="shared" si="37"/>
        <v>1138565</v>
      </c>
      <c r="R88" s="441">
        <f t="shared" si="37"/>
        <v>1376172</v>
      </c>
      <c r="S88" s="441">
        <f t="shared" si="37"/>
        <v>82908137</v>
      </c>
      <c r="T88" s="441">
        <f t="shared" si="37"/>
        <v>124730537</v>
      </c>
      <c r="U88" s="441">
        <f t="shared" si="37"/>
        <v>2355089</v>
      </c>
      <c r="V88" s="234"/>
      <c r="W88" s="286"/>
    </row>
    <row r="89" spans="1:23">
      <c r="A89" s="282" t="s">
        <v>446</v>
      </c>
      <c r="B89" s="247"/>
      <c r="C89" s="247"/>
      <c r="D89" s="247"/>
      <c r="E89" s="247"/>
      <c r="F89" s="276"/>
      <c r="G89" s="247"/>
      <c r="H89" s="285"/>
      <c r="I89" s="285"/>
      <c r="J89" s="442"/>
      <c r="K89" s="377">
        <f>78038311-K88</f>
        <v>0</v>
      </c>
      <c r="L89" s="443"/>
      <c r="M89" s="427"/>
      <c r="N89" s="172"/>
      <c r="O89" s="375">
        <f t="shared" si="32"/>
        <v>0</v>
      </c>
      <c r="P89" s="362">
        <f t="shared" si="35"/>
        <v>0</v>
      </c>
      <c r="Q89" s="362">
        <f>P89*$Q$12</f>
        <v>0</v>
      </c>
      <c r="R89" s="362">
        <f>P89*$R$12</f>
        <v>0</v>
      </c>
      <c r="S89" s="362">
        <f>K89+Q89+R89</f>
        <v>0</v>
      </c>
      <c r="T89" s="362">
        <f>S89*'НМЦК подряд'!$C$16*'НМЦК подряд'!$E$16</f>
        <v>0</v>
      </c>
      <c r="U89" s="427">
        <f>L89+M89+N89</f>
        <v>0</v>
      </c>
      <c r="V89" s="234"/>
      <c r="W89" s="285"/>
    </row>
    <row r="90" ht="18.75" spans="1:23">
      <c r="A90" s="174" t="s">
        <v>447</v>
      </c>
      <c r="B90" s="235" t="s">
        <v>448</v>
      </c>
      <c r="C90" s="235" t="s">
        <v>449</v>
      </c>
      <c r="D90" s="236" t="s">
        <v>377</v>
      </c>
      <c r="E90" s="236" t="s">
        <v>450</v>
      </c>
      <c r="F90" s="237">
        <f>T90/E90</f>
        <v>2893.68</v>
      </c>
      <c r="G90" s="237">
        <f t="shared" ref="G90" si="38">F90*E90</f>
        <v>3614206.32</v>
      </c>
      <c r="J90" s="424"/>
      <c r="K90" s="437">
        <v>2329487</v>
      </c>
      <c r="L90" s="427"/>
      <c r="M90" s="427"/>
      <c r="N90" s="172"/>
      <c r="O90" s="375">
        <f t="shared" si="32"/>
        <v>0</v>
      </c>
      <c r="P90" s="362">
        <f t="shared" si="35"/>
        <v>2329487</v>
      </c>
      <c r="Q90" s="362">
        <f>P90*$Q$12</f>
        <v>32991</v>
      </c>
      <c r="R90" s="362">
        <f>P90*$R$12</f>
        <v>39876</v>
      </c>
      <c r="S90" s="362">
        <f>P90+Q90+R90</f>
        <v>2402354</v>
      </c>
      <c r="T90" s="362">
        <f>S90*'НМЦК подряд'!$C$16*'НМЦК подряд'!$E$16</f>
        <v>3614204</v>
      </c>
      <c r="U90" s="427">
        <f>L90+M90+N90</f>
        <v>0</v>
      </c>
      <c r="V90" s="234"/>
    </row>
    <row r="91" ht="16.5" spans="1:23">
      <c r="A91" s="238"/>
      <c r="B91" s="378"/>
      <c r="C91" s="239" t="s">
        <v>451</v>
      </c>
      <c r="D91" s="240"/>
      <c r="E91" s="240"/>
      <c r="F91" s="270"/>
      <c r="G91" s="242">
        <f>SUM(G90)</f>
        <v>3614206.32</v>
      </c>
      <c r="H91" s="444">
        <f t="shared" ref="H91:K91" si="39">SUM(H90)</f>
        <v>0</v>
      </c>
      <c r="I91" s="305">
        <f t="shared" si="39"/>
        <v>0</v>
      </c>
      <c r="J91" s="445">
        <f t="shared" si="39"/>
        <v>0</v>
      </c>
      <c r="K91" s="446">
        <f t="shared" si="39"/>
        <v>2329487</v>
      </c>
      <c r="L91" s="446"/>
      <c r="M91" s="446"/>
      <c r="N91" s="446"/>
      <c r="O91" s="446">
        <f t="shared" ref="O91:U91" si="40">SUM(O90)</f>
        <v>0</v>
      </c>
      <c r="P91" s="446">
        <f t="shared" si="40"/>
        <v>2329487</v>
      </c>
      <c r="Q91" s="446">
        <f t="shared" si="40"/>
        <v>32991</v>
      </c>
      <c r="R91" s="446">
        <f t="shared" si="40"/>
        <v>39876</v>
      </c>
      <c r="S91" s="446">
        <f t="shared" si="40"/>
        <v>2402354</v>
      </c>
      <c r="T91" s="446">
        <f t="shared" si="40"/>
        <v>3614204</v>
      </c>
      <c r="U91" s="446">
        <f t="shared" si="40"/>
        <v>0</v>
      </c>
      <c r="V91" s="234"/>
    </row>
    <row r="92" spans="1:23">
      <c r="A92" s="282" t="s">
        <v>452</v>
      </c>
      <c r="B92" s="247"/>
      <c r="C92" s="247"/>
      <c r="D92" s="247"/>
      <c r="E92" s="247"/>
      <c r="F92" s="276"/>
      <c r="G92" s="247"/>
      <c r="H92" s="285"/>
      <c r="I92" s="285"/>
      <c r="J92" s="442"/>
      <c r="K92" s="382"/>
      <c r="L92" s="443"/>
      <c r="M92" s="427"/>
      <c r="N92" s="172"/>
      <c r="O92" s="375">
        <f t="shared" si="32"/>
        <v>0</v>
      </c>
      <c r="P92" s="362">
        <f t="shared" si="35"/>
        <v>0</v>
      </c>
      <c r="Q92" s="362">
        <f>P92*$Q$12</f>
        <v>0</v>
      </c>
      <c r="R92" s="362">
        <f>P92*$R$12</f>
        <v>0</v>
      </c>
      <c r="S92" s="362">
        <f>K92+Q92+R92</f>
        <v>0</v>
      </c>
      <c r="T92" s="362">
        <f>S92*'НМЦК подряд'!$C$16*'НМЦК подряд'!$E$16</f>
        <v>0</v>
      </c>
      <c r="U92" s="427">
        <f>L92+M92+N92</f>
        <v>0</v>
      </c>
      <c r="V92" s="234"/>
    </row>
    <row r="93" ht="31.5" spans="1:23">
      <c r="A93" s="174" t="s">
        <v>453</v>
      </c>
      <c r="B93" s="176" t="s">
        <v>454</v>
      </c>
      <c r="C93" s="175" t="s">
        <v>455</v>
      </c>
      <c r="D93" s="190" t="s">
        <v>321</v>
      </c>
      <c r="E93" s="190">
        <v>1</v>
      </c>
      <c r="F93" s="233">
        <f>T93/E93</f>
        <v>194234</v>
      </c>
      <c r="G93" s="237">
        <f t="shared" ref="G93:G95" si="41">F93*E93</f>
        <v>194234</v>
      </c>
      <c r="J93" s="436">
        <f>118+1234+139+381+1179+49</f>
        <v>3100</v>
      </c>
      <c r="K93" s="437">
        <f>6486+49534+5498+14940+47124+1609</f>
        <v>125191</v>
      </c>
      <c r="L93" s="427"/>
      <c r="M93" s="427"/>
      <c r="N93" s="438"/>
      <c r="O93" s="375">
        <f t="shared" si="32"/>
        <v>0</v>
      </c>
      <c r="P93" s="362">
        <f t="shared" si="35"/>
        <v>125191</v>
      </c>
      <c r="Q93" s="362">
        <f>P93*$Q$12</f>
        <v>1773</v>
      </c>
      <c r="R93" s="362">
        <f>P93*$R$12</f>
        <v>2143</v>
      </c>
      <c r="S93" s="362">
        <f>P93+Q93+R93</f>
        <v>129107</v>
      </c>
      <c r="T93" s="362">
        <f>S93*'НМЦК подряд'!$C$16*'НМЦК подряд'!$E$16</f>
        <v>194234</v>
      </c>
      <c r="U93" s="427">
        <f>L93+M93+N93</f>
        <v>0</v>
      </c>
      <c r="V93" s="234"/>
    </row>
    <row r="94" ht="31.5" spans="1:23">
      <c r="A94" s="174" t="s">
        <v>456</v>
      </c>
      <c r="B94" s="176" t="s">
        <v>457</v>
      </c>
      <c r="C94" s="175" t="s">
        <v>458</v>
      </c>
      <c r="D94" s="190" t="s">
        <v>321</v>
      </c>
      <c r="E94" s="190">
        <v>1</v>
      </c>
      <c r="F94" s="233">
        <f>T94/E94</f>
        <v>1795</v>
      </c>
      <c r="G94" s="237">
        <f t="shared" si="41"/>
        <v>1795</v>
      </c>
      <c r="J94" s="436">
        <v>67</v>
      </c>
      <c r="K94" s="437">
        <f>276+881</f>
        <v>1157</v>
      </c>
      <c r="L94" s="427"/>
      <c r="M94" s="427"/>
      <c r="N94" s="438"/>
      <c r="O94" s="375">
        <f t="shared" si="32"/>
        <v>0</v>
      </c>
      <c r="P94" s="362">
        <f t="shared" si="35"/>
        <v>1157</v>
      </c>
      <c r="Q94" s="362">
        <f>P94*$Q$12</f>
        <v>16</v>
      </c>
      <c r="R94" s="362">
        <f>P94*$R$12</f>
        <v>20</v>
      </c>
      <c r="S94" s="362">
        <f>P94+Q94+R94</f>
        <v>1193</v>
      </c>
      <c r="T94" s="362">
        <f>S94*'НМЦК подряд'!$C$16*'НМЦК подряд'!$E$16</f>
        <v>1795</v>
      </c>
      <c r="U94" s="427">
        <f>L94+M94+N94</f>
        <v>0</v>
      </c>
      <c r="V94" s="234"/>
    </row>
    <row r="95" ht="32.25" spans="1:23">
      <c r="A95" s="174" t="s">
        <v>459</v>
      </c>
      <c r="B95" s="235" t="s">
        <v>460</v>
      </c>
      <c r="C95" s="235" t="s">
        <v>461</v>
      </c>
      <c r="D95" s="236" t="s">
        <v>321</v>
      </c>
      <c r="E95" s="236">
        <v>1</v>
      </c>
      <c r="F95" s="237">
        <f>T95/E95</f>
        <v>557974</v>
      </c>
      <c r="G95" s="237">
        <f t="shared" si="41"/>
        <v>557974</v>
      </c>
      <c r="J95" s="436">
        <v>9323</v>
      </c>
      <c r="K95" s="437">
        <f>414048-K94-K93</f>
        <v>287700</v>
      </c>
      <c r="L95" s="427">
        <f>17.75*N11</f>
        <v>71935</v>
      </c>
      <c r="M95" s="427"/>
      <c r="N95" s="438"/>
      <c r="O95" s="375">
        <f t="shared" si="32"/>
        <v>71935</v>
      </c>
      <c r="P95" s="362">
        <f t="shared" si="35"/>
        <v>359635</v>
      </c>
      <c r="Q95" s="362">
        <f>P95*$Q$12</f>
        <v>5093</v>
      </c>
      <c r="R95" s="362">
        <f>P95*$R$12</f>
        <v>6156</v>
      </c>
      <c r="S95" s="362">
        <f>P95+Q95+R95</f>
        <v>370884</v>
      </c>
      <c r="T95" s="362">
        <f>S95*'НМЦК подряд'!$C$16*'НМЦК подряд'!$E$16</f>
        <v>557974</v>
      </c>
      <c r="U95" s="427">
        <f>L95+M95+N95</f>
        <v>71935</v>
      </c>
      <c r="V95" s="234"/>
    </row>
    <row r="96" ht="16.5" spans="1:23">
      <c r="A96" s="238"/>
      <c r="B96" s="378"/>
      <c r="C96" s="239" t="s">
        <v>462</v>
      </c>
      <c r="D96" s="240"/>
      <c r="E96" s="240"/>
      <c r="F96" s="270"/>
      <c r="G96" s="242">
        <f>SUM(G93:G95)</f>
        <v>754003</v>
      </c>
      <c r="J96" s="436"/>
      <c r="K96" s="441">
        <f>SUM(K93:K95)</f>
        <v>414048</v>
      </c>
      <c r="L96" s="441"/>
      <c r="M96" s="441"/>
      <c r="N96" s="441"/>
      <c r="O96" s="441">
        <f t="shared" ref="O96:U96" si="42">SUM(O93:O95)</f>
        <v>71935</v>
      </c>
      <c r="P96" s="441">
        <f t="shared" si="42"/>
        <v>485983</v>
      </c>
      <c r="Q96" s="441">
        <f t="shared" si="42"/>
        <v>6882</v>
      </c>
      <c r="R96" s="441">
        <f t="shared" si="42"/>
        <v>8319</v>
      </c>
      <c r="S96" s="441">
        <f t="shared" si="42"/>
        <v>501184</v>
      </c>
      <c r="T96" s="441">
        <f t="shared" si="42"/>
        <v>754003</v>
      </c>
      <c r="U96" s="441">
        <f t="shared" si="42"/>
        <v>71935</v>
      </c>
      <c r="V96" s="234"/>
    </row>
    <row r="97" spans="1:22">
      <c r="A97" s="282" t="s">
        <v>463</v>
      </c>
      <c r="B97" s="247"/>
      <c r="C97" s="247"/>
      <c r="D97" s="247"/>
      <c r="E97" s="247"/>
      <c r="F97" s="276"/>
      <c r="G97" s="247"/>
      <c r="J97" s="424"/>
      <c r="K97" s="382"/>
      <c r="L97" s="427"/>
      <c r="M97" s="427"/>
      <c r="N97" s="438"/>
      <c r="O97" s="375">
        <f t="shared" si="32"/>
        <v>0</v>
      </c>
      <c r="P97" s="362">
        <f t="shared" si="35"/>
        <v>0</v>
      </c>
      <c r="Q97" s="362">
        <f t="shared" ref="Q97:Q122" si="43">P97*$Q$12</f>
        <v>0</v>
      </c>
      <c r="R97" s="362">
        <f t="shared" ref="R97:R122" si="44">P97*$R$12</f>
        <v>0</v>
      </c>
      <c r="S97" s="362">
        <f>K97+Q97+R97</f>
        <v>0</v>
      </c>
      <c r="T97" s="362">
        <f>S97*'НМЦК подряд'!$C$16*'НМЦК подряд'!$E$16</f>
        <v>0</v>
      </c>
      <c r="U97" s="427">
        <f t="shared" ref="U97:U122" si="45">L97+M97+N97</f>
        <v>0</v>
      </c>
      <c r="V97" s="234"/>
    </row>
    <row r="98" spans="1:22">
      <c r="A98" s="282" t="s">
        <v>464</v>
      </c>
      <c r="B98" s="247"/>
      <c r="C98" s="247"/>
      <c r="D98" s="247"/>
      <c r="E98" s="247"/>
      <c r="F98" s="233"/>
      <c r="G98" s="176"/>
      <c r="J98" s="424"/>
      <c r="K98" s="382"/>
      <c r="L98" s="427"/>
      <c r="M98" s="427"/>
      <c r="N98" s="438"/>
      <c r="O98" s="375">
        <f t="shared" si="32"/>
        <v>0</v>
      </c>
      <c r="P98" s="362">
        <f t="shared" si="35"/>
        <v>0</v>
      </c>
      <c r="Q98" s="362">
        <f t="shared" si="43"/>
        <v>0</v>
      </c>
      <c r="R98" s="362">
        <f t="shared" si="44"/>
        <v>0</v>
      </c>
      <c r="S98" s="362">
        <f>K98+Q98+R98</f>
        <v>0</v>
      </c>
      <c r="T98" s="362">
        <f>S98*'НМЦК подряд'!$C$16*'НМЦК подряд'!$E$16</f>
        <v>0</v>
      </c>
      <c r="U98" s="427">
        <f t="shared" si="45"/>
        <v>0</v>
      </c>
      <c r="V98" s="234"/>
    </row>
    <row r="99" spans="1:22">
      <c r="A99" s="176"/>
      <c r="B99" s="176"/>
      <c r="C99" s="188" t="s">
        <v>465</v>
      </c>
      <c r="D99" s="172"/>
      <c r="E99" s="172"/>
      <c r="F99" s="233"/>
      <c r="G99" s="176"/>
      <c r="J99" s="424"/>
      <c r="K99" s="382"/>
      <c r="L99" s="427"/>
      <c r="M99" s="427"/>
      <c r="N99" s="438"/>
      <c r="O99" s="375">
        <f t="shared" si="32"/>
        <v>0</v>
      </c>
      <c r="P99" s="362">
        <f t="shared" si="35"/>
        <v>0</v>
      </c>
      <c r="Q99" s="362">
        <f t="shared" si="43"/>
        <v>0</v>
      </c>
      <c r="R99" s="362">
        <f t="shared" si="44"/>
        <v>0</v>
      </c>
      <c r="S99" s="362">
        <f>K99+Q99+R99</f>
        <v>0</v>
      </c>
      <c r="T99" s="362">
        <f>S99*'НМЦК подряд'!$C$16*'НМЦК подряд'!$E$16</f>
        <v>0</v>
      </c>
      <c r="U99" s="427">
        <f t="shared" si="45"/>
        <v>0</v>
      </c>
      <c r="V99" s="234"/>
    </row>
    <row r="100" ht="31.5" spans="1:22">
      <c r="A100" s="174" t="s">
        <v>466</v>
      </c>
      <c r="B100" s="176" t="s">
        <v>467</v>
      </c>
      <c r="C100" s="175" t="s">
        <v>468</v>
      </c>
      <c r="D100" s="172" t="s">
        <v>354</v>
      </c>
      <c r="E100" s="172" t="s">
        <v>469</v>
      </c>
      <c r="F100" s="233">
        <f>T100/E100</f>
        <v>426.41</v>
      </c>
      <c r="G100" s="237">
        <f t="shared" ref="G100:G103" si="46">F100*E100</f>
        <v>55433.3</v>
      </c>
      <c r="J100" s="424"/>
      <c r="K100" s="377">
        <f>31264+121204/670.7*13*1.9</f>
        <v>35728</v>
      </c>
      <c r="L100" s="427"/>
      <c r="M100" s="427"/>
      <c r="N100" s="438"/>
      <c r="O100" s="375">
        <f t="shared" si="32"/>
        <v>0</v>
      </c>
      <c r="P100" s="362">
        <f t="shared" si="35"/>
        <v>35728</v>
      </c>
      <c r="Q100" s="362">
        <f t="shared" si="43"/>
        <v>506</v>
      </c>
      <c r="R100" s="362">
        <f t="shared" si="44"/>
        <v>612</v>
      </c>
      <c r="S100" s="362">
        <f t="shared" ref="S100:S122" si="47">P100+Q100+R100</f>
        <v>36846</v>
      </c>
      <c r="T100" s="362">
        <f>S100*'НМЦК подряд'!$C$16*'НМЦК подряд'!$E$16</f>
        <v>55433</v>
      </c>
      <c r="U100" s="427">
        <f t="shared" si="45"/>
        <v>0</v>
      </c>
      <c r="V100" s="234"/>
    </row>
    <row r="101" ht="47.25" spans="1:22">
      <c r="A101" s="174" t="s">
        <v>470</v>
      </c>
      <c r="B101" s="176" t="s">
        <v>471</v>
      </c>
      <c r="C101" s="175" t="s">
        <v>472</v>
      </c>
      <c r="D101" s="172" t="s">
        <v>377</v>
      </c>
      <c r="E101" s="172">
        <v>505</v>
      </c>
      <c r="F101" s="233">
        <f>T101/E101</f>
        <v>449.55</v>
      </c>
      <c r="G101" s="237">
        <f t="shared" si="46"/>
        <v>227022.75</v>
      </c>
      <c r="J101" s="424"/>
      <c r="K101" s="377">
        <f>29585+121204/670.7*380*1.7</f>
        <v>146325</v>
      </c>
      <c r="L101" s="427"/>
      <c r="M101" s="427"/>
      <c r="N101" s="438"/>
      <c r="O101" s="375">
        <f t="shared" si="32"/>
        <v>0</v>
      </c>
      <c r="P101" s="362">
        <f t="shared" si="35"/>
        <v>146325</v>
      </c>
      <c r="Q101" s="362">
        <f t="shared" si="43"/>
        <v>2072</v>
      </c>
      <c r="R101" s="362">
        <f t="shared" si="44"/>
        <v>2505</v>
      </c>
      <c r="S101" s="362">
        <f t="shared" si="47"/>
        <v>150902</v>
      </c>
      <c r="T101" s="362">
        <f>S101*'НМЦК подряд'!$C$16*'НМЦК подряд'!$E$16</f>
        <v>227023</v>
      </c>
      <c r="U101" s="427">
        <f t="shared" si="45"/>
        <v>0</v>
      </c>
      <c r="V101" s="234"/>
    </row>
    <row r="102" ht="78.75" spans="1:22">
      <c r="A102" s="174" t="s">
        <v>473</v>
      </c>
      <c r="B102" s="176" t="s">
        <v>474</v>
      </c>
      <c r="C102" s="175" t="s">
        <v>475</v>
      </c>
      <c r="D102" s="172" t="s">
        <v>377</v>
      </c>
      <c r="E102" s="172">
        <v>505</v>
      </c>
      <c r="F102" s="233">
        <f>T102/E102</f>
        <v>186.28</v>
      </c>
      <c r="G102" s="237">
        <f t="shared" si="46"/>
        <v>94071.4</v>
      </c>
      <c r="H102" s="152" t="s">
        <v>476</v>
      </c>
      <c r="J102" s="424"/>
      <c r="K102" s="377">
        <v>60632</v>
      </c>
      <c r="L102" s="427"/>
      <c r="M102" s="427"/>
      <c r="N102" s="438"/>
      <c r="O102" s="375">
        <f t="shared" si="32"/>
        <v>0</v>
      </c>
      <c r="P102" s="362">
        <f t="shared" si="35"/>
        <v>60632</v>
      </c>
      <c r="Q102" s="362">
        <f t="shared" si="43"/>
        <v>859</v>
      </c>
      <c r="R102" s="362">
        <f t="shared" si="44"/>
        <v>1038</v>
      </c>
      <c r="S102" s="362">
        <f t="shared" si="47"/>
        <v>62529</v>
      </c>
      <c r="T102" s="362">
        <f>S102*'НМЦК подряд'!$C$16*'НМЦК подряд'!$E$16</f>
        <v>94071</v>
      </c>
      <c r="U102" s="427">
        <f t="shared" si="45"/>
        <v>0</v>
      </c>
      <c r="V102" s="234"/>
    </row>
    <row r="103" ht="18" spans="1:22">
      <c r="A103" s="287" t="s">
        <v>477</v>
      </c>
      <c r="B103" s="291" t="s">
        <v>478</v>
      </c>
      <c r="C103" s="235" t="s">
        <v>479</v>
      </c>
      <c r="D103" s="236" t="s">
        <v>377</v>
      </c>
      <c r="E103" s="236">
        <v>505</v>
      </c>
      <c r="F103" s="233">
        <f>T103/E103</f>
        <v>70.57</v>
      </c>
      <c r="G103" s="237">
        <f t="shared" si="46"/>
        <v>35637.85</v>
      </c>
      <c r="J103" s="424"/>
      <c r="K103" s="377">
        <f>13278+9691</f>
        <v>22969</v>
      </c>
      <c r="L103" s="427"/>
      <c r="M103" s="427"/>
      <c r="N103" s="438"/>
      <c r="O103" s="375">
        <f t="shared" si="32"/>
        <v>0</v>
      </c>
      <c r="P103" s="362">
        <f t="shared" si="35"/>
        <v>22969</v>
      </c>
      <c r="Q103" s="362">
        <f t="shared" si="43"/>
        <v>325</v>
      </c>
      <c r="R103" s="362">
        <f t="shared" si="44"/>
        <v>393</v>
      </c>
      <c r="S103" s="362">
        <f t="shared" si="47"/>
        <v>23687</v>
      </c>
      <c r="T103" s="362">
        <f>S103*'НМЦК подряд'!$C$16*'НМЦК подряд'!$E$16</f>
        <v>35636</v>
      </c>
      <c r="U103" s="427">
        <f t="shared" si="45"/>
        <v>0</v>
      </c>
      <c r="V103" s="234"/>
    </row>
    <row r="104" ht="31.5" spans="1:22">
      <c r="A104" s="189"/>
      <c r="B104" s="191"/>
      <c r="C104" s="192" t="s">
        <v>480</v>
      </c>
      <c r="D104" s="191"/>
      <c r="E104" s="191"/>
      <c r="F104" s="288"/>
      <c r="G104" s="176"/>
      <c r="J104" s="424"/>
      <c r="K104" s="382"/>
      <c r="L104" s="427"/>
      <c r="M104" s="427"/>
      <c r="N104" s="438"/>
      <c r="O104" s="375">
        <f t="shared" si="32"/>
        <v>0</v>
      </c>
      <c r="P104" s="362">
        <f t="shared" si="35"/>
        <v>0</v>
      </c>
      <c r="Q104" s="362">
        <f t="shared" si="43"/>
        <v>0</v>
      </c>
      <c r="R104" s="362">
        <f t="shared" si="44"/>
        <v>0</v>
      </c>
      <c r="S104" s="362">
        <f t="shared" si="47"/>
        <v>0</v>
      </c>
      <c r="T104" s="362">
        <f>S104*'НМЦК подряд'!$C$16*'НМЦК подряд'!$E$16</f>
        <v>0</v>
      </c>
      <c r="U104" s="427">
        <f t="shared" si="45"/>
        <v>0</v>
      </c>
      <c r="V104" s="234"/>
    </row>
    <row r="105" ht="31.5" spans="1:22">
      <c r="A105" s="289" t="s">
        <v>481</v>
      </c>
      <c r="B105" s="245" t="s">
        <v>482</v>
      </c>
      <c r="C105" s="245" t="s">
        <v>483</v>
      </c>
      <c r="D105" s="290" t="s">
        <v>354</v>
      </c>
      <c r="E105" s="290" t="s">
        <v>484</v>
      </c>
      <c r="F105" s="233">
        <f>T105/E105</f>
        <v>3686.54</v>
      </c>
      <c r="G105" s="237">
        <f t="shared" ref="G105:G107" si="48">F105*E105</f>
        <v>704129.14</v>
      </c>
      <c r="J105" s="424"/>
      <c r="K105" s="382">
        <f>158851-27535+226279+4712+50257+2135+3243</f>
        <v>417942</v>
      </c>
      <c r="L105" s="427"/>
      <c r="M105" s="447">
        <f>(0.132+0.3888)*N11</f>
        <v>2110.62</v>
      </c>
      <c r="N105" s="438">
        <f>19.5*0.4275*N11</f>
        <v>33784</v>
      </c>
      <c r="O105" s="440">
        <f t="shared" si="32"/>
        <v>35895</v>
      </c>
      <c r="P105" s="362">
        <f t="shared" si="35"/>
        <v>453837</v>
      </c>
      <c r="Q105" s="362">
        <f t="shared" si="43"/>
        <v>6427</v>
      </c>
      <c r="R105" s="362">
        <f t="shared" si="44"/>
        <v>7769</v>
      </c>
      <c r="S105" s="362">
        <f t="shared" si="47"/>
        <v>468033</v>
      </c>
      <c r="T105" s="362">
        <f>S105*'НМЦК подряд'!$C$16*'НМЦК подряд'!$E$16</f>
        <v>704129</v>
      </c>
      <c r="U105" s="427">
        <f t="shared" si="45"/>
        <v>35895</v>
      </c>
      <c r="V105" s="234"/>
    </row>
    <row r="106" ht="31.5" spans="1:22">
      <c r="A106" s="174" t="s">
        <v>485</v>
      </c>
      <c r="B106" s="175" t="s">
        <v>486</v>
      </c>
      <c r="C106" s="175" t="s">
        <v>487</v>
      </c>
      <c r="D106" s="172" t="s">
        <v>354</v>
      </c>
      <c r="E106" s="172" t="s">
        <v>484</v>
      </c>
      <c r="F106" s="233">
        <f>T106/E106</f>
        <v>3355.42</v>
      </c>
      <c r="G106" s="237">
        <f t="shared" si="48"/>
        <v>640885.22</v>
      </c>
      <c r="J106" s="424"/>
      <c r="K106" s="377">
        <f>106584+28548</f>
        <v>135132</v>
      </c>
      <c r="L106" s="427"/>
      <c r="M106" s="447">
        <f>50.9*1.3953*N10</f>
        <v>277941.91</v>
      </c>
      <c r="N106" s="438"/>
      <c r="O106" s="440">
        <f t="shared" si="32"/>
        <v>277942</v>
      </c>
      <c r="P106" s="362">
        <f t="shared" si="35"/>
        <v>413074</v>
      </c>
      <c r="Q106" s="362">
        <f t="shared" si="43"/>
        <v>5850</v>
      </c>
      <c r="R106" s="362">
        <f t="shared" si="44"/>
        <v>7071</v>
      </c>
      <c r="S106" s="362">
        <f t="shared" si="47"/>
        <v>425995</v>
      </c>
      <c r="T106" s="362">
        <f>S106*'НМЦК подряд'!$C$16*'НМЦК подряд'!$E$16</f>
        <v>640885</v>
      </c>
      <c r="U106" s="427">
        <f t="shared" si="45"/>
        <v>277942</v>
      </c>
      <c r="V106" s="234"/>
    </row>
    <row r="107" ht="31.5" spans="1:22">
      <c r="A107" s="174" t="s">
        <v>488</v>
      </c>
      <c r="B107" s="176" t="s">
        <v>489</v>
      </c>
      <c r="C107" s="175" t="s">
        <v>490</v>
      </c>
      <c r="D107" s="172" t="s">
        <v>377</v>
      </c>
      <c r="E107" s="172">
        <v>71.9</v>
      </c>
      <c r="F107" s="233">
        <f>T107/E107</f>
        <v>4782.11</v>
      </c>
      <c r="G107" s="233">
        <f t="shared" si="48"/>
        <v>343833.71</v>
      </c>
      <c r="I107" s="152">
        <v>71.9</v>
      </c>
      <c r="J107" s="424"/>
      <c r="K107" s="377">
        <f>63869+157744</f>
        <v>221613</v>
      </c>
      <c r="L107" s="427"/>
      <c r="M107" s="427"/>
      <c r="N107" s="438"/>
      <c r="O107" s="375">
        <f t="shared" si="32"/>
        <v>0</v>
      </c>
      <c r="P107" s="362">
        <f t="shared" si="35"/>
        <v>221613</v>
      </c>
      <c r="Q107" s="362">
        <f t="shared" si="43"/>
        <v>3139</v>
      </c>
      <c r="R107" s="362">
        <f t="shared" si="44"/>
        <v>3794</v>
      </c>
      <c r="S107" s="362">
        <f t="shared" si="47"/>
        <v>228546</v>
      </c>
      <c r="T107" s="362">
        <f>S107*'НМЦК подряд'!$C$16*'НМЦК подряд'!$E$16</f>
        <v>343834</v>
      </c>
      <c r="U107" s="427">
        <f t="shared" si="45"/>
        <v>0</v>
      </c>
      <c r="V107" s="234"/>
    </row>
    <row r="108" ht="31.5" spans="1:22">
      <c r="A108" s="156"/>
      <c r="B108" s="191"/>
      <c r="C108" s="192" t="s">
        <v>491</v>
      </c>
      <c r="D108" s="191"/>
      <c r="E108" s="191"/>
      <c r="F108" s="233"/>
      <c r="G108" s="176"/>
      <c r="J108" s="424"/>
      <c r="K108" s="382"/>
      <c r="L108" s="427"/>
      <c r="M108" s="427"/>
      <c r="N108" s="438"/>
      <c r="O108" s="375">
        <f t="shared" si="32"/>
        <v>0</v>
      </c>
      <c r="P108" s="362">
        <f t="shared" si="35"/>
        <v>0</v>
      </c>
      <c r="Q108" s="362">
        <f t="shared" si="43"/>
        <v>0</v>
      </c>
      <c r="R108" s="362">
        <f t="shared" si="44"/>
        <v>0</v>
      </c>
      <c r="S108" s="362">
        <f t="shared" si="47"/>
        <v>0</v>
      </c>
      <c r="T108" s="362">
        <f>S108*'НМЦК подряд'!$C$16*'НМЦК подряд'!$E$16</f>
        <v>0</v>
      </c>
      <c r="U108" s="427">
        <f t="shared" si="45"/>
        <v>0</v>
      </c>
      <c r="V108" s="234"/>
    </row>
    <row r="109" ht="31.5" spans="1:22">
      <c r="A109" s="174" t="s">
        <v>492</v>
      </c>
      <c r="B109" s="175" t="s">
        <v>493</v>
      </c>
      <c r="C109" s="175" t="s">
        <v>494</v>
      </c>
      <c r="D109" s="172" t="s">
        <v>354</v>
      </c>
      <c r="E109" s="172" t="s">
        <v>495</v>
      </c>
      <c r="F109" s="233">
        <f>T109/E109</f>
        <v>3179.54</v>
      </c>
      <c r="G109" s="237">
        <f t="shared" ref="G109:G111" si="49">F109*E109</f>
        <v>146258.84</v>
      </c>
      <c r="J109" s="424"/>
      <c r="K109" s="377">
        <f>38257-6633+54502</f>
        <v>86126</v>
      </c>
      <c r="L109" s="427"/>
      <c r="M109" s="427"/>
      <c r="N109" s="438">
        <f>4.7*0.4275*N11</f>
        <v>8143</v>
      </c>
      <c r="O109" s="440">
        <f t="shared" si="32"/>
        <v>8143</v>
      </c>
      <c r="P109" s="362">
        <f t="shared" si="35"/>
        <v>94269</v>
      </c>
      <c r="Q109" s="362">
        <f t="shared" si="43"/>
        <v>1335</v>
      </c>
      <c r="R109" s="362">
        <f t="shared" si="44"/>
        <v>1614</v>
      </c>
      <c r="S109" s="362">
        <f t="shared" si="47"/>
        <v>97218</v>
      </c>
      <c r="T109" s="362">
        <f>S109*'НМЦК подряд'!$C$16*'НМЦК подряд'!$E$16</f>
        <v>146259</v>
      </c>
      <c r="U109" s="427">
        <f t="shared" si="45"/>
        <v>8143</v>
      </c>
      <c r="V109" s="234"/>
    </row>
    <row r="110" ht="31.5" spans="1:22">
      <c r="A110" s="174" t="s">
        <v>496</v>
      </c>
      <c r="B110" s="175" t="s">
        <v>497</v>
      </c>
      <c r="C110" s="175" t="s">
        <v>498</v>
      </c>
      <c r="D110" s="172" t="s">
        <v>354</v>
      </c>
      <c r="E110" s="172" t="s">
        <v>495</v>
      </c>
      <c r="F110" s="233">
        <f>T110/E110</f>
        <v>3363.02</v>
      </c>
      <c r="G110" s="237">
        <f t="shared" si="49"/>
        <v>154698.92</v>
      </c>
      <c r="J110" s="424"/>
      <c r="K110" s="377">
        <f>25668+6876</f>
        <v>32544</v>
      </c>
      <c r="L110" s="427"/>
      <c r="M110" s="427">
        <f>12.3*1.3953*N10</f>
        <v>67165</v>
      </c>
      <c r="N110" s="438"/>
      <c r="O110" s="440">
        <f t="shared" si="32"/>
        <v>67165</v>
      </c>
      <c r="P110" s="362">
        <f t="shared" si="35"/>
        <v>99709</v>
      </c>
      <c r="Q110" s="362">
        <f t="shared" si="43"/>
        <v>1412</v>
      </c>
      <c r="R110" s="362">
        <f t="shared" si="44"/>
        <v>1707</v>
      </c>
      <c r="S110" s="362">
        <f t="shared" si="47"/>
        <v>102828</v>
      </c>
      <c r="T110" s="362">
        <f>S110*'НМЦК подряд'!$C$16*'НМЦК подряд'!$E$16</f>
        <v>154699</v>
      </c>
      <c r="U110" s="427">
        <f t="shared" si="45"/>
        <v>67165</v>
      </c>
      <c r="V110" s="234"/>
    </row>
    <row r="111" ht="31.5" spans="1:22">
      <c r="A111" s="174" t="s">
        <v>499</v>
      </c>
      <c r="B111" s="175" t="s">
        <v>500</v>
      </c>
      <c r="C111" s="175" t="s">
        <v>490</v>
      </c>
      <c r="D111" s="172" t="s">
        <v>377</v>
      </c>
      <c r="E111" s="172">
        <v>16.27</v>
      </c>
      <c r="F111" s="233">
        <f>T111/E111</f>
        <v>4871.73</v>
      </c>
      <c r="G111" s="237">
        <f t="shared" si="49"/>
        <v>79263.05</v>
      </c>
      <c r="J111" s="424"/>
      <c r="K111" s="377">
        <f>35706+15381</f>
        <v>51087</v>
      </c>
      <c r="L111" s="427"/>
      <c r="M111" s="427"/>
      <c r="N111" s="438"/>
      <c r="O111" s="375">
        <f t="shared" si="32"/>
        <v>0</v>
      </c>
      <c r="P111" s="362">
        <f t="shared" si="35"/>
        <v>51087</v>
      </c>
      <c r="Q111" s="362">
        <f t="shared" si="43"/>
        <v>724</v>
      </c>
      <c r="R111" s="362">
        <f t="shared" si="44"/>
        <v>875</v>
      </c>
      <c r="S111" s="362">
        <f t="shared" si="47"/>
        <v>52686</v>
      </c>
      <c r="T111" s="362">
        <f>S111*'НМЦК подряд'!$C$16*'НМЦК подряд'!$E$16</f>
        <v>79263</v>
      </c>
      <c r="U111" s="427">
        <f t="shared" si="45"/>
        <v>0</v>
      </c>
      <c r="V111" s="234"/>
    </row>
    <row r="112" spans="1:22">
      <c r="A112" s="189"/>
      <c r="B112" s="193"/>
      <c r="C112" s="193" t="s">
        <v>501</v>
      </c>
      <c r="D112" s="193"/>
      <c r="E112" s="193"/>
      <c r="F112" s="233"/>
      <c r="G112" s="176"/>
      <c r="J112" s="424"/>
      <c r="K112" s="377"/>
      <c r="L112" s="427"/>
      <c r="M112" s="427"/>
      <c r="N112" s="438"/>
      <c r="O112" s="375">
        <f t="shared" si="32"/>
        <v>0</v>
      </c>
      <c r="P112" s="362">
        <f t="shared" si="35"/>
        <v>0</v>
      </c>
      <c r="Q112" s="362">
        <f t="shared" si="43"/>
        <v>0</v>
      </c>
      <c r="R112" s="362">
        <f t="shared" si="44"/>
        <v>0</v>
      </c>
      <c r="S112" s="362">
        <f t="shared" si="47"/>
        <v>0</v>
      </c>
      <c r="T112" s="362">
        <f>S112*'НМЦК подряд'!$C$16*'НМЦК подряд'!$E$16</f>
        <v>0</v>
      </c>
      <c r="U112" s="427">
        <f t="shared" si="45"/>
        <v>0</v>
      </c>
      <c r="V112" s="234"/>
    </row>
    <row r="113" spans="1:22">
      <c r="A113" s="176"/>
      <c r="B113" s="176"/>
      <c r="C113" s="176" t="s">
        <v>502</v>
      </c>
      <c r="D113" s="172" t="s">
        <v>270</v>
      </c>
      <c r="E113" s="172" t="s">
        <v>503</v>
      </c>
      <c r="F113" s="233"/>
      <c r="G113" s="176"/>
      <c r="J113" s="424"/>
      <c r="K113" s="377"/>
      <c r="L113" s="427"/>
      <c r="M113" s="427"/>
      <c r="N113" s="438"/>
      <c r="O113" s="375">
        <f t="shared" si="32"/>
        <v>0</v>
      </c>
      <c r="P113" s="362">
        <f t="shared" si="35"/>
        <v>0</v>
      </c>
      <c r="Q113" s="362">
        <f t="shared" si="43"/>
        <v>0</v>
      </c>
      <c r="R113" s="362">
        <f t="shared" si="44"/>
        <v>0</v>
      </c>
      <c r="S113" s="362">
        <f t="shared" si="47"/>
        <v>0</v>
      </c>
      <c r="T113" s="362">
        <f>S113*'НМЦК подряд'!$C$16*'НМЦК подряд'!$E$16</f>
        <v>0</v>
      </c>
      <c r="U113" s="427">
        <f t="shared" si="45"/>
        <v>0</v>
      </c>
      <c r="V113" s="234"/>
    </row>
    <row r="114" ht="31.5" spans="1:22">
      <c r="A114" s="174" t="s">
        <v>504</v>
      </c>
      <c r="B114" s="175" t="s">
        <v>505</v>
      </c>
      <c r="C114" s="175" t="s">
        <v>506</v>
      </c>
      <c r="D114" s="172" t="s">
        <v>377</v>
      </c>
      <c r="E114" s="172">
        <v>4.39</v>
      </c>
      <c r="F114" s="233">
        <f>T114/E114</f>
        <v>4872.89</v>
      </c>
      <c r="G114" s="237">
        <f t="shared" ref="G114:G116" si="50">F114*E114</f>
        <v>21391.99</v>
      </c>
      <c r="J114" s="424"/>
      <c r="K114" s="377">
        <f>4152+9636</f>
        <v>13788</v>
      </c>
      <c r="L114" s="427"/>
      <c r="M114" s="427"/>
      <c r="N114" s="438"/>
      <c r="O114" s="375">
        <f t="shared" si="32"/>
        <v>0</v>
      </c>
      <c r="P114" s="362">
        <f t="shared" si="35"/>
        <v>13788</v>
      </c>
      <c r="Q114" s="362">
        <f t="shared" si="43"/>
        <v>195</v>
      </c>
      <c r="R114" s="362">
        <f t="shared" si="44"/>
        <v>236</v>
      </c>
      <c r="S114" s="362">
        <f t="shared" si="47"/>
        <v>14219</v>
      </c>
      <c r="T114" s="362">
        <f>S114*'НМЦК подряд'!$C$16*'НМЦК подряд'!$E$16</f>
        <v>21392</v>
      </c>
      <c r="U114" s="427">
        <f t="shared" si="45"/>
        <v>0</v>
      </c>
      <c r="V114" s="234"/>
    </row>
    <row r="115" ht="31.5" spans="1:22">
      <c r="A115" s="174" t="s">
        <v>507</v>
      </c>
      <c r="B115" s="175" t="s">
        <v>508</v>
      </c>
      <c r="C115" s="175" t="s">
        <v>509</v>
      </c>
      <c r="D115" s="172" t="s">
        <v>510</v>
      </c>
      <c r="E115" s="172" t="s">
        <v>511</v>
      </c>
      <c r="F115" s="233">
        <f>T115/E115</f>
        <v>586.03</v>
      </c>
      <c r="G115" s="237">
        <f t="shared" si="50"/>
        <v>21097.08</v>
      </c>
      <c r="J115" s="424"/>
      <c r="K115" s="377">
        <f>6817+2697+2624</f>
        <v>12138</v>
      </c>
      <c r="L115" s="427"/>
      <c r="M115" s="427">
        <f>0.36*N11</f>
        <v>1459</v>
      </c>
      <c r="N115" s="438"/>
      <c r="O115" s="375">
        <f t="shared" si="32"/>
        <v>1459</v>
      </c>
      <c r="P115" s="362">
        <f t="shared" si="35"/>
        <v>13597</v>
      </c>
      <c r="Q115" s="362">
        <f t="shared" si="43"/>
        <v>193</v>
      </c>
      <c r="R115" s="362">
        <f t="shared" si="44"/>
        <v>233</v>
      </c>
      <c r="S115" s="362">
        <f t="shared" si="47"/>
        <v>14023</v>
      </c>
      <c r="T115" s="362">
        <f>S115*'НМЦК подряд'!$C$16*'НМЦК подряд'!$E$16</f>
        <v>21097</v>
      </c>
      <c r="U115" s="427">
        <f t="shared" si="45"/>
        <v>1459</v>
      </c>
      <c r="V115" s="234"/>
    </row>
    <row r="116" ht="32.25" spans="1:22">
      <c r="A116" s="174" t="s">
        <v>512</v>
      </c>
      <c r="B116" s="235" t="s">
        <v>513</v>
      </c>
      <c r="C116" s="235" t="s">
        <v>514</v>
      </c>
      <c r="D116" s="236" t="s">
        <v>354</v>
      </c>
      <c r="E116" s="236" t="s">
        <v>511</v>
      </c>
      <c r="F116" s="237">
        <f>T116/E116</f>
        <v>2008.44</v>
      </c>
      <c r="G116" s="237">
        <f t="shared" si="50"/>
        <v>72303.84</v>
      </c>
      <c r="J116" s="424"/>
      <c r="K116" s="382">
        <f>29940-7784+21327</f>
        <v>43483</v>
      </c>
      <c r="L116" s="427"/>
      <c r="M116" s="427"/>
      <c r="N116" s="438">
        <f>1.8*0.4275*N11</f>
        <v>3119</v>
      </c>
      <c r="O116" s="375">
        <f t="shared" si="32"/>
        <v>3119</v>
      </c>
      <c r="P116" s="362">
        <f t="shared" si="35"/>
        <v>46602</v>
      </c>
      <c r="Q116" s="362">
        <f t="shared" si="43"/>
        <v>660</v>
      </c>
      <c r="R116" s="362">
        <f t="shared" si="44"/>
        <v>798</v>
      </c>
      <c r="S116" s="362">
        <f t="shared" si="47"/>
        <v>48060</v>
      </c>
      <c r="T116" s="362">
        <f>S116*'НМЦК подряд'!$C$16*'НМЦК подряд'!$E$16</f>
        <v>72304</v>
      </c>
      <c r="U116" s="427">
        <f t="shared" si="45"/>
        <v>3119</v>
      </c>
      <c r="V116" s="234"/>
    </row>
    <row r="117" ht="16.5" spans="1:22">
      <c r="A117" s="238"/>
      <c r="B117" s="378"/>
      <c r="C117" s="239" t="s">
        <v>515</v>
      </c>
      <c r="D117" s="240"/>
      <c r="E117" s="240"/>
      <c r="F117" s="270"/>
      <c r="G117" s="242">
        <f>SUM(G100:G116)</f>
        <v>2596027.09</v>
      </c>
      <c r="J117" s="424"/>
      <c r="K117" s="425"/>
      <c r="L117" s="448"/>
      <c r="M117" s="427"/>
      <c r="N117" s="172"/>
      <c r="O117" s="375">
        <f t="shared" si="32"/>
        <v>0</v>
      </c>
      <c r="P117" s="362">
        <f t="shared" si="35"/>
        <v>0</v>
      </c>
      <c r="Q117" s="362">
        <f t="shared" si="43"/>
        <v>0</v>
      </c>
      <c r="R117" s="362">
        <f t="shared" si="44"/>
        <v>0</v>
      </c>
      <c r="S117" s="362">
        <f t="shared" si="47"/>
        <v>0</v>
      </c>
      <c r="T117" s="362">
        <f>S117*'НМЦК подряд'!$C$16*'НМЦК подряд'!$E$16</f>
        <v>0</v>
      </c>
      <c r="U117" s="427">
        <f t="shared" si="45"/>
        <v>0</v>
      </c>
      <c r="V117" s="234"/>
    </row>
    <row r="118" spans="1:22">
      <c r="A118" s="282" t="s">
        <v>516</v>
      </c>
      <c r="B118" s="247"/>
      <c r="C118" s="247"/>
      <c r="D118" s="247"/>
      <c r="E118" s="247"/>
      <c r="F118" s="276"/>
      <c r="G118" s="247"/>
      <c r="J118" s="424"/>
      <c r="K118" s="382"/>
      <c r="L118" s="427"/>
      <c r="M118" s="427"/>
      <c r="N118" s="172"/>
      <c r="O118" s="375">
        <f t="shared" si="32"/>
        <v>0</v>
      </c>
      <c r="P118" s="362">
        <f t="shared" si="35"/>
        <v>0</v>
      </c>
      <c r="Q118" s="362">
        <f t="shared" si="43"/>
        <v>0</v>
      </c>
      <c r="R118" s="362">
        <f t="shared" si="44"/>
        <v>0</v>
      </c>
      <c r="S118" s="362">
        <f t="shared" si="47"/>
        <v>0</v>
      </c>
      <c r="T118" s="362">
        <f>S118*'НМЦК подряд'!$C$16*'НМЦК подряд'!$E$16</f>
        <v>0</v>
      </c>
      <c r="U118" s="427">
        <f t="shared" si="45"/>
        <v>0</v>
      </c>
      <c r="V118" s="234"/>
    </row>
    <row r="119" ht="31.5" spans="1:22">
      <c r="A119" s="174" t="s">
        <v>517</v>
      </c>
      <c r="B119" s="175" t="s">
        <v>518</v>
      </c>
      <c r="C119" s="175" t="s">
        <v>519</v>
      </c>
      <c r="D119" s="172" t="s">
        <v>321</v>
      </c>
      <c r="E119" s="172" t="s">
        <v>520</v>
      </c>
      <c r="F119" s="233">
        <f>T119/E119</f>
        <v>179022.65</v>
      </c>
      <c r="G119" s="237">
        <f t="shared" ref="G119:G121" si="51">F119*E119</f>
        <v>3043385.05</v>
      </c>
      <c r="J119" s="424"/>
      <c r="K119" s="377">
        <f>1575142+43879+67449+83420</f>
        <v>1769890</v>
      </c>
      <c r="L119" s="427">
        <f>31*1.5*N17</f>
        <v>191683</v>
      </c>
      <c r="M119" s="427"/>
      <c r="N119" s="172"/>
      <c r="O119" s="375">
        <f t="shared" si="32"/>
        <v>191683</v>
      </c>
      <c r="P119" s="362">
        <f t="shared" si="35"/>
        <v>1961573</v>
      </c>
      <c r="Q119" s="362">
        <f t="shared" si="43"/>
        <v>27781</v>
      </c>
      <c r="R119" s="362">
        <f t="shared" si="44"/>
        <v>33578</v>
      </c>
      <c r="S119" s="362">
        <f t="shared" si="47"/>
        <v>2022932</v>
      </c>
      <c r="T119" s="362">
        <f>S119*'НМЦК подряд'!$C$16*'НМЦК подряд'!$E$16</f>
        <v>3043385</v>
      </c>
      <c r="U119" s="427">
        <f t="shared" si="45"/>
        <v>191683</v>
      </c>
      <c r="V119" s="234"/>
    </row>
    <row r="120" ht="31.5" spans="1:22">
      <c r="A120" s="174" t="s">
        <v>521</v>
      </c>
      <c r="B120" s="175" t="s">
        <v>522</v>
      </c>
      <c r="C120" s="175" t="s">
        <v>523</v>
      </c>
      <c r="D120" s="172" t="s">
        <v>377</v>
      </c>
      <c r="E120" s="172" t="s">
        <v>520</v>
      </c>
      <c r="F120" s="233">
        <f>T120/E120</f>
        <v>19223.71</v>
      </c>
      <c r="G120" s="237">
        <f t="shared" si="51"/>
        <v>326803.07</v>
      </c>
      <c r="J120" s="424"/>
      <c r="K120" s="377">
        <f>996+5591</f>
        <v>6587</v>
      </c>
      <c r="L120" s="427">
        <f>33*1.5*N17</f>
        <v>204049</v>
      </c>
      <c r="M120" s="427"/>
      <c r="N120" s="172"/>
      <c r="O120" s="375">
        <f t="shared" si="32"/>
        <v>204049</v>
      </c>
      <c r="P120" s="362">
        <f t="shared" si="35"/>
        <v>210636</v>
      </c>
      <c r="Q120" s="362">
        <f t="shared" si="43"/>
        <v>2983</v>
      </c>
      <c r="R120" s="362">
        <f t="shared" si="44"/>
        <v>3606</v>
      </c>
      <c r="S120" s="362">
        <f t="shared" si="47"/>
        <v>217225</v>
      </c>
      <c r="T120" s="362">
        <f>S120*'НМЦК подряд'!$C$16*'НМЦК подряд'!$E$16</f>
        <v>326803</v>
      </c>
      <c r="U120" s="427">
        <f t="shared" si="45"/>
        <v>204049</v>
      </c>
      <c r="V120" s="234"/>
    </row>
    <row r="121" ht="16.5" spans="1:22">
      <c r="A121" s="174" t="s">
        <v>524</v>
      </c>
      <c r="B121" s="235" t="s">
        <v>525</v>
      </c>
      <c r="C121" s="235" t="s">
        <v>526</v>
      </c>
      <c r="D121" s="236" t="s">
        <v>321</v>
      </c>
      <c r="E121" s="236" t="s">
        <v>417</v>
      </c>
      <c r="F121" s="237">
        <f>T121/E121</f>
        <v>199354.82</v>
      </c>
      <c r="G121" s="237">
        <f t="shared" si="51"/>
        <v>2192903.02</v>
      </c>
      <c r="H121" s="285"/>
      <c r="I121" s="285"/>
      <c r="J121" s="376"/>
      <c r="K121" s="377">
        <f>1269725+15358+39521+88802</f>
        <v>1413406</v>
      </c>
      <c r="L121" s="385"/>
      <c r="M121" s="427"/>
      <c r="N121" s="438"/>
      <c r="O121" s="375">
        <f t="shared" si="32"/>
        <v>0</v>
      </c>
      <c r="P121" s="362">
        <f t="shared" si="35"/>
        <v>1413406</v>
      </c>
      <c r="Q121" s="362">
        <f t="shared" si="43"/>
        <v>20017</v>
      </c>
      <c r="R121" s="362">
        <f t="shared" si="44"/>
        <v>24195</v>
      </c>
      <c r="S121" s="362">
        <f t="shared" si="47"/>
        <v>1457618</v>
      </c>
      <c r="T121" s="362">
        <f>S121*'НМЦК подряд'!$C$16*'НМЦК подряд'!$E$16</f>
        <v>2192903</v>
      </c>
      <c r="U121" s="427">
        <f t="shared" si="45"/>
        <v>0</v>
      </c>
      <c r="V121" s="234"/>
    </row>
    <row r="122" ht="16.5" spans="1:22">
      <c r="A122" s="238"/>
      <c r="B122" s="378"/>
      <c r="C122" s="239" t="s">
        <v>527</v>
      </c>
      <c r="D122" s="240"/>
      <c r="E122" s="240"/>
      <c r="F122" s="270"/>
      <c r="G122" s="242">
        <f>SUM(G119:G121)</f>
        <v>5563091.14</v>
      </c>
      <c r="J122" s="424"/>
      <c r="K122" s="425"/>
      <c r="L122" s="448"/>
      <c r="M122" s="427"/>
      <c r="N122" s="438"/>
      <c r="O122" s="375">
        <f t="shared" si="32"/>
        <v>0</v>
      </c>
      <c r="P122" s="362">
        <f t="shared" si="35"/>
        <v>0</v>
      </c>
      <c r="Q122" s="362">
        <f t="shared" si="43"/>
        <v>0</v>
      </c>
      <c r="R122" s="362">
        <f t="shared" si="44"/>
        <v>0</v>
      </c>
      <c r="S122" s="362">
        <f t="shared" si="47"/>
        <v>0</v>
      </c>
      <c r="T122" s="362">
        <f>S122*'НМЦК подряд'!$C$16*'НМЦК подряд'!$E$16</f>
        <v>0</v>
      </c>
      <c r="U122" s="427">
        <f t="shared" si="45"/>
        <v>0</v>
      </c>
      <c r="V122" s="234"/>
    </row>
    <row r="123" ht="16.5" spans="1:22">
      <c r="A123" s="238"/>
      <c r="B123" s="378"/>
      <c r="C123" s="239" t="s">
        <v>528</v>
      </c>
      <c r="D123" s="240"/>
      <c r="E123" s="240"/>
      <c r="F123" s="270"/>
      <c r="G123" s="242">
        <f>G122+G117</f>
        <v>8159118.23</v>
      </c>
      <c r="J123" s="442"/>
      <c r="K123" s="425"/>
      <c r="L123" s="449"/>
      <c r="M123" s="427"/>
      <c r="N123" s="438"/>
      <c r="O123" s="375"/>
      <c r="P123" s="362"/>
      <c r="Q123" s="362"/>
      <c r="R123" s="362"/>
      <c r="S123" s="362"/>
      <c r="T123" s="362"/>
      <c r="U123" s="427"/>
      <c r="V123" s="234"/>
    </row>
    <row r="124" spans="1:22">
      <c r="A124" s="282" t="s">
        <v>529</v>
      </c>
      <c r="B124" s="247"/>
      <c r="C124" s="247"/>
      <c r="D124" s="290"/>
      <c r="E124" s="290"/>
      <c r="F124" s="276"/>
      <c r="G124" s="247"/>
      <c r="H124" s="285"/>
      <c r="I124" s="285"/>
      <c r="J124" s="442"/>
      <c r="K124" s="382"/>
      <c r="L124" s="443"/>
      <c r="M124" s="427"/>
      <c r="N124" s="438"/>
      <c r="O124" s="375">
        <f t="shared" si="32"/>
        <v>0</v>
      </c>
      <c r="P124" s="362">
        <f t="shared" si="35"/>
        <v>0</v>
      </c>
      <c r="Q124" s="362">
        <f t="shared" ref="Q124:Q146" si="52">P124*$Q$12</f>
        <v>0</v>
      </c>
      <c r="R124" s="362">
        <f t="shared" ref="R124:R146" si="53">P124*$R$12</f>
        <v>0</v>
      </c>
      <c r="S124" s="362">
        <f t="shared" ref="S124:S146" si="54">P124+Q124+R124</f>
        <v>0</v>
      </c>
      <c r="T124" s="362">
        <f>S124*'НМЦК подряд'!$C$16*'НМЦК подряд'!$E$16</f>
        <v>0</v>
      </c>
      <c r="U124" s="427">
        <f t="shared" ref="U124:U146" si="55">L124+M124+N124</f>
        <v>0</v>
      </c>
      <c r="V124" s="234"/>
    </row>
    <row r="125" spans="1:22">
      <c r="A125" s="176"/>
      <c r="B125" s="176"/>
      <c r="C125" s="187" t="s">
        <v>530</v>
      </c>
      <c r="D125" s="172"/>
      <c r="E125" s="172"/>
      <c r="F125" s="233"/>
      <c r="G125" s="176"/>
      <c r="J125" s="424"/>
      <c r="K125" s="382"/>
      <c r="L125" s="427"/>
      <c r="M125" s="427"/>
      <c r="N125" s="438"/>
      <c r="O125" s="375">
        <f t="shared" ref="O125:O191" si="56">L125+M125+N125</f>
        <v>0</v>
      </c>
      <c r="P125" s="362">
        <f t="shared" si="35"/>
        <v>0</v>
      </c>
      <c r="Q125" s="362">
        <f t="shared" si="52"/>
        <v>0</v>
      </c>
      <c r="R125" s="362">
        <f t="shared" si="53"/>
        <v>0</v>
      </c>
      <c r="S125" s="362">
        <f t="shared" si="54"/>
        <v>0</v>
      </c>
      <c r="T125" s="362">
        <f>S125*'НМЦК подряд'!$C$16*'НМЦК подряд'!$E$16</f>
        <v>0</v>
      </c>
      <c r="U125" s="427">
        <f t="shared" si="55"/>
        <v>0</v>
      </c>
      <c r="V125" s="234"/>
    </row>
    <row r="126" ht="31.5" spans="1:22">
      <c r="A126" s="174" t="s">
        <v>531</v>
      </c>
      <c r="B126" s="175" t="s">
        <v>532</v>
      </c>
      <c r="C126" s="175" t="s">
        <v>533</v>
      </c>
      <c r="D126" s="172" t="s">
        <v>534</v>
      </c>
      <c r="E126" s="172">
        <f>124+24+24</f>
        <v>172</v>
      </c>
      <c r="F126" s="233">
        <f>T126/E126</f>
        <v>10698.09</v>
      </c>
      <c r="G126" s="237">
        <f>F126*E126</f>
        <v>1840071.48</v>
      </c>
      <c r="H126" s="285"/>
      <c r="I126" s="285"/>
      <c r="J126" s="376"/>
      <c r="K126" s="377">
        <f>138439+1026298</f>
        <v>1164737</v>
      </c>
      <c r="L126" s="385">
        <f>5.245*N11</f>
        <v>21256</v>
      </c>
      <c r="M126" s="427"/>
      <c r="N126" s="438"/>
      <c r="O126" s="375">
        <f t="shared" si="56"/>
        <v>21256</v>
      </c>
      <c r="P126" s="362">
        <f t="shared" si="35"/>
        <v>1185993</v>
      </c>
      <c r="Q126" s="362">
        <f t="shared" si="52"/>
        <v>16797</v>
      </c>
      <c r="R126" s="362">
        <f t="shared" si="53"/>
        <v>20302</v>
      </c>
      <c r="S126" s="362">
        <f t="shared" si="54"/>
        <v>1223092</v>
      </c>
      <c r="T126" s="362">
        <f>S126*'НМЦК подряд'!$C$16*'НМЦК подряд'!$E$16</f>
        <v>1840072</v>
      </c>
      <c r="U126" s="427">
        <f t="shared" si="55"/>
        <v>21256</v>
      </c>
      <c r="V126" s="234"/>
    </row>
    <row r="127" spans="1:22">
      <c r="A127" s="156"/>
      <c r="B127" s="176"/>
      <c r="C127" s="187" t="s">
        <v>535</v>
      </c>
      <c r="D127" s="172"/>
      <c r="E127" s="172"/>
      <c r="F127" s="233"/>
      <c r="G127" s="176"/>
      <c r="H127" s="285"/>
      <c r="I127" s="285"/>
      <c r="J127" s="442"/>
      <c r="K127" s="382"/>
      <c r="L127" s="443"/>
      <c r="M127" s="427"/>
      <c r="N127" s="438"/>
      <c r="O127" s="375">
        <f t="shared" si="56"/>
        <v>0</v>
      </c>
      <c r="P127" s="362">
        <f t="shared" si="35"/>
        <v>0</v>
      </c>
      <c r="Q127" s="362">
        <f t="shared" si="52"/>
        <v>0</v>
      </c>
      <c r="R127" s="362">
        <f t="shared" si="53"/>
        <v>0</v>
      </c>
      <c r="S127" s="362">
        <f t="shared" si="54"/>
        <v>0</v>
      </c>
      <c r="T127" s="362">
        <f>S127*'НМЦК подряд'!$C$16*'НМЦК подряд'!$E$16</f>
        <v>0</v>
      </c>
      <c r="U127" s="427">
        <f t="shared" si="55"/>
        <v>0</v>
      </c>
      <c r="V127" s="234"/>
    </row>
    <row r="128" ht="18" spans="1:22">
      <c r="A128" s="174" t="s">
        <v>536</v>
      </c>
      <c r="B128" s="175" t="s">
        <v>537</v>
      </c>
      <c r="C128" s="175" t="s">
        <v>538</v>
      </c>
      <c r="D128" s="172" t="s">
        <v>377</v>
      </c>
      <c r="E128" s="172" t="s">
        <v>539</v>
      </c>
      <c r="F128" s="233">
        <f>T128/E128</f>
        <v>907.8</v>
      </c>
      <c r="G128" s="237">
        <f>F128*E128</f>
        <v>9078</v>
      </c>
      <c r="J128" s="424"/>
      <c r="K128" s="377">
        <f>732+1558+327+2403+831</f>
        <v>5851</v>
      </c>
      <c r="L128" s="427"/>
      <c r="M128" s="427"/>
      <c r="N128" s="438"/>
      <c r="O128" s="375">
        <f t="shared" si="56"/>
        <v>0</v>
      </c>
      <c r="P128" s="362">
        <f t="shared" si="35"/>
        <v>5851</v>
      </c>
      <c r="Q128" s="362">
        <f t="shared" si="52"/>
        <v>83</v>
      </c>
      <c r="R128" s="362">
        <f t="shared" si="53"/>
        <v>100</v>
      </c>
      <c r="S128" s="362">
        <f t="shared" si="54"/>
        <v>6034</v>
      </c>
      <c r="T128" s="362">
        <f>S128*'НМЦК подряд'!$C$16*'НМЦК подряд'!$E$16</f>
        <v>9078</v>
      </c>
      <c r="U128" s="427">
        <f t="shared" si="55"/>
        <v>0</v>
      </c>
      <c r="V128" s="234"/>
    </row>
    <row r="129" ht="31.5" spans="1:22">
      <c r="A129" s="174" t="s">
        <v>540</v>
      </c>
      <c r="B129" s="175" t="s">
        <v>541</v>
      </c>
      <c r="C129" s="175" t="s">
        <v>542</v>
      </c>
      <c r="D129" s="172" t="s">
        <v>444</v>
      </c>
      <c r="E129" s="172">
        <v>11</v>
      </c>
      <c r="F129" s="233">
        <f>T129/E129</f>
        <v>21471.09</v>
      </c>
      <c r="G129" s="237">
        <f t="shared" ref="G129" si="57">F129*E129</f>
        <v>236181.99</v>
      </c>
      <c r="J129" s="424"/>
      <c r="K129" s="377">
        <f>81103+4232+3533+12563+49451</f>
        <v>150882</v>
      </c>
      <c r="L129" s="427">
        <f>0.3321*N11</f>
        <v>1346</v>
      </c>
      <c r="M129" s="427"/>
      <c r="N129" s="438"/>
      <c r="O129" s="375">
        <f t="shared" si="56"/>
        <v>1346</v>
      </c>
      <c r="P129" s="362">
        <f t="shared" si="35"/>
        <v>152228</v>
      </c>
      <c r="Q129" s="362">
        <f t="shared" si="52"/>
        <v>2156</v>
      </c>
      <c r="R129" s="362">
        <f t="shared" si="53"/>
        <v>2606</v>
      </c>
      <c r="S129" s="362">
        <f t="shared" si="54"/>
        <v>156990</v>
      </c>
      <c r="T129" s="362">
        <f>S129*'НМЦК подряд'!$C$16*'НМЦК подряд'!$E$16</f>
        <v>236182</v>
      </c>
      <c r="U129" s="427">
        <f t="shared" si="55"/>
        <v>1346</v>
      </c>
      <c r="V129" s="234"/>
    </row>
    <row r="130" spans="1:22">
      <c r="A130" s="156"/>
      <c r="B130" s="193"/>
      <c r="C130" s="194" t="s">
        <v>543</v>
      </c>
      <c r="D130" s="172"/>
      <c r="E130" s="172"/>
      <c r="F130" s="233"/>
      <c r="G130" s="176"/>
      <c r="J130" s="424"/>
      <c r="K130" s="377"/>
      <c r="L130" s="427"/>
      <c r="M130" s="427"/>
      <c r="N130" s="438"/>
      <c r="O130" s="375">
        <f t="shared" si="56"/>
        <v>0</v>
      </c>
      <c r="P130" s="362">
        <f t="shared" si="35"/>
        <v>0</v>
      </c>
      <c r="Q130" s="362">
        <f t="shared" si="52"/>
        <v>0</v>
      </c>
      <c r="R130" s="362">
        <f t="shared" si="53"/>
        <v>0</v>
      </c>
      <c r="S130" s="362">
        <f t="shared" si="54"/>
        <v>0</v>
      </c>
      <c r="T130" s="362">
        <f>S130*'НМЦК подряд'!$C$16*'НМЦК подряд'!$E$16</f>
        <v>0</v>
      </c>
      <c r="U130" s="427">
        <f t="shared" si="55"/>
        <v>0</v>
      </c>
      <c r="V130" s="234"/>
    </row>
    <row r="131" spans="1:22">
      <c r="A131" s="193"/>
      <c r="B131" s="193"/>
      <c r="C131" s="193" t="s">
        <v>544</v>
      </c>
      <c r="D131" s="172"/>
      <c r="E131" s="172"/>
      <c r="F131" s="233"/>
      <c r="G131" s="176"/>
      <c r="J131" s="424"/>
      <c r="K131" s="377"/>
      <c r="L131" s="427"/>
      <c r="M131" s="427"/>
      <c r="N131" s="438"/>
      <c r="O131" s="375">
        <f t="shared" si="56"/>
        <v>0</v>
      </c>
      <c r="P131" s="362">
        <f t="shared" si="35"/>
        <v>0</v>
      </c>
      <c r="Q131" s="362">
        <f t="shared" si="52"/>
        <v>0</v>
      </c>
      <c r="R131" s="362">
        <f t="shared" si="53"/>
        <v>0</v>
      </c>
      <c r="S131" s="362">
        <f t="shared" si="54"/>
        <v>0</v>
      </c>
      <c r="T131" s="362">
        <f>S131*'НМЦК подряд'!$C$16*'НМЦК подряд'!$E$16</f>
        <v>0</v>
      </c>
      <c r="U131" s="427">
        <f t="shared" si="55"/>
        <v>0</v>
      </c>
      <c r="V131" s="234"/>
    </row>
    <row r="132" ht="31.5" spans="1:22">
      <c r="A132" s="174" t="s">
        <v>545</v>
      </c>
      <c r="B132" s="175" t="s">
        <v>546</v>
      </c>
      <c r="C132" s="193" t="s">
        <v>547</v>
      </c>
      <c r="D132" s="172" t="s">
        <v>444</v>
      </c>
      <c r="E132" s="172">
        <v>1</v>
      </c>
      <c r="F132" s="233">
        <f>T132/E132</f>
        <v>3418</v>
      </c>
      <c r="G132" s="237">
        <f t="shared" ref="G132" si="58">F132*E132</f>
        <v>3418</v>
      </c>
      <c r="J132" s="424"/>
      <c r="K132" s="377">
        <v>2181</v>
      </c>
      <c r="L132" s="427">
        <f>0.07504/14*E132*$N$11</f>
        <v>22</v>
      </c>
      <c r="M132" s="427"/>
      <c r="N132" s="438"/>
      <c r="O132" s="375">
        <f t="shared" si="56"/>
        <v>22</v>
      </c>
      <c r="P132" s="362">
        <f t="shared" si="35"/>
        <v>2203</v>
      </c>
      <c r="Q132" s="362">
        <f t="shared" si="52"/>
        <v>31</v>
      </c>
      <c r="R132" s="362">
        <f t="shared" si="53"/>
        <v>38</v>
      </c>
      <c r="S132" s="362">
        <f t="shared" si="54"/>
        <v>2272</v>
      </c>
      <c r="T132" s="362">
        <f>S132*'НМЦК подряд'!$C$16*'НМЦК подряд'!$E$16</f>
        <v>3418</v>
      </c>
      <c r="U132" s="427">
        <f t="shared" si="55"/>
        <v>22</v>
      </c>
      <c r="V132" s="234"/>
    </row>
    <row r="133" spans="1:22">
      <c r="A133" s="156"/>
      <c r="B133" s="193"/>
      <c r="C133" s="176" t="s">
        <v>548</v>
      </c>
      <c r="D133" s="172"/>
      <c r="E133" s="172"/>
      <c r="F133" s="233"/>
      <c r="G133" s="176"/>
      <c r="J133" s="424"/>
      <c r="K133" s="377"/>
      <c r="L133" s="427"/>
      <c r="M133" s="427"/>
      <c r="N133" s="438"/>
      <c r="O133" s="375">
        <f t="shared" si="56"/>
        <v>0</v>
      </c>
      <c r="P133" s="362">
        <f t="shared" ref="P133:P196" si="59">K133+L133+M133+N133</f>
        <v>0</v>
      </c>
      <c r="Q133" s="362">
        <f t="shared" si="52"/>
        <v>0</v>
      </c>
      <c r="R133" s="362">
        <f t="shared" si="53"/>
        <v>0</v>
      </c>
      <c r="S133" s="362">
        <f t="shared" si="54"/>
        <v>0</v>
      </c>
      <c r="T133" s="362">
        <f>S133*'НМЦК подряд'!$C$16*'НМЦК подряд'!$E$16</f>
        <v>0</v>
      </c>
      <c r="U133" s="427">
        <f t="shared" si="55"/>
        <v>0</v>
      </c>
      <c r="V133" s="234"/>
    </row>
    <row r="134" ht="31.5" spans="1:22">
      <c r="A134" s="174" t="s">
        <v>549</v>
      </c>
      <c r="B134" s="175" t="s">
        <v>550</v>
      </c>
      <c r="C134" s="176" t="s">
        <v>551</v>
      </c>
      <c r="D134" s="172" t="s">
        <v>444</v>
      </c>
      <c r="E134" s="172">
        <v>1</v>
      </c>
      <c r="F134" s="233">
        <f>T134/E134</f>
        <v>3226</v>
      </c>
      <c r="G134" s="237">
        <f t="shared" ref="G134" si="60">F134*E134</f>
        <v>3226</v>
      </c>
      <c r="J134" s="424"/>
      <c r="K134" s="377">
        <v>2057</v>
      </c>
      <c r="L134" s="427">
        <f>0.07504/14*E134*$N$11</f>
        <v>22</v>
      </c>
      <c r="M134" s="427"/>
      <c r="N134" s="438"/>
      <c r="O134" s="375">
        <f t="shared" si="56"/>
        <v>22</v>
      </c>
      <c r="P134" s="362">
        <f t="shared" si="59"/>
        <v>2079</v>
      </c>
      <c r="Q134" s="362">
        <f t="shared" si="52"/>
        <v>29</v>
      </c>
      <c r="R134" s="362">
        <f t="shared" si="53"/>
        <v>36</v>
      </c>
      <c r="S134" s="362">
        <f t="shared" si="54"/>
        <v>2144</v>
      </c>
      <c r="T134" s="362">
        <f>S134*'НМЦК подряд'!$C$16*'НМЦК подряд'!$E$16</f>
        <v>3226</v>
      </c>
      <c r="U134" s="427">
        <f t="shared" si="55"/>
        <v>22</v>
      </c>
      <c r="V134" s="234"/>
    </row>
    <row r="135" spans="1:22">
      <c r="A135" s="156"/>
      <c r="B135" s="193"/>
      <c r="C135" s="176" t="s">
        <v>552</v>
      </c>
      <c r="D135" s="172"/>
      <c r="E135" s="172"/>
      <c r="F135" s="233"/>
      <c r="G135" s="176"/>
      <c r="J135" s="424"/>
      <c r="K135" s="377"/>
      <c r="L135" s="427"/>
      <c r="M135" s="427"/>
      <c r="N135" s="438"/>
      <c r="O135" s="375">
        <f t="shared" si="56"/>
        <v>0</v>
      </c>
      <c r="P135" s="362">
        <f t="shared" si="59"/>
        <v>0</v>
      </c>
      <c r="Q135" s="362">
        <f t="shared" si="52"/>
        <v>0</v>
      </c>
      <c r="R135" s="362">
        <f t="shared" si="53"/>
        <v>0</v>
      </c>
      <c r="S135" s="362">
        <f t="shared" si="54"/>
        <v>0</v>
      </c>
      <c r="T135" s="362">
        <f>S135*'НМЦК подряд'!$C$16*'НМЦК подряд'!$E$16</f>
        <v>0</v>
      </c>
      <c r="U135" s="427">
        <f t="shared" si="55"/>
        <v>0</v>
      </c>
      <c r="V135" s="234"/>
    </row>
    <row r="136" ht="31.5" spans="1:22">
      <c r="A136" s="174" t="s">
        <v>553</v>
      </c>
      <c r="B136" s="175" t="s">
        <v>554</v>
      </c>
      <c r="C136" s="176" t="s">
        <v>555</v>
      </c>
      <c r="D136" s="172" t="s">
        <v>444</v>
      </c>
      <c r="E136" s="172">
        <v>2</v>
      </c>
      <c r="F136" s="233">
        <f>T136/E136</f>
        <v>3801.5</v>
      </c>
      <c r="G136" s="237">
        <f t="shared" ref="G136" si="61">F136*E136</f>
        <v>7603</v>
      </c>
      <c r="J136" s="424"/>
      <c r="K136" s="377">
        <v>4858</v>
      </c>
      <c r="L136" s="427">
        <f>0.07504/14*E136*$N$11</f>
        <v>43</v>
      </c>
      <c r="M136" s="427"/>
      <c r="N136" s="438"/>
      <c r="O136" s="375">
        <f t="shared" si="56"/>
        <v>43</v>
      </c>
      <c r="P136" s="362">
        <f t="shared" si="59"/>
        <v>4901</v>
      </c>
      <c r="Q136" s="362">
        <f t="shared" si="52"/>
        <v>69</v>
      </c>
      <c r="R136" s="362">
        <f t="shared" si="53"/>
        <v>84</v>
      </c>
      <c r="S136" s="362">
        <f t="shared" si="54"/>
        <v>5054</v>
      </c>
      <c r="T136" s="362">
        <f>S136*'НМЦК подряд'!$C$16*'НМЦК подряд'!$E$16</f>
        <v>7603</v>
      </c>
      <c r="U136" s="427">
        <f t="shared" si="55"/>
        <v>43</v>
      </c>
      <c r="V136" s="234"/>
    </row>
    <row r="137" spans="1:22">
      <c r="A137" s="156"/>
      <c r="B137" s="193"/>
      <c r="C137" s="176" t="s">
        <v>556</v>
      </c>
      <c r="D137" s="172"/>
      <c r="E137" s="172"/>
      <c r="F137" s="233"/>
      <c r="G137" s="176"/>
      <c r="J137" s="424"/>
      <c r="K137" s="377"/>
      <c r="L137" s="427"/>
      <c r="M137" s="427"/>
      <c r="N137" s="438"/>
      <c r="O137" s="375">
        <f t="shared" si="56"/>
        <v>0</v>
      </c>
      <c r="P137" s="362">
        <f t="shared" si="59"/>
        <v>0</v>
      </c>
      <c r="Q137" s="362">
        <f t="shared" si="52"/>
        <v>0</v>
      </c>
      <c r="R137" s="362">
        <f t="shared" si="53"/>
        <v>0</v>
      </c>
      <c r="S137" s="362">
        <f t="shared" si="54"/>
        <v>0</v>
      </c>
      <c r="T137" s="362">
        <f>S137*'НМЦК подряд'!$C$16*'НМЦК подряд'!$E$16</f>
        <v>0</v>
      </c>
      <c r="U137" s="427">
        <f t="shared" si="55"/>
        <v>0</v>
      </c>
      <c r="V137" s="234"/>
    </row>
    <row r="138" ht="31.5" spans="1:22">
      <c r="A138" s="174" t="s">
        <v>557</v>
      </c>
      <c r="B138" s="175" t="s">
        <v>558</v>
      </c>
      <c r="C138" s="176" t="s">
        <v>559</v>
      </c>
      <c r="D138" s="172" t="s">
        <v>444</v>
      </c>
      <c r="E138" s="172">
        <v>2</v>
      </c>
      <c r="F138" s="233">
        <f>T138/E138</f>
        <v>3801.5</v>
      </c>
      <c r="G138" s="237">
        <f t="shared" ref="G138" si="62">F138*E138</f>
        <v>7603</v>
      </c>
      <c r="J138" s="424"/>
      <c r="K138" s="377">
        <v>4858</v>
      </c>
      <c r="L138" s="427">
        <f>0.07504/14*E138*$N$11</f>
        <v>43</v>
      </c>
      <c r="M138" s="427"/>
      <c r="N138" s="438"/>
      <c r="O138" s="375">
        <f t="shared" si="56"/>
        <v>43</v>
      </c>
      <c r="P138" s="362">
        <f t="shared" si="59"/>
        <v>4901</v>
      </c>
      <c r="Q138" s="362">
        <f t="shared" si="52"/>
        <v>69</v>
      </c>
      <c r="R138" s="362">
        <f t="shared" si="53"/>
        <v>84</v>
      </c>
      <c r="S138" s="362">
        <f t="shared" si="54"/>
        <v>5054</v>
      </c>
      <c r="T138" s="362">
        <f>S138*'НМЦК подряд'!$C$16*'НМЦК подряд'!$E$16</f>
        <v>7603</v>
      </c>
      <c r="U138" s="427">
        <f t="shared" si="55"/>
        <v>43</v>
      </c>
      <c r="V138" s="234"/>
    </row>
    <row r="139" spans="1:22">
      <c r="A139" s="156"/>
      <c r="B139" s="193"/>
      <c r="C139" s="193" t="s">
        <v>560</v>
      </c>
      <c r="D139" s="172"/>
      <c r="E139" s="172"/>
      <c r="F139" s="233"/>
      <c r="G139" s="176"/>
      <c r="J139" s="424"/>
      <c r="K139" s="377"/>
      <c r="L139" s="427"/>
      <c r="M139" s="427"/>
      <c r="N139" s="438"/>
      <c r="O139" s="375">
        <f t="shared" si="56"/>
        <v>0</v>
      </c>
      <c r="P139" s="362">
        <f t="shared" si="59"/>
        <v>0</v>
      </c>
      <c r="Q139" s="362">
        <f t="shared" si="52"/>
        <v>0</v>
      </c>
      <c r="R139" s="362">
        <f t="shared" si="53"/>
        <v>0</v>
      </c>
      <c r="S139" s="362">
        <f t="shared" si="54"/>
        <v>0</v>
      </c>
      <c r="T139" s="362">
        <f>S139*'НМЦК подряд'!$C$16*'НМЦК подряд'!$E$16</f>
        <v>0</v>
      </c>
      <c r="U139" s="427">
        <f t="shared" si="55"/>
        <v>0</v>
      </c>
      <c r="V139" s="234"/>
    </row>
    <row r="140" ht="31.5" spans="1:22">
      <c r="A140" s="174" t="s">
        <v>561</v>
      </c>
      <c r="B140" s="175" t="s">
        <v>562</v>
      </c>
      <c r="C140" s="176" t="s">
        <v>563</v>
      </c>
      <c r="D140" s="172" t="s">
        <v>444</v>
      </c>
      <c r="E140" s="172">
        <v>2</v>
      </c>
      <c r="F140" s="233">
        <f>T140/E140</f>
        <v>3938</v>
      </c>
      <c r="G140" s="237">
        <f t="shared" ref="G140:G142" si="63">F140*E140</f>
        <v>7876</v>
      </c>
      <c r="J140" s="424"/>
      <c r="K140" s="377">
        <v>5033</v>
      </c>
      <c r="L140" s="427">
        <f>0.07504/14*E140*$N$11</f>
        <v>43</v>
      </c>
      <c r="M140" s="427"/>
      <c r="N140" s="438"/>
      <c r="O140" s="375">
        <f t="shared" si="56"/>
        <v>43</v>
      </c>
      <c r="P140" s="362">
        <f t="shared" si="59"/>
        <v>5076</v>
      </c>
      <c r="Q140" s="362">
        <f t="shared" si="52"/>
        <v>72</v>
      </c>
      <c r="R140" s="362">
        <f t="shared" si="53"/>
        <v>87</v>
      </c>
      <c r="S140" s="362">
        <f t="shared" si="54"/>
        <v>5235</v>
      </c>
      <c r="T140" s="362">
        <f>S140*'НМЦК подряд'!$C$16*'НМЦК подряд'!$E$16</f>
        <v>7876</v>
      </c>
      <c r="U140" s="427">
        <f t="shared" si="55"/>
        <v>43</v>
      </c>
      <c r="V140" s="234"/>
    </row>
    <row r="141" ht="31.5" spans="1:22">
      <c r="A141" s="174" t="s">
        <v>564</v>
      </c>
      <c r="B141" s="175" t="s">
        <v>565</v>
      </c>
      <c r="C141" s="175" t="s">
        <v>566</v>
      </c>
      <c r="D141" s="172" t="s">
        <v>444</v>
      </c>
      <c r="E141" s="172">
        <v>4</v>
      </c>
      <c r="F141" s="233">
        <f>T141/E141</f>
        <v>6067.75</v>
      </c>
      <c r="G141" s="237">
        <f t="shared" si="63"/>
        <v>24271</v>
      </c>
      <c r="J141" s="424"/>
      <c r="K141" s="377">
        <v>15556</v>
      </c>
      <c r="L141" s="427">
        <f>0.07504/14*E141*$N$11</f>
        <v>87</v>
      </c>
      <c r="M141" s="427"/>
      <c r="N141" s="438"/>
      <c r="O141" s="375">
        <f t="shared" si="56"/>
        <v>87</v>
      </c>
      <c r="P141" s="362">
        <f t="shared" si="59"/>
        <v>15643</v>
      </c>
      <c r="Q141" s="362">
        <f t="shared" si="52"/>
        <v>222</v>
      </c>
      <c r="R141" s="362">
        <f t="shared" si="53"/>
        <v>268</v>
      </c>
      <c r="S141" s="362">
        <f t="shared" si="54"/>
        <v>16133</v>
      </c>
      <c r="T141" s="362">
        <f>S141*'НМЦК подряд'!$C$16*'НМЦК подряд'!$E$16</f>
        <v>24271</v>
      </c>
      <c r="U141" s="427">
        <f t="shared" si="55"/>
        <v>87</v>
      </c>
      <c r="V141" s="234"/>
    </row>
    <row r="142" ht="31.5" spans="1:22">
      <c r="A142" s="174" t="s">
        <v>567</v>
      </c>
      <c r="B142" s="175" t="s">
        <v>568</v>
      </c>
      <c r="C142" s="176" t="s">
        <v>569</v>
      </c>
      <c r="D142" s="172" t="s">
        <v>444</v>
      </c>
      <c r="E142" s="172">
        <v>2</v>
      </c>
      <c r="F142" s="233">
        <f>T142/E142</f>
        <v>3801.5</v>
      </c>
      <c r="G142" s="237">
        <f t="shared" si="63"/>
        <v>7603</v>
      </c>
      <c r="H142" s="285"/>
      <c r="I142" s="285"/>
      <c r="J142" s="376"/>
      <c r="K142" s="377">
        <v>4858</v>
      </c>
      <c r="L142" s="427">
        <f>0.07504/14*E142*$N$11</f>
        <v>43</v>
      </c>
      <c r="M142" s="427"/>
      <c r="N142" s="438"/>
      <c r="O142" s="375">
        <f t="shared" si="56"/>
        <v>43</v>
      </c>
      <c r="P142" s="362">
        <f t="shared" si="59"/>
        <v>4901</v>
      </c>
      <c r="Q142" s="362">
        <f t="shared" si="52"/>
        <v>69</v>
      </c>
      <c r="R142" s="362">
        <f t="shared" si="53"/>
        <v>84</v>
      </c>
      <c r="S142" s="362">
        <f t="shared" si="54"/>
        <v>5054</v>
      </c>
      <c r="T142" s="362">
        <f>S142*'НМЦК подряд'!$C$16*'НМЦК подряд'!$E$16</f>
        <v>7603</v>
      </c>
      <c r="U142" s="427">
        <f t="shared" si="55"/>
        <v>43</v>
      </c>
      <c r="V142" s="234"/>
    </row>
    <row r="143" ht="31.5" spans="1:22">
      <c r="A143" s="156"/>
      <c r="B143" s="176"/>
      <c r="C143" s="192" t="s">
        <v>570</v>
      </c>
      <c r="D143" s="193"/>
      <c r="E143" s="172"/>
      <c r="F143" s="233"/>
      <c r="G143" s="193"/>
      <c r="J143" s="424"/>
      <c r="K143" s="382"/>
      <c r="L143" s="427"/>
      <c r="M143" s="427"/>
      <c r="N143" s="438"/>
      <c r="O143" s="375">
        <f t="shared" si="56"/>
        <v>0</v>
      </c>
      <c r="P143" s="362">
        <f t="shared" si="59"/>
        <v>0</v>
      </c>
      <c r="Q143" s="362">
        <f t="shared" si="52"/>
        <v>0</v>
      </c>
      <c r="R143" s="362">
        <f t="shared" si="53"/>
        <v>0</v>
      </c>
      <c r="S143" s="362">
        <f t="shared" si="54"/>
        <v>0</v>
      </c>
      <c r="T143" s="362">
        <f>S143*'НМЦК подряд'!$C$16*'НМЦК подряд'!$E$16</f>
        <v>0</v>
      </c>
      <c r="U143" s="427">
        <f t="shared" si="55"/>
        <v>0</v>
      </c>
      <c r="V143" s="234"/>
    </row>
    <row r="144" spans="1:22">
      <c r="A144" s="174" t="s">
        <v>571</v>
      </c>
      <c r="B144" s="175" t="s">
        <v>572</v>
      </c>
      <c r="C144" s="176" t="s">
        <v>573</v>
      </c>
      <c r="D144" s="172" t="s">
        <v>574</v>
      </c>
      <c r="E144" s="172">
        <f>998+186+38</f>
        <v>1222</v>
      </c>
      <c r="F144" s="233">
        <f>T144/E144</f>
        <v>44.8</v>
      </c>
      <c r="G144" s="237">
        <f t="shared" ref="G144" si="64">F144*E144</f>
        <v>54745.6</v>
      </c>
      <c r="H144" s="285"/>
      <c r="I144" s="285"/>
      <c r="J144" s="376"/>
      <c r="K144" s="377">
        <f>(24628+40390)/199*108</f>
        <v>35286</v>
      </c>
      <c r="L144" s="385"/>
      <c r="M144" s="427"/>
      <c r="N144" s="438"/>
      <c r="O144" s="375">
        <f t="shared" si="56"/>
        <v>0</v>
      </c>
      <c r="P144" s="362">
        <f t="shared" si="59"/>
        <v>35286</v>
      </c>
      <c r="Q144" s="362">
        <f t="shared" si="52"/>
        <v>500</v>
      </c>
      <c r="R144" s="362">
        <f t="shared" si="53"/>
        <v>604</v>
      </c>
      <c r="S144" s="362">
        <f t="shared" si="54"/>
        <v>36390</v>
      </c>
      <c r="T144" s="362">
        <f>S144*'НМЦК подряд'!$C$16*'НМЦК подряд'!$E$16</f>
        <v>54747</v>
      </c>
      <c r="U144" s="427">
        <f t="shared" si="55"/>
        <v>0</v>
      </c>
      <c r="V144" s="234"/>
    </row>
    <row r="145" ht="31.5" spans="1:22">
      <c r="A145" s="156"/>
      <c r="B145" s="193"/>
      <c r="C145" s="192" t="s">
        <v>575</v>
      </c>
      <c r="D145" s="193"/>
      <c r="E145" s="172"/>
      <c r="F145" s="233"/>
      <c r="G145" s="237"/>
      <c r="J145" s="424"/>
      <c r="K145" s="421"/>
      <c r="L145" s="427"/>
      <c r="M145" s="427"/>
      <c r="N145" s="438"/>
      <c r="O145" s="375">
        <f t="shared" si="56"/>
        <v>0</v>
      </c>
      <c r="P145" s="362">
        <f t="shared" si="59"/>
        <v>0</v>
      </c>
      <c r="Q145" s="362">
        <f t="shared" si="52"/>
        <v>0</v>
      </c>
      <c r="R145" s="362">
        <f t="shared" si="53"/>
        <v>0</v>
      </c>
      <c r="S145" s="362">
        <f t="shared" si="54"/>
        <v>0</v>
      </c>
      <c r="T145" s="362">
        <f>S145*'НМЦК подряд'!$C$16*'НМЦК подряд'!$E$16</f>
        <v>0</v>
      </c>
      <c r="U145" s="427">
        <f t="shared" si="55"/>
        <v>0</v>
      </c>
      <c r="V145" s="234"/>
    </row>
    <row r="146" ht="16.5" spans="1:22">
      <c r="A146" s="174" t="s">
        <v>576</v>
      </c>
      <c r="B146" s="235" t="s">
        <v>572</v>
      </c>
      <c r="C146" s="291" t="s">
        <v>577</v>
      </c>
      <c r="D146" s="236" t="s">
        <v>578</v>
      </c>
      <c r="E146" s="236">
        <v>91</v>
      </c>
      <c r="F146" s="237">
        <f>T146/E146</f>
        <v>506.91</v>
      </c>
      <c r="G146" s="237">
        <f t="shared" ref="G146" si="65">F146*E146</f>
        <v>46128.81</v>
      </c>
      <c r="H146" s="285"/>
      <c r="I146" s="285"/>
      <c r="J146" s="376"/>
      <c r="K146" s="377">
        <v>29732</v>
      </c>
      <c r="L146" s="385"/>
      <c r="M146" s="427"/>
      <c r="N146" s="438"/>
      <c r="O146" s="375">
        <f t="shared" si="56"/>
        <v>0</v>
      </c>
      <c r="P146" s="362">
        <f t="shared" si="59"/>
        <v>29732</v>
      </c>
      <c r="Q146" s="362">
        <f t="shared" si="52"/>
        <v>421</v>
      </c>
      <c r="R146" s="362">
        <f t="shared" si="53"/>
        <v>509</v>
      </c>
      <c r="S146" s="362">
        <f t="shared" si="54"/>
        <v>30662</v>
      </c>
      <c r="T146" s="362">
        <f>S146*'НМЦК подряд'!$C$16*'НМЦК подряд'!$E$16</f>
        <v>46129</v>
      </c>
      <c r="U146" s="427">
        <f t="shared" si="55"/>
        <v>0</v>
      </c>
      <c r="V146" s="234"/>
    </row>
    <row r="147" ht="16.5" spans="1:22">
      <c r="A147" s="238"/>
      <c r="B147" s="378"/>
      <c r="C147" s="239" t="s">
        <v>579</v>
      </c>
      <c r="D147" s="240"/>
      <c r="E147" s="240"/>
      <c r="F147" s="270"/>
      <c r="G147" s="242">
        <f>SUM(G126:G146)</f>
        <v>2247805.88</v>
      </c>
      <c r="J147" s="424"/>
      <c r="K147" s="441">
        <f>SUM(K100:K146)</f>
        <v>5895279</v>
      </c>
      <c r="L147" s="441"/>
      <c r="M147" s="441"/>
      <c r="N147" s="441"/>
      <c r="O147" s="441">
        <f t="shared" ref="O147:U147" si="66">SUM(O100:O146)</f>
        <v>812360</v>
      </c>
      <c r="P147" s="441">
        <f t="shared" si="66"/>
        <v>6707639</v>
      </c>
      <c r="Q147" s="441">
        <f t="shared" si="66"/>
        <v>94996</v>
      </c>
      <c r="R147" s="441">
        <f t="shared" si="66"/>
        <v>114826</v>
      </c>
      <c r="S147" s="441">
        <f t="shared" si="66"/>
        <v>6917461</v>
      </c>
      <c r="T147" s="441">
        <f t="shared" si="66"/>
        <v>10406924</v>
      </c>
      <c r="U147" s="441">
        <f t="shared" si="66"/>
        <v>812360</v>
      </c>
      <c r="V147" s="234"/>
    </row>
    <row r="148" ht="16.5" spans="1:22">
      <c r="A148" s="250"/>
      <c r="B148" s="386"/>
      <c r="C148" s="239" t="s">
        <v>580</v>
      </c>
      <c r="D148" s="251"/>
      <c r="E148" s="251"/>
      <c r="F148" s="270"/>
      <c r="G148" s="242">
        <f>G147+G123+G96+G91+G88</f>
        <v>139505667.49</v>
      </c>
      <c r="J148" s="424"/>
      <c r="K148" s="431">
        <f>K147+K96+K91+K88</f>
        <v>86677125</v>
      </c>
      <c r="L148" s="431"/>
      <c r="M148" s="431"/>
      <c r="N148" s="431"/>
      <c r="O148" s="431">
        <f t="shared" ref="O148:U148" si="67">O147+O96+O91+O88</f>
        <v>3239384</v>
      </c>
      <c r="P148" s="431">
        <f t="shared" si="67"/>
        <v>89916509</v>
      </c>
      <c r="Q148" s="431">
        <f t="shared" si="67"/>
        <v>1273434</v>
      </c>
      <c r="R148" s="431">
        <f t="shared" si="67"/>
        <v>1539193</v>
      </c>
      <c r="S148" s="431">
        <f t="shared" si="67"/>
        <v>92729136</v>
      </c>
      <c r="T148" s="431">
        <f t="shared" si="67"/>
        <v>139505668</v>
      </c>
      <c r="U148" s="431">
        <f t="shared" si="67"/>
        <v>3239384</v>
      </c>
      <c r="V148" s="234"/>
    </row>
    <row r="149" spans="1:22">
      <c r="A149" s="292" t="s">
        <v>581</v>
      </c>
      <c r="B149" s="388"/>
      <c r="C149" s="254"/>
      <c r="D149" s="293"/>
      <c r="E149" s="293"/>
      <c r="F149" s="276"/>
      <c r="G149" s="294"/>
      <c r="J149" s="424"/>
      <c r="K149" s="425"/>
      <c r="L149" s="448"/>
      <c r="M149" s="427"/>
      <c r="N149" s="438"/>
      <c r="O149" s="375">
        <f t="shared" si="56"/>
        <v>0</v>
      </c>
      <c r="P149" s="362">
        <f t="shared" si="59"/>
        <v>0</v>
      </c>
      <c r="Q149" s="362">
        <f>P149*$Q$12</f>
        <v>0</v>
      </c>
      <c r="R149" s="362">
        <f>P149*$R$12</f>
        <v>0</v>
      </c>
      <c r="S149" s="362">
        <f>K149+Q149+R149</f>
        <v>0</v>
      </c>
      <c r="T149" s="362">
        <f>S149*'НМЦК подряд'!$C$16*'НМЦК подряд'!$E$16</f>
        <v>0</v>
      </c>
      <c r="U149" s="427">
        <f>L149+M149+N149</f>
        <v>0</v>
      </c>
      <c r="V149" s="234"/>
    </row>
    <row r="150" spans="1:22">
      <c r="A150" s="295" t="s">
        <v>582</v>
      </c>
      <c r="B150" s="450"/>
      <c r="C150" s="296"/>
      <c r="D150" s="180"/>
      <c r="E150" s="180"/>
      <c r="F150" s="233"/>
      <c r="G150" s="297"/>
      <c r="J150" s="424"/>
      <c r="K150" s="425"/>
      <c r="L150" s="448"/>
      <c r="M150" s="427"/>
      <c r="N150" s="438"/>
      <c r="O150" s="375">
        <f t="shared" si="56"/>
        <v>0</v>
      </c>
      <c r="P150" s="362">
        <f t="shared" si="59"/>
        <v>0</v>
      </c>
      <c r="Q150" s="362">
        <f>P150*$Q$12</f>
        <v>0</v>
      </c>
      <c r="R150" s="362">
        <f>P150*$R$12</f>
        <v>0</v>
      </c>
      <c r="S150" s="362">
        <f>K150+Q150+R150</f>
        <v>0</v>
      </c>
      <c r="T150" s="362">
        <f>S150*'НМЦК подряд'!$C$16*'НМЦК подряд'!$E$16</f>
        <v>0</v>
      </c>
      <c r="U150" s="427">
        <f>L150+M150+N150</f>
        <v>0</v>
      </c>
      <c r="V150" s="234"/>
    </row>
    <row r="151" spans="1:22">
      <c r="A151" s="186"/>
      <c r="B151" s="196"/>
      <c r="C151" s="197" t="s">
        <v>326</v>
      </c>
      <c r="D151" s="180"/>
      <c r="E151" s="180"/>
      <c r="F151" s="233"/>
      <c r="G151" s="297"/>
      <c r="J151" s="424"/>
      <c r="K151" s="425"/>
      <c r="L151" s="448"/>
      <c r="M151" s="427"/>
      <c r="N151" s="438"/>
      <c r="O151" s="375"/>
      <c r="P151" s="362"/>
      <c r="Q151" s="362"/>
      <c r="R151" s="362"/>
      <c r="S151" s="362"/>
      <c r="T151" s="362"/>
      <c r="U151" s="427"/>
      <c r="V151" s="234"/>
    </row>
    <row r="152" spans="1:22">
      <c r="A152" s="186"/>
      <c r="B152" s="196"/>
      <c r="C152" s="198" t="s">
        <v>583</v>
      </c>
      <c r="D152" s="180"/>
      <c r="E152" s="180"/>
      <c r="F152" s="233"/>
      <c r="G152" s="297"/>
      <c r="J152" s="424"/>
      <c r="K152" s="425"/>
      <c r="L152" s="448"/>
      <c r="M152" s="427"/>
      <c r="N152" s="438"/>
      <c r="O152" s="375">
        <f t="shared" si="56"/>
        <v>0</v>
      </c>
      <c r="P152" s="362">
        <f t="shared" si="59"/>
        <v>0</v>
      </c>
      <c r="Q152" s="362">
        <f t="shared" ref="Q152:Q185" si="68">P152*$Q$12</f>
        <v>0</v>
      </c>
      <c r="R152" s="362">
        <f t="shared" ref="R152:R185" si="69">P152*$R$12</f>
        <v>0</v>
      </c>
      <c r="S152" s="362">
        <f>K152+Q152+R152</f>
        <v>0</v>
      </c>
      <c r="T152" s="362">
        <f>S152*'НМЦК подряд'!$C$16*'НМЦК подряд'!$E$16</f>
        <v>0</v>
      </c>
      <c r="U152" s="427">
        <f>L152+M152+N152</f>
        <v>0</v>
      </c>
      <c r="V152" s="234"/>
    </row>
    <row r="153" spans="1:22">
      <c r="A153" s="174" t="s">
        <v>584</v>
      </c>
      <c r="B153" s="180" t="s">
        <v>585</v>
      </c>
      <c r="C153" s="181" t="s">
        <v>329</v>
      </c>
      <c r="D153" s="180" t="s">
        <v>330</v>
      </c>
      <c r="E153" s="180">
        <v>19.71</v>
      </c>
      <c r="F153" s="233">
        <f t="shared" ref="F153:F162" si="70">T153/E153</f>
        <v>64336.02</v>
      </c>
      <c r="G153" s="237">
        <f t="shared" ref="G153:G214" si="71">F153*E153</f>
        <v>1268062.95</v>
      </c>
      <c r="J153" s="424"/>
      <c r="K153" s="425">
        <f>3450877/83.22*19.71</f>
        <v>817313</v>
      </c>
      <c r="L153" s="448"/>
      <c r="M153" s="427"/>
      <c r="N153" s="438"/>
      <c r="O153" s="375">
        <f t="shared" si="56"/>
        <v>0</v>
      </c>
      <c r="P153" s="362">
        <f t="shared" si="59"/>
        <v>817313</v>
      </c>
      <c r="Q153" s="362">
        <f t="shared" si="68"/>
        <v>11575</v>
      </c>
      <c r="R153" s="362">
        <f t="shared" si="69"/>
        <v>13991</v>
      </c>
      <c r="S153" s="362">
        <f t="shared" ref="S153:S185" si="72">P153+Q153+R153</f>
        <v>842879</v>
      </c>
      <c r="T153" s="362">
        <f>S153*'НМЦК подряд'!$C$16*'НМЦК подряд'!$E$16</f>
        <v>1268063</v>
      </c>
      <c r="U153" s="427">
        <f>L153+M153+N153</f>
        <v>0</v>
      </c>
      <c r="V153" s="234"/>
    </row>
    <row r="154" spans="1:22">
      <c r="A154" s="174" t="s">
        <v>586</v>
      </c>
      <c r="B154" s="180" t="s">
        <v>585</v>
      </c>
      <c r="C154" s="181" t="s">
        <v>587</v>
      </c>
      <c r="D154" s="180" t="s">
        <v>330</v>
      </c>
      <c r="E154" s="180">
        <v>63.51</v>
      </c>
      <c r="F154" s="233">
        <f t="shared" si="70"/>
        <v>64336.01</v>
      </c>
      <c r="G154" s="237">
        <f t="shared" ref="G154" si="73">F154*E154</f>
        <v>4085980</v>
      </c>
      <c r="J154" s="424"/>
      <c r="K154" s="425">
        <f>3450877/83.22*63.51</f>
        <v>2633564</v>
      </c>
      <c r="L154" s="448"/>
      <c r="M154" s="427"/>
      <c r="N154" s="438"/>
      <c r="O154" s="375">
        <f t="shared" ref="O154" si="74">L154+M154+N154</f>
        <v>0</v>
      </c>
      <c r="P154" s="362">
        <f t="shared" si="59"/>
        <v>2633564</v>
      </c>
      <c r="Q154" s="362">
        <f t="shared" si="68"/>
        <v>37298</v>
      </c>
      <c r="R154" s="362">
        <f t="shared" si="69"/>
        <v>45081</v>
      </c>
      <c r="S154" s="362">
        <f t="shared" si="72"/>
        <v>2715943</v>
      </c>
      <c r="T154" s="362">
        <f>S154*'НМЦК подряд'!$C$16*'НМЦК подряд'!$E$16</f>
        <v>4085980</v>
      </c>
      <c r="U154" s="427"/>
      <c r="V154" s="234"/>
    </row>
    <row r="155" spans="1:22">
      <c r="A155" s="174" t="s">
        <v>588</v>
      </c>
      <c r="B155" s="180" t="s">
        <v>589</v>
      </c>
      <c r="C155" s="181" t="s">
        <v>335</v>
      </c>
      <c r="D155" s="180" t="s">
        <v>330</v>
      </c>
      <c r="E155" s="180">
        <v>63.51</v>
      </c>
      <c r="F155" s="233">
        <f t="shared" si="70"/>
        <v>77839.33</v>
      </c>
      <c r="G155" s="237">
        <f t="shared" si="71"/>
        <v>4943575.85</v>
      </c>
      <c r="J155" s="424"/>
      <c r="K155" s="425">
        <f>3186316</f>
        <v>3186316</v>
      </c>
      <c r="L155" s="448"/>
      <c r="M155" s="427"/>
      <c r="N155" s="438"/>
      <c r="O155" s="375">
        <f t="shared" si="56"/>
        <v>0</v>
      </c>
      <c r="P155" s="362">
        <f t="shared" si="59"/>
        <v>3186316</v>
      </c>
      <c r="Q155" s="362">
        <f t="shared" si="68"/>
        <v>45126</v>
      </c>
      <c r="R155" s="362">
        <f t="shared" si="69"/>
        <v>54543</v>
      </c>
      <c r="S155" s="362">
        <f t="shared" si="72"/>
        <v>3285985</v>
      </c>
      <c r="T155" s="362">
        <f>S155*'НМЦК подряд'!$C$16*'НМЦК подряд'!$E$16</f>
        <v>4943576</v>
      </c>
      <c r="U155" s="427">
        <f>L155+M155+N155</f>
        <v>0</v>
      </c>
      <c r="V155" s="234"/>
    </row>
    <row r="156" ht="31.5" spans="1:22">
      <c r="A156" s="174" t="s">
        <v>590</v>
      </c>
      <c r="B156" s="180" t="s">
        <v>591</v>
      </c>
      <c r="C156" s="181" t="s">
        <v>338</v>
      </c>
      <c r="D156" s="180"/>
      <c r="E156" s="199">
        <f>146.73*1.01</f>
        <v>148.2</v>
      </c>
      <c r="F156" s="233">
        <f t="shared" si="70"/>
        <v>154224.85</v>
      </c>
      <c r="G156" s="237">
        <f t="shared" si="71"/>
        <v>22856122.77</v>
      </c>
      <c r="J156" s="424"/>
      <c r="K156" s="425">
        <v>14131017</v>
      </c>
      <c r="L156" s="448"/>
      <c r="M156" s="427">
        <f>146.73*1.01*N11</f>
        <v>600592</v>
      </c>
      <c r="N156" s="438"/>
      <c r="O156" s="375">
        <f t="shared" si="56"/>
        <v>600592</v>
      </c>
      <c r="P156" s="362">
        <f t="shared" si="59"/>
        <v>14731609</v>
      </c>
      <c r="Q156" s="362">
        <f t="shared" si="68"/>
        <v>208635</v>
      </c>
      <c r="R156" s="362">
        <f t="shared" si="69"/>
        <v>252175</v>
      </c>
      <c r="S156" s="362">
        <f t="shared" si="72"/>
        <v>15192419</v>
      </c>
      <c r="T156" s="362">
        <f>S156*'НМЦК подряд'!$C$16*'НМЦК подряд'!$E$16</f>
        <v>22856123</v>
      </c>
      <c r="U156" s="427">
        <f>L156+M156+N156</f>
        <v>600592</v>
      </c>
      <c r="V156" s="234"/>
    </row>
    <row r="157" ht="31.5" spans="1:22">
      <c r="A157" s="174" t="s">
        <v>592</v>
      </c>
      <c r="B157" s="180" t="s">
        <v>593</v>
      </c>
      <c r="C157" s="181" t="s">
        <v>350</v>
      </c>
      <c r="D157" s="180" t="s">
        <v>284</v>
      </c>
      <c r="E157" s="180">
        <v>59.7</v>
      </c>
      <c r="F157" s="233">
        <f t="shared" si="70"/>
        <v>236099.7</v>
      </c>
      <c r="G157" s="237">
        <f t="shared" si="71"/>
        <v>14095152.09</v>
      </c>
      <c r="J157" s="424"/>
      <c r="K157" s="425">
        <f>3480452+5362447</f>
        <v>8842899</v>
      </c>
      <c r="L157" s="448"/>
      <c r="M157" s="427">
        <f>59.7*N11</f>
        <v>241943</v>
      </c>
      <c r="N157" s="438"/>
      <c r="O157" s="375">
        <f t="shared" si="56"/>
        <v>241943</v>
      </c>
      <c r="P157" s="362">
        <f t="shared" si="59"/>
        <v>9084842</v>
      </c>
      <c r="Q157" s="362">
        <f t="shared" si="68"/>
        <v>128663</v>
      </c>
      <c r="R157" s="362">
        <f t="shared" si="69"/>
        <v>155514</v>
      </c>
      <c r="S157" s="362">
        <f t="shared" si="72"/>
        <v>9369019</v>
      </c>
      <c r="T157" s="362">
        <f>S157*'НМЦК подряд'!$C$16*'НМЦК подряд'!$E$16</f>
        <v>14095152</v>
      </c>
      <c r="U157" s="427">
        <f>L157+M157+N157</f>
        <v>241943</v>
      </c>
      <c r="V157" s="234"/>
    </row>
    <row r="158" spans="1:22">
      <c r="A158" s="174" t="s">
        <v>594</v>
      </c>
      <c r="B158" s="180" t="s">
        <v>595</v>
      </c>
      <c r="C158" s="181" t="s">
        <v>596</v>
      </c>
      <c r="D158" s="180" t="s">
        <v>444</v>
      </c>
      <c r="E158" s="180">
        <v>67</v>
      </c>
      <c r="F158" s="233">
        <f t="shared" si="70"/>
        <v>30016.82</v>
      </c>
      <c r="G158" s="237">
        <f t="shared" si="71"/>
        <v>2011126.94</v>
      </c>
      <c r="J158" s="424"/>
      <c r="K158" s="425">
        <f>1296245</f>
        <v>1296245</v>
      </c>
      <c r="L158" s="448"/>
      <c r="M158" s="427"/>
      <c r="N158" s="438"/>
      <c r="O158" s="375">
        <f t="shared" si="56"/>
        <v>0</v>
      </c>
      <c r="P158" s="362">
        <f t="shared" si="59"/>
        <v>1296245</v>
      </c>
      <c r="Q158" s="362">
        <f t="shared" si="68"/>
        <v>18358</v>
      </c>
      <c r="R158" s="362">
        <f t="shared" si="69"/>
        <v>22189</v>
      </c>
      <c r="S158" s="362">
        <f t="shared" si="72"/>
        <v>1336792</v>
      </c>
      <c r="T158" s="362">
        <f>S158*'НМЦК подряд'!$C$16*'НМЦК подряд'!$E$16</f>
        <v>2011127</v>
      </c>
      <c r="U158" s="427">
        <f>L158+M158+N158</f>
        <v>0</v>
      </c>
      <c r="V158" s="234"/>
    </row>
    <row r="159" ht="31.5" spans="1:22">
      <c r="A159" s="174" t="s">
        <v>597</v>
      </c>
      <c r="B159" s="180" t="s">
        <v>598</v>
      </c>
      <c r="C159" s="181" t="s">
        <v>344</v>
      </c>
      <c r="D159" s="180" t="s">
        <v>330</v>
      </c>
      <c r="E159" s="180">
        <v>19.2734</v>
      </c>
      <c r="F159" s="233">
        <f t="shared" si="70"/>
        <v>173940.66</v>
      </c>
      <c r="G159" s="237">
        <f t="shared" ref="G159" si="75">F159*E159</f>
        <v>3352427.92</v>
      </c>
      <c r="J159" s="424"/>
      <c r="K159" s="425">
        <f>2090894</f>
        <v>2090894</v>
      </c>
      <c r="L159" s="448"/>
      <c r="M159" s="427"/>
      <c r="N159" s="438">
        <f>17.24*N11</f>
        <v>69868</v>
      </c>
      <c r="O159" s="375">
        <f t="shared" si="56"/>
        <v>69868</v>
      </c>
      <c r="P159" s="362">
        <f t="shared" ref="P159" si="76">K159+L159+M159+N159</f>
        <v>2160762</v>
      </c>
      <c r="Q159" s="362">
        <f t="shared" si="68"/>
        <v>30602</v>
      </c>
      <c r="R159" s="362">
        <f t="shared" si="69"/>
        <v>36988</v>
      </c>
      <c r="S159" s="362">
        <f t="shared" si="72"/>
        <v>2228352</v>
      </c>
      <c r="T159" s="362">
        <f>S159*'НМЦК подряд'!$C$16*'НМЦК подряд'!$E$16</f>
        <v>3352428</v>
      </c>
      <c r="U159" s="427"/>
      <c r="V159" s="234"/>
    </row>
    <row r="160" ht="31.5" spans="1:22">
      <c r="A160" s="174" t="s">
        <v>599</v>
      </c>
      <c r="B160" s="180" t="s">
        <v>600</v>
      </c>
      <c r="C160" s="181" t="s">
        <v>601</v>
      </c>
      <c r="D160" s="180" t="s">
        <v>274</v>
      </c>
      <c r="E160" s="180">
        <v>155.44</v>
      </c>
      <c r="F160" s="233">
        <f t="shared" si="70"/>
        <v>45430.91</v>
      </c>
      <c r="G160" s="237">
        <f t="shared" si="71"/>
        <v>7061780.65</v>
      </c>
      <c r="J160" s="424"/>
      <c r="K160" s="425">
        <f>2691400+1521739+67333</f>
        <v>4280472</v>
      </c>
      <c r="L160" s="448">
        <f>157.132*0.42573*N11</f>
        <v>271105</v>
      </c>
      <c r="M160" s="427"/>
      <c r="N160" s="438"/>
      <c r="O160" s="375">
        <f t="shared" si="56"/>
        <v>271105</v>
      </c>
      <c r="P160" s="362">
        <f t="shared" si="59"/>
        <v>4551577</v>
      </c>
      <c r="Q160" s="362">
        <f t="shared" si="68"/>
        <v>64461</v>
      </c>
      <c r="R160" s="362">
        <f t="shared" si="69"/>
        <v>77914</v>
      </c>
      <c r="S160" s="362">
        <f t="shared" si="72"/>
        <v>4693952</v>
      </c>
      <c r="T160" s="362">
        <f>S160*'НМЦК подряд'!$C$16*'НМЦК подряд'!$E$16</f>
        <v>7061781</v>
      </c>
      <c r="U160" s="427">
        <f t="shared" ref="U160:U185" si="77">L160+M160+N160</f>
        <v>271105</v>
      </c>
      <c r="V160" s="234"/>
    </row>
    <row r="161" ht="31.5" spans="1:22">
      <c r="A161" s="174" t="s">
        <v>602</v>
      </c>
      <c r="B161" s="180" t="s">
        <v>603</v>
      </c>
      <c r="C161" s="181" t="s">
        <v>604</v>
      </c>
      <c r="D161" s="180" t="s">
        <v>284</v>
      </c>
      <c r="E161" s="180">
        <v>2.81</v>
      </c>
      <c r="F161" s="233">
        <f t="shared" si="70"/>
        <v>321893.59</v>
      </c>
      <c r="G161" s="237">
        <f t="shared" si="71"/>
        <v>904520.99</v>
      </c>
      <c r="J161" s="424"/>
      <c r="K161" s="425">
        <f>571608</f>
        <v>571608</v>
      </c>
      <c r="L161" s="448"/>
      <c r="M161" s="427"/>
      <c r="N161" s="438">
        <f>E161*N11</f>
        <v>11388</v>
      </c>
      <c r="O161" s="375">
        <f t="shared" si="56"/>
        <v>11388</v>
      </c>
      <c r="P161" s="362">
        <f t="shared" si="59"/>
        <v>582996</v>
      </c>
      <c r="Q161" s="362">
        <f t="shared" si="68"/>
        <v>8257</v>
      </c>
      <c r="R161" s="362">
        <f t="shared" si="69"/>
        <v>9980</v>
      </c>
      <c r="S161" s="362">
        <f t="shared" si="72"/>
        <v>601233</v>
      </c>
      <c r="T161" s="362">
        <f>S161*'НМЦК подряд'!$C$16*'НМЦК подряд'!$E$16</f>
        <v>904521</v>
      </c>
      <c r="U161" s="427">
        <f t="shared" si="77"/>
        <v>11388</v>
      </c>
      <c r="V161" s="234"/>
    </row>
    <row r="162" ht="31.5" spans="1:22">
      <c r="A162" s="174" t="s">
        <v>605</v>
      </c>
      <c r="B162" s="180" t="s">
        <v>606</v>
      </c>
      <c r="C162" s="181" t="s">
        <v>607</v>
      </c>
      <c r="D162" s="180" t="s">
        <v>284</v>
      </c>
      <c r="E162" s="180">
        <v>4.6328</v>
      </c>
      <c r="F162" s="233">
        <f t="shared" si="70"/>
        <v>289630.25</v>
      </c>
      <c r="G162" s="237">
        <f t="shared" si="71"/>
        <v>1341799.02</v>
      </c>
      <c r="J162" s="424"/>
      <c r="K162" s="425">
        <f>356954+489110</f>
        <v>846064</v>
      </c>
      <c r="L162" s="448"/>
      <c r="M162" s="427"/>
      <c r="N162" s="438">
        <f>E162*N11</f>
        <v>18775</v>
      </c>
      <c r="O162" s="375">
        <f t="shared" si="56"/>
        <v>18775</v>
      </c>
      <c r="P162" s="362">
        <f t="shared" si="59"/>
        <v>864839</v>
      </c>
      <c r="Q162" s="362">
        <f t="shared" si="68"/>
        <v>12248</v>
      </c>
      <c r="R162" s="362">
        <f t="shared" si="69"/>
        <v>14804</v>
      </c>
      <c r="S162" s="362">
        <f t="shared" si="72"/>
        <v>891891</v>
      </c>
      <c r="T162" s="362">
        <f>S162*'НМЦК подряд'!$C$16*'НМЦК подряд'!$E$16</f>
        <v>1341799</v>
      </c>
      <c r="U162" s="427">
        <f t="shared" si="77"/>
        <v>18775</v>
      </c>
      <c r="V162" s="234"/>
    </row>
    <row r="163" spans="1:22">
      <c r="A163" s="156"/>
      <c r="B163" s="180"/>
      <c r="C163" s="200" t="s">
        <v>608</v>
      </c>
      <c r="D163" s="180"/>
      <c r="E163" s="180"/>
      <c r="F163" s="233"/>
      <c r="G163" s="237"/>
      <c r="J163" s="424"/>
      <c r="K163" s="425"/>
      <c r="L163" s="448"/>
      <c r="M163" s="427"/>
      <c r="N163" s="438"/>
      <c r="O163" s="375">
        <f t="shared" si="56"/>
        <v>0</v>
      </c>
      <c r="P163" s="362">
        <f t="shared" si="59"/>
        <v>0</v>
      </c>
      <c r="Q163" s="362">
        <f t="shared" si="68"/>
        <v>0</v>
      </c>
      <c r="R163" s="362">
        <f t="shared" si="69"/>
        <v>0</v>
      </c>
      <c r="S163" s="362">
        <f t="shared" si="72"/>
        <v>0</v>
      </c>
      <c r="T163" s="362">
        <f>S163*'НМЦК подряд'!$C$16*'НМЦК подряд'!$E$16</f>
        <v>0</v>
      </c>
      <c r="U163" s="427">
        <f t="shared" si="77"/>
        <v>0</v>
      </c>
      <c r="V163" s="234"/>
    </row>
    <row r="164" ht="31.5" spans="1:22">
      <c r="A164" s="174" t="s">
        <v>609</v>
      </c>
      <c r="B164" s="180" t="s">
        <v>610</v>
      </c>
      <c r="C164" s="181" t="s">
        <v>611</v>
      </c>
      <c r="D164" s="180" t="s">
        <v>274</v>
      </c>
      <c r="E164" s="180">
        <v>237</v>
      </c>
      <c r="F164" s="233">
        <f>T164/E164</f>
        <v>86337.76</v>
      </c>
      <c r="G164" s="237">
        <f t="shared" si="71"/>
        <v>20462049.12</v>
      </c>
      <c r="J164" s="424"/>
      <c r="K164" s="425">
        <f>6555058+2499517+49904+3446791+122024</f>
        <v>12673294</v>
      </c>
      <c r="L164" s="448"/>
      <c r="M164" s="427">
        <f>237*0.42573*N11</f>
        <v>408904</v>
      </c>
      <c r="N164" s="438">
        <f>26.24*N11</f>
        <v>106342</v>
      </c>
      <c r="O164" s="375">
        <f t="shared" si="56"/>
        <v>515246</v>
      </c>
      <c r="P164" s="362">
        <f t="shared" si="59"/>
        <v>13188540</v>
      </c>
      <c r="Q164" s="362">
        <f t="shared" si="68"/>
        <v>186782</v>
      </c>
      <c r="R164" s="362">
        <f t="shared" si="69"/>
        <v>225761</v>
      </c>
      <c r="S164" s="362">
        <f t="shared" si="72"/>
        <v>13601083</v>
      </c>
      <c r="T164" s="362">
        <f>S164*'НМЦК подряд'!$C$16*'НМЦК подряд'!$E$16</f>
        <v>20462049</v>
      </c>
      <c r="U164" s="427">
        <f t="shared" si="77"/>
        <v>515246</v>
      </c>
      <c r="V164" s="234"/>
    </row>
    <row r="165" ht="31.5" spans="1:22">
      <c r="A165" s="174" t="s">
        <v>612</v>
      </c>
      <c r="B165" s="180" t="s">
        <v>613</v>
      </c>
      <c r="C165" s="181" t="s">
        <v>614</v>
      </c>
      <c r="D165" s="180" t="s">
        <v>284</v>
      </c>
      <c r="E165" s="180">
        <v>0.08979</v>
      </c>
      <c r="F165" s="233">
        <f>T165/E165</f>
        <v>311660.54</v>
      </c>
      <c r="G165" s="237">
        <f t="shared" si="71"/>
        <v>27984</v>
      </c>
      <c r="J165" s="424"/>
      <c r="K165" s="425">
        <f>8446+9591</f>
        <v>18037</v>
      </c>
      <c r="L165" s="448"/>
      <c r="M165" s="427"/>
      <c r="N165" s="438"/>
      <c r="O165" s="375">
        <f t="shared" si="56"/>
        <v>0</v>
      </c>
      <c r="P165" s="362">
        <f t="shared" si="59"/>
        <v>18037</v>
      </c>
      <c r="Q165" s="362">
        <f t="shared" si="68"/>
        <v>255</v>
      </c>
      <c r="R165" s="362">
        <f t="shared" si="69"/>
        <v>309</v>
      </c>
      <c r="S165" s="362">
        <f t="shared" si="72"/>
        <v>18601</v>
      </c>
      <c r="T165" s="362">
        <f>S165*'НМЦК подряд'!$C$16*'НМЦК подряд'!$E$16</f>
        <v>27984</v>
      </c>
      <c r="U165" s="427">
        <f t="shared" si="77"/>
        <v>0</v>
      </c>
      <c r="V165" s="234"/>
    </row>
    <row r="166" ht="31.5" spans="1:22">
      <c r="A166" s="174" t="s">
        <v>615</v>
      </c>
      <c r="B166" s="180" t="s">
        <v>616</v>
      </c>
      <c r="C166" s="181" t="s">
        <v>617</v>
      </c>
      <c r="D166" s="180" t="s">
        <v>284</v>
      </c>
      <c r="E166" s="180">
        <v>0.5448</v>
      </c>
      <c r="F166" s="233">
        <f>T166/E166</f>
        <v>147788.18</v>
      </c>
      <c r="G166" s="237">
        <f t="shared" si="71"/>
        <v>80515</v>
      </c>
      <c r="J166" s="424"/>
      <c r="K166" s="425">
        <f>51895</f>
        <v>51895</v>
      </c>
      <c r="L166" s="448"/>
      <c r="M166" s="427"/>
      <c r="N166" s="438"/>
      <c r="O166" s="375">
        <f t="shared" si="56"/>
        <v>0</v>
      </c>
      <c r="P166" s="362">
        <f t="shared" si="59"/>
        <v>51895</v>
      </c>
      <c r="Q166" s="362">
        <f t="shared" si="68"/>
        <v>735</v>
      </c>
      <c r="R166" s="362">
        <f t="shared" si="69"/>
        <v>888</v>
      </c>
      <c r="S166" s="362">
        <f t="shared" si="72"/>
        <v>53518</v>
      </c>
      <c r="T166" s="362">
        <f>S166*'НМЦК подряд'!$C$16*'НМЦК подряд'!$E$16</f>
        <v>80515</v>
      </c>
      <c r="U166" s="427">
        <f t="shared" si="77"/>
        <v>0</v>
      </c>
      <c r="V166" s="234"/>
    </row>
    <row r="167" ht="31.5" spans="1:22">
      <c r="A167" s="174" t="s">
        <v>618</v>
      </c>
      <c r="B167" s="180" t="s">
        <v>619</v>
      </c>
      <c r="C167" s="181" t="s">
        <v>620</v>
      </c>
      <c r="D167" s="180" t="s">
        <v>274</v>
      </c>
      <c r="E167" s="180">
        <v>4.2</v>
      </c>
      <c r="F167" s="233">
        <f>T167/E167</f>
        <v>44125.95</v>
      </c>
      <c r="G167" s="237">
        <f t="shared" si="71"/>
        <v>185328.99</v>
      </c>
      <c r="J167" s="424"/>
      <c r="K167" s="425">
        <f>69441+40608+2156</f>
        <v>112205</v>
      </c>
      <c r="L167" s="448"/>
      <c r="M167" s="427">
        <f>4.2*0.42573*N11</f>
        <v>7246</v>
      </c>
      <c r="N167" s="438"/>
      <c r="O167" s="375">
        <f t="shared" si="56"/>
        <v>7246</v>
      </c>
      <c r="P167" s="362">
        <f t="shared" si="59"/>
        <v>119451</v>
      </c>
      <c r="Q167" s="362">
        <f t="shared" si="68"/>
        <v>1692</v>
      </c>
      <c r="R167" s="362">
        <f t="shared" si="69"/>
        <v>2045</v>
      </c>
      <c r="S167" s="362">
        <f t="shared" si="72"/>
        <v>123188</v>
      </c>
      <c r="T167" s="362">
        <f>S167*'НМЦК подряд'!$C$16*'НМЦК подряд'!$E$16</f>
        <v>185329</v>
      </c>
      <c r="U167" s="427">
        <f t="shared" si="77"/>
        <v>7246</v>
      </c>
      <c r="V167" s="234"/>
    </row>
    <row r="168" spans="1:22">
      <c r="A168" s="156"/>
      <c r="B168" s="196"/>
      <c r="C168" s="200" t="s">
        <v>621</v>
      </c>
      <c r="D168" s="180"/>
      <c r="E168" s="180"/>
      <c r="F168" s="233"/>
      <c r="G168" s="237"/>
      <c r="J168" s="424"/>
      <c r="K168" s="425"/>
      <c r="L168" s="448"/>
      <c r="M168" s="427"/>
      <c r="N168" s="438"/>
      <c r="O168" s="375">
        <f t="shared" si="56"/>
        <v>0</v>
      </c>
      <c r="P168" s="362">
        <f t="shared" si="59"/>
        <v>0</v>
      </c>
      <c r="Q168" s="362">
        <f t="shared" si="68"/>
        <v>0</v>
      </c>
      <c r="R168" s="362">
        <f t="shared" si="69"/>
        <v>0</v>
      </c>
      <c r="S168" s="362">
        <f t="shared" si="72"/>
        <v>0</v>
      </c>
      <c r="T168" s="362">
        <f>S168*'НМЦК подряд'!$C$16*'НМЦК подряд'!$E$16</f>
        <v>0</v>
      </c>
      <c r="U168" s="427">
        <f t="shared" si="77"/>
        <v>0</v>
      </c>
      <c r="V168" s="234"/>
    </row>
    <row r="169" ht="31.5" spans="1:22">
      <c r="A169" s="174" t="s">
        <v>622</v>
      </c>
      <c r="B169" s="180" t="s">
        <v>623</v>
      </c>
      <c r="C169" s="181" t="s">
        <v>624</v>
      </c>
      <c r="D169" s="180" t="s">
        <v>284</v>
      </c>
      <c r="E169" s="180">
        <v>4.6</v>
      </c>
      <c r="F169" s="233">
        <f>T169/E169</f>
        <v>274517.17</v>
      </c>
      <c r="G169" s="237">
        <f t="shared" si="71"/>
        <v>1262778.98</v>
      </c>
      <c r="J169" s="424"/>
      <c r="K169" s="425">
        <v>742954</v>
      </c>
      <c r="L169" s="448"/>
      <c r="M169" s="427">
        <f>0.906*N12+24730+9060</f>
        <v>70954</v>
      </c>
      <c r="N169" s="438"/>
      <c r="O169" s="375">
        <f t="shared" si="56"/>
        <v>70954</v>
      </c>
      <c r="P169" s="362">
        <f t="shared" si="59"/>
        <v>813908</v>
      </c>
      <c r="Q169" s="362">
        <f t="shared" si="68"/>
        <v>11527</v>
      </c>
      <c r="R169" s="362">
        <f t="shared" si="69"/>
        <v>13932</v>
      </c>
      <c r="S169" s="362">
        <f t="shared" si="72"/>
        <v>839367</v>
      </c>
      <c r="T169" s="362">
        <f>S169*'НМЦК подряд'!$C$16*'НМЦК подряд'!$E$16</f>
        <v>1262779</v>
      </c>
      <c r="U169" s="427">
        <f t="shared" si="77"/>
        <v>70954</v>
      </c>
      <c r="V169" s="234"/>
    </row>
    <row r="170" spans="1:22">
      <c r="A170" s="174" t="s">
        <v>625</v>
      </c>
      <c r="B170" s="180" t="s">
        <v>626</v>
      </c>
      <c r="C170" s="181" t="s">
        <v>627</v>
      </c>
      <c r="D170" s="180" t="s">
        <v>321</v>
      </c>
      <c r="E170" s="180">
        <v>4</v>
      </c>
      <c r="F170" s="233">
        <f>T170/E170</f>
        <v>5680.75</v>
      </c>
      <c r="G170" s="237">
        <f t="shared" si="71"/>
        <v>22723</v>
      </c>
      <c r="J170" s="424"/>
      <c r="K170" s="425">
        <v>14646</v>
      </c>
      <c r="L170" s="448"/>
      <c r="M170" s="427"/>
      <c r="N170" s="438"/>
      <c r="O170" s="375">
        <f t="shared" si="56"/>
        <v>0</v>
      </c>
      <c r="P170" s="362">
        <f t="shared" si="59"/>
        <v>14646</v>
      </c>
      <c r="Q170" s="362">
        <f t="shared" si="68"/>
        <v>207</v>
      </c>
      <c r="R170" s="362">
        <f t="shared" si="69"/>
        <v>251</v>
      </c>
      <c r="S170" s="362">
        <f t="shared" si="72"/>
        <v>15104</v>
      </c>
      <c r="T170" s="362">
        <f>S170*'НМЦК подряд'!$C$16*'НМЦК подряд'!$E$16</f>
        <v>22723</v>
      </c>
      <c r="U170" s="427">
        <f t="shared" si="77"/>
        <v>0</v>
      </c>
      <c r="V170" s="234"/>
    </row>
    <row r="171" ht="31.5" spans="1:22">
      <c r="A171" s="174" t="s">
        <v>628</v>
      </c>
      <c r="B171" s="180" t="s">
        <v>629</v>
      </c>
      <c r="C171" s="181" t="s">
        <v>630</v>
      </c>
      <c r="D171" s="180" t="s">
        <v>534</v>
      </c>
      <c r="E171" s="180">
        <v>75.6</v>
      </c>
      <c r="F171" s="233">
        <f>T171/E171</f>
        <v>4760.78</v>
      </c>
      <c r="G171" s="237">
        <f t="shared" si="71"/>
        <v>359914.97</v>
      </c>
      <c r="J171" s="424"/>
      <c r="K171" s="425">
        <f>225900</f>
        <v>225900</v>
      </c>
      <c r="L171" s="448"/>
      <c r="M171" s="427"/>
      <c r="N171" s="438">
        <f>1.5*N11</f>
        <v>6079</v>
      </c>
      <c r="O171" s="375">
        <f t="shared" si="56"/>
        <v>6079</v>
      </c>
      <c r="P171" s="362">
        <f t="shared" si="59"/>
        <v>231979</v>
      </c>
      <c r="Q171" s="362">
        <f t="shared" si="68"/>
        <v>3285</v>
      </c>
      <c r="R171" s="362">
        <f t="shared" si="69"/>
        <v>3971</v>
      </c>
      <c r="S171" s="362">
        <f t="shared" si="72"/>
        <v>239235</v>
      </c>
      <c r="T171" s="362">
        <f>S171*'НМЦК подряд'!$C$16*'НМЦК подряд'!$E$16</f>
        <v>359915</v>
      </c>
      <c r="U171" s="427">
        <f t="shared" si="77"/>
        <v>6079</v>
      </c>
      <c r="V171" s="234"/>
    </row>
    <row r="172" spans="1:22">
      <c r="A172" s="174" t="s">
        <v>631</v>
      </c>
      <c r="B172" s="180" t="s">
        <v>632</v>
      </c>
      <c r="C172" s="181" t="s">
        <v>440</v>
      </c>
      <c r="D172" s="180" t="s">
        <v>444</v>
      </c>
      <c r="E172" s="180">
        <v>4</v>
      </c>
      <c r="F172" s="233">
        <f>T172/E172</f>
        <v>198796.75</v>
      </c>
      <c r="G172" s="237">
        <f t="shared" si="71"/>
        <v>795187</v>
      </c>
      <c r="J172" s="424"/>
      <c r="K172" s="425">
        <f>273409+234498+4620</f>
        <v>512527</v>
      </c>
      <c r="L172" s="448"/>
      <c r="M172" s="427"/>
      <c r="N172" s="438"/>
      <c r="O172" s="375">
        <f t="shared" si="56"/>
        <v>0</v>
      </c>
      <c r="P172" s="362">
        <f t="shared" si="59"/>
        <v>512527</v>
      </c>
      <c r="Q172" s="362">
        <f t="shared" si="68"/>
        <v>7259</v>
      </c>
      <c r="R172" s="362">
        <f t="shared" si="69"/>
        <v>8773</v>
      </c>
      <c r="S172" s="362">
        <f t="shared" si="72"/>
        <v>528559</v>
      </c>
      <c r="T172" s="362">
        <f>S172*'НМЦК подряд'!$C$16*'НМЦК подряд'!$E$16</f>
        <v>795187</v>
      </c>
      <c r="U172" s="427">
        <f t="shared" si="77"/>
        <v>0</v>
      </c>
      <c r="V172" s="234"/>
    </row>
    <row r="173" spans="1:22">
      <c r="A173" s="174" t="s">
        <v>633</v>
      </c>
      <c r="B173" s="190" t="s">
        <v>634</v>
      </c>
      <c r="C173" s="181" t="s">
        <v>635</v>
      </c>
      <c r="D173" s="180" t="s">
        <v>636</v>
      </c>
      <c r="E173" s="180">
        <v>6</v>
      </c>
      <c r="F173" s="233">
        <f>T173/E173</f>
        <v>35295.67</v>
      </c>
      <c r="G173" s="237">
        <f t="shared" si="71"/>
        <v>211774.02</v>
      </c>
      <c r="J173" s="424"/>
      <c r="K173" s="425">
        <f>86464+50032</f>
        <v>136496</v>
      </c>
      <c r="L173" s="448"/>
      <c r="M173" s="427"/>
      <c r="N173" s="438"/>
      <c r="O173" s="375">
        <f t="shared" si="56"/>
        <v>0</v>
      </c>
      <c r="P173" s="362">
        <f t="shared" si="59"/>
        <v>136496</v>
      </c>
      <c r="Q173" s="362">
        <f t="shared" si="68"/>
        <v>1933</v>
      </c>
      <c r="R173" s="362">
        <f t="shared" si="69"/>
        <v>2337</v>
      </c>
      <c r="S173" s="362">
        <f t="shared" si="72"/>
        <v>140766</v>
      </c>
      <c r="T173" s="362">
        <f>S173*'НМЦК подряд'!$C$16*'НМЦК подряд'!$E$16</f>
        <v>211774</v>
      </c>
      <c r="U173" s="427">
        <f t="shared" si="77"/>
        <v>0</v>
      </c>
      <c r="V173" s="234"/>
    </row>
    <row r="174" spans="1:22">
      <c r="A174" s="156"/>
      <c r="B174" s="196"/>
      <c r="C174" s="200" t="s">
        <v>637</v>
      </c>
      <c r="D174" s="180"/>
      <c r="E174" s="180"/>
      <c r="F174" s="233"/>
      <c r="G174" s="237">
        <f t="shared" si="71"/>
        <v>0</v>
      </c>
      <c r="J174" s="424"/>
      <c r="K174" s="425"/>
      <c r="L174" s="448"/>
      <c r="M174" s="427"/>
      <c r="N174" s="438"/>
      <c r="O174" s="375">
        <f t="shared" si="56"/>
        <v>0</v>
      </c>
      <c r="P174" s="362">
        <f t="shared" si="59"/>
        <v>0</v>
      </c>
      <c r="Q174" s="362">
        <f t="shared" si="68"/>
        <v>0</v>
      </c>
      <c r="R174" s="362">
        <f t="shared" si="69"/>
        <v>0</v>
      </c>
      <c r="S174" s="362">
        <f t="shared" si="72"/>
        <v>0</v>
      </c>
      <c r="T174" s="362">
        <f>S174*'НМЦК подряд'!$C$16*'НМЦК подряд'!$E$16</f>
        <v>0</v>
      </c>
      <c r="U174" s="427">
        <f t="shared" si="77"/>
        <v>0</v>
      </c>
      <c r="V174" s="234"/>
    </row>
    <row r="175" spans="1:22">
      <c r="A175" s="174" t="s">
        <v>638</v>
      </c>
      <c r="B175" s="180" t="s">
        <v>639</v>
      </c>
      <c r="C175" s="181" t="s">
        <v>640</v>
      </c>
      <c r="D175" s="180" t="s">
        <v>274</v>
      </c>
      <c r="E175" s="180">
        <v>11</v>
      </c>
      <c r="F175" s="233">
        <f>T175/E175</f>
        <v>15126.64</v>
      </c>
      <c r="G175" s="237">
        <f t="shared" si="71"/>
        <v>166393.04</v>
      </c>
      <c r="J175" s="424"/>
      <c r="K175" s="425">
        <f>27762+79484</f>
        <v>107246</v>
      </c>
      <c r="L175" s="448"/>
      <c r="M175" s="427"/>
      <c r="N175" s="438"/>
      <c r="O175" s="375">
        <f t="shared" si="56"/>
        <v>0</v>
      </c>
      <c r="P175" s="362">
        <f t="shared" si="59"/>
        <v>107246</v>
      </c>
      <c r="Q175" s="362">
        <f t="shared" si="68"/>
        <v>1519</v>
      </c>
      <c r="R175" s="362">
        <f t="shared" si="69"/>
        <v>1836</v>
      </c>
      <c r="S175" s="362">
        <f t="shared" si="72"/>
        <v>110601</v>
      </c>
      <c r="T175" s="362">
        <f>S175*'НМЦК подряд'!$C$16*'НМЦК подряд'!$E$16</f>
        <v>166393</v>
      </c>
      <c r="U175" s="427">
        <f t="shared" si="77"/>
        <v>0</v>
      </c>
      <c r="V175" s="234"/>
    </row>
    <row r="176" ht="31.5" spans="1:22">
      <c r="A176" s="174" t="s">
        <v>641</v>
      </c>
      <c r="B176" s="180" t="s">
        <v>642</v>
      </c>
      <c r="C176" s="181" t="s">
        <v>643</v>
      </c>
      <c r="D176" s="180" t="s">
        <v>274</v>
      </c>
      <c r="E176" s="180">
        <v>55</v>
      </c>
      <c r="F176" s="233">
        <f>T176/E176</f>
        <v>46213.27</v>
      </c>
      <c r="G176" s="237">
        <f t="shared" si="71"/>
        <v>2541729.85</v>
      </c>
      <c r="J176" s="424"/>
      <c r="K176" s="425">
        <f>259418+633876+594635+21051</f>
        <v>1508980</v>
      </c>
      <c r="L176" s="448"/>
      <c r="M176" s="427">
        <f>E176*0.42573*N11</f>
        <v>94893</v>
      </c>
      <c r="N176" s="438">
        <f>8.48*N11</f>
        <v>34366</v>
      </c>
      <c r="O176" s="375">
        <f t="shared" si="56"/>
        <v>129259</v>
      </c>
      <c r="P176" s="362">
        <f t="shared" si="59"/>
        <v>1638239</v>
      </c>
      <c r="Q176" s="362">
        <f t="shared" si="68"/>
        <v>23201</v>
      </c>
      <c r="R176" s="362">
        <f t="shared" si="69"/>
        <v>28043</v>
      </c>
      <c r="S176" s="362">
        <f t="shared" si="72"/>
        <v>1689483</v>
      </c>
      <c r="T176" s="362">
        <f>S176*'НМЦК подряд'!$C$16*'НМЦК подряд'!$E$16</f>
        <v>2541730</v>
      </c>
      <c r="U176" s="427">
        <f t="shared" si="77"/>
        <v>129259</v>
      </c>
      <c r="V176" s="234"/>
    </row>
    <row r="177" spans="1:23">
      <c r="A177" s="156"/>
      <c r="B177" s="196"/>
      <c r="C177" s="200" t="s">
        <v>644</v>
      </c>
      <c r="D177" s="180"/>
      <c r="E177" s="180"/>
      <c r="F177" s="233"/>
      <c r="G177" s="237">
        <f t="shared" si="71"/>
        <v>0</v>
      </c>
      <c r="J177" s="424"/>
      <c r="K177" s="425"/>
      <c r="L177" s="448"/>
      <c r="M177" s="427"/>
      <c r="N177" s="438"/>
      <c r="O177" s="375">
        <f t="shared" si="56"/>
        <v>0</v>
      </c>
      <c r="P177" s="362">
        <f t="shared" si="59"/>
        <v>0</v>
      </c>
      <c r="Q177" s="362">
        <f t="shared" si="68"/>
        <v>0</v>
      </c>
      <c r="R177" s="362">
        <f t="shared" si="69"/>
        <v>0</v>
      </c>
      <c r="S177" s="362">
        <f t="shared" si="72"/>
        <v>0</v>
      </c>
      <c r="T177" s="362">
        <f>S177*'НМЦК подряд'!$C$16*'НМЦК подряд'!$E$16</f>
        <v>0</v>
      </c>
      <c r="U177" s="427">
        <f t="shared" si="77"/>
        <v>0</v>
      </c>
      <c r="V177" s="234"/>
    </row>
    <row r="178" ht="31.5" spans="1:23">
      <c r="A178" s="174" t="s">
        <v>645</v>
      </c>
      <c r="B178" s="180" t="s">
        <v>646</v>
      </c>
      <c r="C178" s="181" t="s">
        <v>647</v>
      </c>
      <c r="D178" s="180" t="s">
        <v>274</v>
      </c>
      <c r="E178" s="180">
        <v>822</v>
      </c>
      <c r="F178" s="233">
        <f>T178/E178</f>
        <v>8878.68</v>
      </c>
      <c r="G178" s="237">
        <f t="shared" si="71"/>
        <v>7298274.96</v>
      </c>
      <c r="J178" s="424"/>
      <c r="K178" s="425">
        <f>3002469+744841+956698</f>
        <v>4704008</v>
      </c>
      <c r="L178" s="448"/>
      <c r="M178" s="427"/>
      <c r="N178" s="438"/>
      <c r="O178" s="375">
        <f t="shared" si="56"/>
        <v>0</v>
      </c>
      <c r="P178" s="362">
        <f t="shared" si="59"/>
        <v>4704008</v>
      </c>
      <c r="Q178" s="362">
        <f t="shared" si="68"/>
        <v>66620</v>
      </c>
      <c r="R178" s="362">
        <f t="shared" si="69"/>
        <v>80523</v>
      </c>
      <c r="S178" s="362">
        <f t="shared" si="72"/>
        <v>4851151</v>
      </c>
      <c r="T178" s="362">
        <f>S178*'НМЦК подряд'!$C$16*'НМЦК подряд'!$E$16</f>
        <v>7298278</v>
      </c>
      <c r="U178" s="427">
        <f t="shared" si="77"/>
        <v>0</v>
      </c>
      <c r="V178" s="234"/>
    </row>
    <row r="179" spans="1:23">
      <c r="A179" s="156"/>
      <c r="B179" s="180"/>
      <c r="C179" s="200" t="s">
        <v>381</v>
      </c>
      <c r="D179" s="180"/>
      <c r="E179" s="180"/>
      <c r="F179" s="233"/>
      <c r="G179" s="237">
        <f t="shared" si="71"/>
        <v>0</v>
      </c>
      <c r="J179" s="424"/>
      <c r="K179" s="425"/>
      <c r="L179" s="448"/>
      <c r="M179" s="427"/>
      <c r="N179" s="438"/>
      <c r="O179" s="375">
        <f t="shared" si="56"/>
        <v>0</v>
      </c>
      <c r="P179" s="362">
        <f t="shared" si="59"/>
        <v>0</v>
      </c>
      <c r="Q179" s="362">
        <f t="shared" si="68"/>
        <v>0</v>
      </c>
      <c r="R179" s="362">
        <f t="shared" si="69"/>
        <v>0</v>
      </c>
      <c r="S179" s="362">
        <f t="shared" si="72"/>
        <v>0</v>
      </c>
      <c r="T179" s="362">
        <f>S179*'НМЦК подряд'!$C$16*'НМЦК подряд'!$E$16</f>
        <v>0</v>
      </c>
      <c r="U179" s="427">
        <f t="shared" si="77"/>
        <v>0</v>
      </c>
      <c r="V179" s="234"/>
    </row>
    <row r="180" spans="1:23">
      <c r="A180" s="174" t="s">
        <v>648</v>
      </c>
      <c r="B180" s="180" t="s">
        <v>649</v>
      </c>
      <c r="C180" s="181" t="s">
        <v>381</v>
      </c>
      <c r="D180" s="180" t="s">
        <v>534</v>
      </c>
      <c r="E180" s="183">
        <v>29.2</v>
      </c>
      <c r="F180" s="233">
        <f>T180/E180</f>
        <v>3214.86</v>
      </c>
      <c r="G180" s="237">
        <f t="shared" si="71"/>
        <v>93873.91</v>
      </c>
      <c r="J180" s="424"/>
      <c r="K180" s="425">
        <f>60505</f>
        <v>60505</v>
      </c>
      <c r="L180" s="448"/>
      <c r="M180" s="427"/>
      <c r="N180" s="438"/>
      <c r="O180" s="375">
        <f t="shared" si="56"/>
        <v>0</v>
      </c>
      <c r="P180" s="362">
        <f t="shared" si="59"/>
        <v>60505</v>
      </c>
      <c r="Q180" s="362">
        <f t="shared" si="68"/>
        <v>857</v>
      </c>
      <c r="R180" s="362">
        <f t="shared" si="69"/>
        <v>1036</v>
      </c>
      <c r="S180" s="362">
        <f t="shared" si="72"/>
        <v>62398</v>
      </c>
      <c r="T180" s="362">
        <f>S180*'НМЦК подряд'!$C$16*'НМЦК подряд'!$E$16</f>
        <v>93874</v>
      </c>
      <c r="U180" s="427">
        <f t="shared" si="77"/>
        <v>0</v>
      </c>
      <c r="V180" s="234"/>
    </row>
    <row r="181" ht="31.5" spans="1:23">
      <c r="A181" s="156"/>
      <c r="B181" s="180"/>
      <c r="C181" s="200" t="s">
        <v>650</v>
      </c>
      <c r="D181" s="180"/>
      <c r="E181" s="180"/>
      <c r="F181" s="233"/>
      <c r="G181" s="237"/>
      <c r="J181" s="424"/>
      <c r="K181" s="425"/>
      <c r="L181" s="448"/>
      <c r="M181" s="427"/>
      <c r="N181" s="438"/>
      <c r="O181" s="375">
        <f t="shared" si="56"/>
        <v>0</v>
      </c>
      <c r="P181" s="362">
        <f t="shared" si="59"/>
        <v>0</v>
      </c>
      <c r="Q181" s="362">
        <f t="shared" si="68"/>
        <v>0</v>
      </c>
      <c r="R181" s="362">
        <f t="shared" si="69"/>
        <v>0</v>
      </c>
      <c r="S181" s="362">
        <f t="shared" si="72"/>
        <v>0</v>
      </c>
      <c r="T181" s="362">
        <f>S181*'НМЦК подряд'!$C$16*'НМЦК подряд'!$E$16</f>
        <v>0</v>
      </c>
      <c r="U181" s="427">
        <f t="shared" si="77"/>
        <v>0</v>
      </c>
      <c r="V181" s="234"/>
    </row>
    <row r="182" spans="1:23">
      <c r="A182" s="174" t="s">
        <v>651</v>
      </c>
      <c r="B182" s="180" t="s">
        <v>652</v>
      </c>
      <c r="C182" s="181" t="s">
        <v>653</v>
      </c>
      <c r="D182" s="180" t="s">
        <v>284</v>
      </c>
      <c r="E182" s="180">
        <v>29.32</v>
      </c>
      <c r="F182" s="233">
        <f>T182/E182</f>
        <v>8350.48</v>
      </c>
      <c r="G182" s="237">
        <f t="shared" si="71"/>
        <v>244836.07</v>
      </c>
      <c r="J182" s="424"/>
      <c r="K182" s="425">
        <f>41384-937-27325+144684</f>
        <v>157806</v>
      </c>
      <c r="L182" s="448"/>
      <c r="M182" s="427"/>
      <c r="N182" s="438"/>
      <c r="O182" s="375">
        <f t="shared" si="56"/>
        <v>0</v>
      </c>
      <c r="P182" s="362">
        <f t="shared" si="59"/>
        <v>157806</v>
      </c>
      <c r="Q182" s="362">
        <f t="shared" si="68"/>
        <v>2235</v>
      </c>
      <c r="R182" s="362">
        <f t="shared" si="69"/>
        <v>2701</v>
      </c>
      <c r="S182" s="362">
        <f t="shared" si="72"/>
        <v>162742</v>
      </c>
      <c r="T182" s="362">
        <f>S182*'НМЦК подряд'!$C$16*'НМЦК подряд'!$E$16</f>
        <v>244836</v>
      </c>
      <c r="U182" s="427">
        <f t="shared" si="77"/>
        <v>0</v>
      </c>
      <c r="V182" s="234"/>
    </row>
    <row r="183" spans="1:23">
      <c r="A183" s="174" t="s">
        <v>654</v>
      </c>
      <c r="B183" s="180" t="s">
        <v>655</v>
      </c>
      <c r="C183" s="181" t="s">
        <v>656</v>
      </c>
      <c r="D183" s="180" t="s">
        <v>578</v>
      </c>
      <c r="E183" s="180">
        <v>239</v>
      </c>
      <c r="F183" s="233">
        <f>T183/E183</f>
        <v>20854.92</v>
      </c>
      <c r="G183" s="237">
        <f t="shared" si="71"/>
        <v>4984325.88</v>
      </c>
      <c r="J183" s="424"/>
      <c r="K183" s="425">
        <f>79191+3133389</f>
        <v>3212580</v>
      </c>
      <c r="L183" s="448"/>
      <c r="M183" s="427"/>
      <c r="N183" s="438"/>
      <c r="O183" s="375">
        <f t="shared" si="56"/>
        <v>0</v>
      </c>
      <c r="P183" s="362">
        <f t="shared" si="59"/>
        <v>3212580</v>
      </c>
      <c r="Q183" s="362">
        <f t="shared" si="68"/>
        <v>45498</v>
      </c>
      <c r="R183" s="362">
        <f t="shared" si="69"/>
        <v>54993</v>
      </c>
      <c r="S183" s="362">
        <f t="shared" si="72"/>
        <v>3313071</v>
      </c>
      <c r="T183" s="362">
        <f>S183*'НМЦК подряд'!$C$16*'НМЦК подряд'!$E$16</f>
        <v>4984325</v>
      </c>
      <c r="U183" s="427">
        <f t="shared" si="77"/>
        <v>0</v>
      </c>
      <c r="V183" s="234"/>
    </row>
    <row r="184" spans="1:23">
      <c r="A184" s="174" t="s">
        <v>657</v>
      </c>
      <c r="B184" s="180" t="s">
        <v>658</v>
      </c>
      <c r="C184" s="181" t="s">
        <v>659</v>
      </c>
      <c r="D184" s="180" t="s">
        <v>578</v>
      </c>
      <c r="E184" s="180">
        <v>239</v>
      </c>
      <c r="F184" s="233">
        <f>T184/E184</f>
        <v>6436.7</v>
      </c>
      <c r="G184" s="237">
        <f t="shared" si="71"/>
        <v>1538371.3</v>
      </c>
      <c r="J184" s="424"/>
      <c r="K184" s="425">
        <f>839768+151768</f>
        <v>991536</v>
      </c>
      <c r="L184" s="448"/>
      <c r="M184" s="427"/>
      <c r="N184" s="438"/>
      <c r="O184" s="375">
        <f t="shared" si="56"/>
        <v>0</v>
      </c>
      <c r="P184" s="362">
        <f t="shared" si="59"/>
        <v>991536</v>
      </c>
      <c r="Q184" s="362">
        <f t="shared" si="68"/>
        <v>14043</v>
      </c>
      <c r="R184" s="362">
        <f t="shared" si="69"/>
        <v>16973</v>
      </c>
      <c r="S184" s="362">
        <f t="shared" si="72"/>
        <v>1022552</v>
      </c>
      <c r="T184" s="362">
        <f>S184*'НМЦК подряд'!$C$16*'НМЦК подряд'!$E$16</f>
        <v>1538371</v>
      </c>
      <c r="U184" s="427">
        <f t="shared" si="77"/>
        <v>0</v>
      </c>
      <c r="V184" s="234"/>
    </row>
    <row r="185" spans="1:23">
      <c r="A185" s="174" t="s">
        <v>660</v>
      </c>
      <c r="B185" s="180" t="s">
        <v>661</v>
      </c>
      <c r="C185" s="181" t="s">
        <v>662</v>
      </c>
      <c r="D185" s="180" t="s">
        <v>578</v>
      </c>
      <c r="E185" s="180">
        <v>108.2</v>
      </c>
      <c r="F185" s="233">
        <f>T185/E185</f>
        <v>1524.43</v>
      </c>
      <c r="G185" s="237">
        <f t="shared" si="71"/>
        <v>164943.33</v>
      </c>
      <c r="J185" s="424"/>
      <c r="K185" s="425">
        <f>106311</f>
        <v>106311</v>
      </c>
      <c r="L185" s="448"/>
      <c r="M185" s="427"/>
      <c r="N185" s="438"/>
      <c r="O185" s="375">
        <f t="shared" si="56"/>
        <v>0</v>
      </c>
      <c r="P185" s="362">
        <f t="shared" si="59"/>
        <v>106311</v>
      </c>
      <c r="Q185" s="362">
        <f t="shared" si="68"/>
        <v>1506</v>
      </c>
      <c r="R185" s="362">
        <f t="shared" si="69"/>
        <v>1820</v>
      </c>
      <c r="S185" s="362">
        <f t="shared" si="72"/>
        <v>109637</v>
      </c>
      <c r="T185" s="362">
        <f>S185*'НМЦК подряд'!$C$16*'НМЦК подряд'!$E$16</f>
        <v>164943</v>
      </c>
      <c r="U185" s="427">
        <f t="shared" si="77"/>
        <v>0</v>
      </c>
      <c r="V185" s="234"/>
    </row>
    <row r="186" spans="1:23">
      <c r="A186" s="156"/>
      <c r="B186" s="190"/>
      <c r="C186" s="201" t="s">
        <v>663</v>
      </c>
      <c r="D186" s="190"/>
      <c r="E186" s="190"/>
      <c r="F186" s="233"/>
      <c r="G186" s="237"/>
      <c r="J186" s="424"/>
      <c r="K186" s="451"/>
      <c r="L186" s="451"/>
      <c r="M186" s="451"/>
      <c r="N186" s="451"/>
      <c r="O186" s="451">
        <f t="shared" ref="O186:U186" si="78">SUM(O153:O185)</f>
        <v>1942455</v>
      </c>
      <c r="P186" s="451">
        <f t="shared" si="78"/>
        <v>65975773</v>
      </c>
      <c r="Q186" s="451">
        <f t="shared" si="78"/>
        <v>934377</v>
      </c>
      <c r="R186" s="451">
        <f t="shared" si="78"/>
        <v>1129371</v>
      </c>
      <c r="S186" s="451">
        <f t="shared" si="78"/>
        <v>68039521</v>
      </c>
      <c r="T186" s="451">
        <f t="shared" si="78"/>
        <v>102361555</v>
      </c>
      <c r="U186" s="451">
        <f t="shared" si="78"/>
        <v>1872587</v>
      </c>
      <c r="V186" s="234"/>
    </row>
    <row r="187" ht="31.5" spans="1:23">
      <c r="A187" s="174" t="s">
        <v>664</v>
      </c>
      <c r="B187" s="180" t="s">
        <v>665</v>
      </c>
      <c r="C187" s="181" t="s">
        <v>666</v>
      </c>
      <c r="D187" s="180" t="s">
        <v>284</v>
      </c>
      <c r="E187" s="183">
        <v>6.0149</v>
      </c>
      <c r="F187" s="233">
        <f t="shared" ref="F187:F194" si="79">T187/E187</f>
        <v>289629.92</v>
      </c>
      <c r="G187" s="237">
        <f t="shared" si="71"/>
        <v>1742095.01</v>
      </c>
      <c r="J187" s="424"/>
      <c r="K187" s="425">
        <f>463443+635025</f>
        <v>1098468</v>
      </c>
      <c r="L187" s="448"/>
      <c r="M187" s="427"/>
      <c r="N187" s="438">
        <f>E187*N11</f>
        <v>24376</v>
      </c>
      <c r="O187" s="375">
        <f t="shared" si="56"/>
        <v>24376</v>
      </c>
      <c r="P187" s="362">
        <f t="shared" si="59"/>
        <v>1122844</v>
      </c>
      <c r="Q187" s="362">
        <f t="shared" ref="Q187:Q196" si="80">P187*$Q$12</f>
        <v>15902</v>
      </c>
      <c r="R187" s="362">
        <f t="shared" ref="R187:R196" si="81">P187*$R$12</f>
        <v>19221</v>
      </c>
      <c r="S187" s="362">
        <f t="shared" ref="S187:S194" si="82">P187+Q187+R187</f>
        <v>1157967</v>
      </c>
      <c r="T187" s="362">
        <f>S187*'НМЦК подряд'!$C$16*'НМЦК подряд'!$E$16</f>
        <v>1742095</v>
      </c>
      <c r="U187" s="427">
        <f t="shared" ref="U187:U196" si="83">L187+M187+N187</f>
        <v>24376</v>
      </c>
      <c r="V187" s="234"/>
    </row>
    <row r="188" s="153" customFormat="1" ht="31.5" spans="1:23">
      <c r="A188" s="174" t="s">
        <v>667</v>
      </c>
      <c r="B188" s="190" t="s">
        <v>668</v>
      </c>
      <c r="C188" s="175" t="s">
        <v>669</v>
      </c>
      <c r="D188" s="190" t="s">
        <v>274</v>
      </c>
      <c r="E188" s="172">
        <v>90</v>
      </c>
      <c r="F188" s="233">
        <f t="shared" si="79"/>
        <v>78818.9</v>
      </c>
      <c r="G188" s="237">
        <f t="shared" si="71"/>
        <v>7093701</v>
      </c>
      <c r="H188" s="152"/>
      <c r="I188" s="152"/>
      <c r="J188" s="424"/>
      <c r="K188" s="425">
        <f>2489260+902074+49904+874450+46431</f>
        <v>4362119</v>
      </c>
      <c r="L188" s="448">
        <f>90*0.42573*N11</f>
        <v>155280</v>
      </c>
      <c r="M188" s="427"/>
      <c r="N188" s="438">
        <f>9.47*N11+4.04*N11</f>
        <v>54751</v>
      </c>
      <c r="O188" s="375">
        <f t="shared" si="56"/>
        <v>210031</v>
      </c>
      <c r="P188" s="362">
        <f t="shared" si="59"/>
        <v>4572150</v>
      </c>
      <c r="Q188" s="362">
        <f t="shared" si="80"/>
        <v>64753</v>
      </c>
      <c r="R188" s="362">
        <f t="shared" si="81"/>
        <v>78266</v>
      </c>
      <c r="S188" s="362">
        <f t="shared" si="82"/>
        <v>4715169</v>
      </c>
      <c r="T188" s="362">
        <f>S188*'НМЦК подряд'!$C$16*'НМЦК подряд'!$E$16</f>
        <v>7093701</v>
      </c>
      <c r="U188" s="427">
        <f t="shared" si="83"/>
        <v>210031</v>
      </c>
      <c r="V188" s="234"/>
      <c r="W188" s="152"/>
    </row>
    <row r="189" ht="31.5" spans="1:23">
      <c r="A189" s="174" t="s">
        <v>670</v>
      </c>
      <c r="B189" s="180" t="s">
        <v>671</v>
      </c>
      <c r="C189" s="181" t="s">
        <v>672</v>
      </c>
      <c r="D189" s="180" t="s">
        <v>284</v>
      </c>
      <c r="E189" s="180">
        <v>0.7914</v>
      </c>
      <c r="F189" s="233">
        <f t="shared" si="79"/>
        <v>311651.5</v>
      </c>
      <c r="G189" s="237">
        <f t="shared" si="71"/>
        <v>246641</v>
      </c>
      <c r="J189" s="424"/>
      <c r="K189" s="425">
        <f>74444+84526</f>
        <v>158970</v>
      </c>
      <c r="L189" s="448"/>
      <c r="M189" s="427"/>
      <c r="N189" s="438"/>
      <c r="O189" s="375">
        <f t="shared" si="56"/>
        <v>0</v>
      </c>
      <c r="P189" s="362">
        <f t="shared" si="59"/>
        <v>158970</v>
      </c>
      <c r="Q189" s="362">
        <f t="shared" si="80"/>
        <v>2251</v>
      </c>
      <c r="R189" s="362">
        <f t="shared" si="81"/>
        <v>2721</v>
      </c>
      <c r="S189" s="362">
        <f t="shared" si="82"/>
        <v>163942</v>
      </c>
      <c r="T189" s="362">
        <f>S189*'НМЦК подряд'!$C$16*'НМЦК подряд'!$E$16</f>
        <v>246641</v>
      </c>
      <c r="U189" s="427">
        <f t="shared" si="83"/>
        <v>0</v>
      </c>
      <c r="V189" s="234"/>
    </row>
    <row r="190" ht="31.5" spans="1:23">
      <c r="A190" s="174" t="s">
        <v>673</v>
      </c>
      <c r="B190" s="180" t="s">
        <v>674</v>
      </c>
      <c r="C190" s="181" t="s">
        <v>675</v>
      </c>
      <c r="D190" s="180" t="s">
        <v>274</v>
      </c>
      <c r="E190" s="180">
        <v>16</v>
      </c>
      <c r="F190" s="233">
        <f t="shared" si="79"/>
        <v>87350.94</v>
      </c>
      <c r="G190" s="237">
        <f t="shared" si="71"/>
        <v>1397615.04</v>
      </c>
      <c r="J190" s="424"/>
      <c r="K190" s="425">
        <f>312632+169736+6007+384834</f>
        <v>873209</v>
      </c>
      <c r="L190" s="448">
        <f>16*0.42573*N11</f>
        <v>27605</v>
      </c>
      <c r="M190" s="427"/>
      <c r="N190" s="438"/>
      <c r="O190" s="375">
        <f t="shared" si="56"/>
        <v>27605</v>
      </c>
      <c r="P190" s="362">
        <f t="shared" si="59"/>
        <v>900814</v>
      </c>
      <c r="Q190" s="362">
        <f t="shared" si="80"/>
        <v>12758</v>
      </c>
      <c r="R190" s="362">
        <f t="shared" si="81"/>
        <v>15420</v>
      </c>
      <c r="S190" s="362">
        <f t="shared" si="82"/>
        <v>928992</v>
      </c>
      <c r="T190" s="362">
        <f>S190*'НМЦК подряд'!$C$16*'НМЦК подряд'!$E$16</f>
        <v>1397615</v>
      </c>
      <c r="U190" s="427">
        <f t="shared" si="83"/>
        <v>27605</v>
      </c>
      <c r="V190" s="234"/>
    </row>
    <row r="191" ht="31.5" spans="1:23">
      <c r="A191" s="174" t="s">
        <v>676</v>
      </c>
      <c r="B191" s="180" t="s">
        <v>677</v>
      </c>
      <c r="C191" s="181" t="s">
        <v>678</v>
      </c>
      <c r="D191" s="180" t="s">
        <v>274</v>
      </c>
      <c r="E191" s="183">
        <v>8.1</v>
      </c>
      <c r="F191" s="233">
        <f t="shared" si="79"/>
        <v>64290.62</v>
      </c>
      <c r="G191" s="237">
        <f t="shared" si="71"/>
        <v>520754.02</v>
      </c>
      <c r="J191" s="424"/>
      <c r="K191" s="425">
        <f>133924+78319+4159+100971</f>
        <v>317373</v>
      </c>
      <c r="L191" s="448">
        <f>8.1*0.42573*N11</f>
        <v>13975</v>
      </c>
      <c r="M191" s="427"/>
      <c r="N191" s="438">
        <f>1.06*N11</f>
        <v>4296</v>
      </c>
      <c r="O191" s="375">
        <f t="shared" si="56"/>
        <v>18271</v>
      </c>
      <c r="P191" s="362">
        <f t="shared" si="59"/>
        <v>335644</v>
      </c>
      <c r="Q191" s="362">
        <f t="shared" si="80"/>
        <v>4754</v>
      </c>
      <c r="R191" s="362">
        <f t="shared" si="81"/>
        <v>5746</v>
      </c>
      <c r="S191" s="362">
        <f t="shared" si="82"/>
        <v>346144</v>
      </c>
      <c r="T191" s="362">
        <f>S191*'НМЦК подряд'!$C$16*'НМЦК подряд'!$E$16</f>
        <v>520754</v>
      </c>
      <c r="U191" s="427">
        <f t="shared" si="83"/>
        <v>18271</v>
      </c>
      <c r="V191" s="234"/>
    </row>
    <row r="192" spans="1:23">
      <c r="A192" s="174" t="s">
        <v>679</v>
      </c>
      <c r="B192" s="180" t="s">
        <v>680</v>
      </c>
      <c r="C192" s="202" t="s">
        <v>681</v>
      </c>
      <c r="D192" s="180" t="s">
        <v>321</v>
      </c>
      <c r="E192" s="183">
        <v>4</v>
      </c>
      <c r="F192" s="233">
        <f t="shared" si="79"/>
        <v>198796.75</v>
      </c>
      <c r="G192" s="237">
        <f t="shared" si="71"/>
        <v>795187</v>
      </c>
      <c r="J192" s="424"/>
      <c r="K192" s="425">
        <f>273409+234498+4620</f>
        <v>512527</v>
      </c>
      <c r="L192" s="448"/>
      <c r="M192" s="427"/>
      <c r="N192" s="438"/>
      <c r="O192" s="375">
        <f t="shared" ref="O192:O248" si="84">L192+M192+N192</f>
        <v>0</v>
      </c>
      <c r="P192" s="362">
        <f t="shared" si="59"/>
        <v>512527</v>
      </c>
      <c r="Q192" s="362">
        <f t="shared" si="80"/>
        <v>7259</v>
      </c>
      <c r="R192" s="362">
        <f t="shared" si="81"/>
        <v>8773</v>
      </c>
      <c r="S192" s="362">
        <f t="shared" si="82"/>
        <v>528559</v>
      </c>
      <c r="T192" s="362">
        <f>S192*'НМЦК подряд'!$C$16*'НМЦК подряд'!$E$16</f>
        <v>795187</v>
      </c>
      <c r="U192" s="427">
        <f t="shared" si="83"/>
        <v>0</v>
      </c>
      <c r="V192" s="234"/>
    </row>
    <row r="193" spans="1:23">
      <c r="A193" s="174" t="s">
        <v>682</v>
      </c>
      <c r="B193" s="180" t="s">
        <v>683</v>
      </c>
      <c r="C193" s="202" t="s">
        <v>684</v>
      </c>
      <c r="D193" s="180" t="s">
        <v>534</v>
      </c>
      <c r="E193" s="183">
        <v>5.2</v>
      </c>
      <c r="F193" s="233">
        <f t="shared" si="79"/>
        <v>3214.23</v>
      </c>
      <c r="G193" s="237">
        <f t="shared" si="71"/>
        <v>16714</v>
      </c>
      <c r="J193" s="424"/>
      <c r="K193" s="425">
        <f>10773</f>
        <v>10773</v>
      </c>
      <c r="L193" s="448"/>
      <c r="M193" s="427"/>
      <c r="N193" s="438"/>
      <c r="O193" s="375">
        <f t="shared" si="84"/>
        <v>0</v>
      </c>
      <c r="P193" s="362">
        <f t="shared" si="59"/>
        <v>10773</v>
      </c>
      <c r="Q193" s="362">
        <f t="shared" si="80"/>
        <v>153</v>
      </c>
      <c r="R193" s="362">
        <f t="shared" si="81"/>
        <v>184</v>
      </c>
      <c r="S193" s="362">
        <f t="shared" si="82"/>
        <v>11110</v>
      </c>
      <c r="T193" s="362">
        <f>S193*'НМЦК подряд'!$C$16*'НМЦК подряд'!$E$16</f>
        <v>16714</v>
      </c>
      <c r="U193" s="427">
        <f t="shared" si="83"/>
        <v>0</v>
      </c>
      <c r="V193" s="234"/>
    </row>
    <row r="194" ht="31.5" spans="1:23">
      <c r="A194" s="174" t="s">
        <v>685</v>
      </c>
      <c r="B194" s="180" t="s">
        <v>686</v>
      </c>
      <c r="C194" s="181" t="s">
        <v>687</v>
      </c>
      <c r="D194" s="180" t="s">
        <v>274</v>
      </c>
      <c r="E194" s="180">
        <v>328</v>
      </c>
      <c r="F194" s="233">
        <f t="shared" si="79"/>
        <v>9884.15</v>
      </c>
      <c r="G194" s="233">
        <f t="shared" si="71"/>
        <v>3242001.2</v>
      </c>
      <c r="J194" s="424"/>
      <c r="K194" s="425">
        <f>1198066+891522</f>
        <v>2089588</v>
      </c>
      <c r="L194" s="448"/>
      <c r="M194" s="427"/>
      <c r="N194" s="438"/>
      <c r="O194" s="375">
        <f t="shared" si="84"/>
        <v>0</v>
      </c>
      <c r="P194" s="362">
        <f t="shared" si="59"/>
        <v>2089588</v>
      </c>
      <c r="Q194" s="362">
        <f t="shared" si="80"/>
        <v>29594</v>
      </c>
      <c r="R194" s="362">
        <f t="shared" si="81"/>
        <v>35770</v>
      </c>
      <c r="S194" s="362">
        <f t="shared" si="82"/>
        <v>2154952</v>
      </c>
      <c r="T194" s="362">
        <f>S194*'НМЦК подряд'!$C$16*'НМЦК подряд'!$E$16</f>
        <v>3242002</v>
      </c>
      <c r="U194" s="427">
        <f t="shared" si="83"/>
        <v>0</v>
      </c>
      <c r="V194" s="234"/>
    </row>
    <row r="195" spans="1:23">
      <c r="A195" s="156"/>
      <c r="B195" s="180"/>
      <c r="C195" s="203" t="s">
        <v>688</v>
      </c>
      <c r="D195" s="180"/>
      <c r="E195" s="180"/>
      <c r="F195" s="233"/>
      <c r="G195" s="233"/>
      <c r="J195" s="424"/>
      <c r="K195" s="425"/>
      <c r="L195" s="448"/>
      <c r="M195" s="427"/>
      <c r="N195" s="438"/>
      <c r="O195" s="375">
        <f t="shared" si="84"/>
        <v>0</v>
      </c>
      <c r="P195" s="362">
        <f t="shared" si="59"/>
        <v>0</v>
      </c>
      <c r="Q195" s="362">
        <f t="shared" si="80"/>
        <v>0</v>
      </c>
      <c r="R195" s="362">
        <f t="shared" si="81"/>
        <v>0</v>
      </c>
      <c r="S195" s="362">
        <f>K195+Q195+R195</f>
        <v>0</v>
      </c>
      <c r="T195" s="362">
        <f>S195*'НМЦК подряд'!$C$16*'НМЦК подряд'!$E$16</f>
        <v>0</v>
      </c>
      <c r="U195" s="427">
        <f t="shared" si="83"/>
        <v>0</v>
      </c>
      <c r="V195" s="234"/>
    </row>
    <row r="196" ht="16.5" spans="1:23">
      <c r="A196" s="174" t="s">
        <v>689</v>
      </c>
      <c r="B196" s="266" t="s">
        <v>690</v>
      </c>
      <c r="C196" s="265" t="s">
        <v>691</v>
      </c>
      <c r="D196" s="266" t="s">
        <v>321</v>
      </c>
      <c r="E196" s="298">
        <v>5</v>
      </c>
      <c r="F196" s="237">
        <f>T196/E196</f>
        <v>7429.8</v>
      </c>
      <c r="G196" s="237">
        <f>F196*E196</f>
        <v>37149</v>
      </c>
      <c r="J196" s="424"/>
      <c r="K196" s="425">
        <f>9281+14663</f>
        <v>23944</v>
      </c>
      <c r="L196" s="448"/>
      <c r="M196" s="427"/>
      <c r="N196" s="438"/>
      <c r="O196" s="375">
        <f t="shared" si="84"/>
        <v>0</v>
      </c>
      <c r="P196" s="362">
        <f t="shared" si="59"/>
        <v>23944</v>
      </c>
      <c r="Q196" s="362">
        <f t="shared" si="80"/>
        <v>339</v>
      </c>
      <c r="R196" s="362">
        <f t="shared" si="81"/>
        <v>410</v>
      </c>
      <c r="S196" s="362">
        <f>P196+Q196+R196</f>
        <v>24693</v>
      </c>
      <c r="T196" s="362">
        <f>S196*'НМЦК подряд'!$C$16*'НМЦК подряд'!$E$16</f>
        <v>37149</v>
      </c>
      <c r="U196" s="427">
        <f t="shared" si="83"/>
        <v>0</v>
      </c>
      <c r="V196" s="234"/>
    </row>
    <row r="197" s="216" customFormat="1" ht="16.5" spans="1:23">
      <c r="A197" s="268"/>
      <c r="B197" s="269"/>
      <c r="C197" s="299" t="s">
        <v>692</v>
      </c>
      <c r="D197" s="269"/>
      <c r="E197" s="269"/>
      <c r="F197" s="270"/>
      <c r="G197" s="242">
        <f>SUM(G153:G196)</f>
        <v>117453409.87</v>
      </c>
      <c r="H197" s="300"/>
      <c r="I197" s="300"/>
      <c r="J197" s="452"/>
      <c r="K197" s="453">
        <f>SUM(K153:K196)</f>
        <v>73480289</v>
      </c>
      <c r="L197" s="453"/>
      <c r="M197" s="453"/>
      <c r="N197" s="453"/>
      <c r="O197" s="453">
        <f t="shared" ref="O197:U197" si="85">SUM(O187:O194)</f>
        <v>280283</v>
      </c>
      <c r="P197" s="453">
        <f t="shared" si="85"/>
        <v>9703310</v>
      </c>
      <c r="Q197" s="453">
        <f t="shared" si="85"/>
        <v>137424</v>
      </c>
      <c r="R197" s="453">
        <f t="shared" si="85"/>
        <v>166101</v>
      </c>
      <c r="S197" s="453">
        <f t="shared" si="85"/>
        <v>10006835</v>
      </c>
      <c r="T197" s="453">
        <f t="shared" si="85"/>
        <v>15054709</v>
      </c>
      <c r="U197" s="453">
        <f t="shared" si="85"/>
        <v>280283</v>
      </c>
      <c r="V197" s="454"/>
      <c r="W197" s="300"/>
    </row>
    <row r="198" ht="16.5" hidden="1" spans="1:23">
      <c r="A198" s="301"/>
      <c r="B198" s="303"/>
      <c r="C198" s="302"/>
      <c r="D198" s="303"/>
      <c r="E198" s="304"/>
      <c r="F198" s="305"/>
      <c r="G198" s="306"/>
      <c r="J198" s="424"/>
      <c r="K198" s="451">
        <f t="shared" ref="K198:U198" si="86">K196</f>
        <v>23944</v>
      </c>
      <c r="L198" s="451">
        <f t="shared" si="86"/>
        <v>0</v>
      </c>
      <c r="M198" s="451">
        <f t="shared" si="86"/>
        <v>0</v>
      </c>
      <c r="N198" s="451">
        <f t="shared" si="86"/>
        <v>0</v>
      </c>
      <c r="O198" s="451">
        <f t="shared" si="86"/>
        <v>0</v>
      </c>
      <c r="P198" s="451">
        <f t="shared" si="86"/>
        <v>23944</v>
      </c>
      <c r="Q198" s="451">
        <f t="shared" si="86"/>
        <v>339</v>
      </c>
      <c r="R198" s="451">
        <f t="shared" si="86"/>
        <v>410</v>
      </c>
      <c r="S198" s="451">
        <f t="shared" si="86"/>
        <v>24693</v>
      </c>
      <c r="T198" s="451">
        <f t="shared" si="86"/>
        <v>37149</v>
      </c>
      <c r="U198" s="451">
        <f t="shared" si="86"/>
        <v>0</v>
      </c>
      <c r="V198" s="234"/>
    </row>
    <row r="199" ht="16.5" hidden="1" spans="1:23">
      <c r="A199" s="301"/>
      <c r="B199" s="303"/>
      <c r="C199" s="302"/>
      <c r="D199" s="303"/>
      <c r="E199" s="304"/>
      <c r="F199" s="305"/>
      <c r="G199" s="306"/>
      <c r="J199" s="424"/>
      <c r="K199" s="431">
        <f>K198+K197+K186</f>
        <v>73504233</v>
      </c>
      <c r="L199" s="431"/>
      <c r="M199" s="431"/>
      <c r="N199" s="431"/>
      <c r="O199" s="431">
        <f t="shared" ref="O199:U199" si="87">O198+O197+O186</f>
        <v>2222738</v>
      </c>
      <c r="P199" s="431">
        <f t="shared" si="87"/>
        <v>75703027</v>
      </c>
      <c r="Q199" s="431">
        <f t="shared" si="87"/>
        <v>1072140</v>
      </c>
      <c r="R199" s="431">
        <f t="shared" si="87"/>
        <v>1295882</v>
      </c>
      <c r="S199" s="431">
        <f t="shared" si="87"/>
        <v>78071049</v>
      </c>
      <c r="T199" s="431">
        <f t="shared" si="87"/>
        <v>117453413</v>
      </c>
      <c r="U199" s="431">
        <f t="shared" si="87"/>
        <v>2152870</v>
      </c>
      <c r="V199" s="234"/>
    </row>
    <row r="200" spans="1:23">
      <c r="A200" s="253" t="s">
        <v>693</v>
      </c>
      <c r="B200" s="388"/>
      <c r="C200" s="254"/>
      <c r="D200" s="307"/>
      <c r="E200" s="275"/>
      <c r="F200" s="276"/>
      <c r="G200" s="308"/>
      <c r="J200" s="424"/>
      <c r="K200" s="425"/>
      <c r="L200" s="448"/>
      <c r="M200" s="427"/>
      <c r="N200" s="438"/>
      <c r="O200" s="375">
        <f t="shared" si="84"/>
        <v>0</v>
      </c>
      <c r="P200" s="362">
        <f t="shared" ref="P200:P255" si="88">K200+L200+M200+N200</f>
        <v>0</v>
      </c>
      <c r="Q200" s="362">
        <f t="shared" ref="Q200:Q214" si="89">P200*$Q$12</f>
        <v>0</v>
      </c>
      <c r="R200" s="362">
        <f t="shared" ref="R200:R214" si="90">P200*$R$12</f>
        <v>0</v>
      </c>
      <c r="S200" s="362">
        <f>K200+Q200+R200</f>
        <v>0</v>
      </c>
      <c r="T200" s="362">
        <f>S200*'НМЦК подряд'!$C$16*'НМЦК подряд'!$E$16</f>
        <v>0</v>
      </c>
      <c r="U200" s="427">
        <f t="shared" ref="U200:U214" si="91">L200+M200+N200</f>
        <v>0</v>
      </c>
      <c r="V200" s="234"/>
    </row>
    <row r="201" ht="48" spans="1:23">
      <c r="A201" s="174" t="s">
        <v>694</v>
      </c>
      <c r="B201" s="266" t="s">
        <v>695</v>
      </c>
      <c r="C201" s="265" t="s">
        <v>696</v>
      </c>
      <c r="D201" s="266" t="s">
        <v>274</v>
      </c>
      <c r="E201" s="298">
        <v>5740</v>
      </c>
      <c r="F201" s="237">
        <f>T201/E201</f>
        <v>2893.68</v>
      </c>
      <c r="G201" s="237">
        <f t="shared" si="71"/>
        <v>16609723.2</v>
      </c>
      <c r="J201" s="424"/>
      <c r="K201" s="431">
        <v>10705570</v>
      </c>
      <c r="L201" s="448"/>
      <c r="M201" s="427"/>
      <c r="N201" s="438"/>
      <c r="O201" s="375">
        <f t="shared" si="84"/>
        <v>0</v>
      </c>
      <c r="P201" s="362">
        <f t="shared" si="88"/>
        <v>10705570</v>
      </c>
      <c r="Q201" s="362">
        <f t="shared" si="89"/>
        <v>151617</v>
      </c>
      <c r="R201" s="362">
        <f t="shared" si="90"/>
        <v>183258</v>
      </c>
      <c r="S201" s="362">
        <f>P201+Q201+R201</f>
        <v>11040445</v>
      </c>
      <c r="T201" s="362">
        <f>S201*'НМЦК подряд'!$C$16*'НМЦК подряд'!$E$16</f>
        <v>16609716</v>
      </c>
      <c r="U201" s="427">
        <f t="shared" si="91"/>
        <v>0</v>
      </c>
      <c r="V201" s="234"/>
    </row>
    <row r="202" s="216" customFormat="1" ht="16.5" spans="1:23">
      <c r="A202" s="309"/>
      <c r="B202" s="269"/>
      <c r="C202" s="299" t="s">
        <v>697</v>
      </c>
      <c r="D202" s="269"/>
      <c r="E202" s="240"/>
      <c r="F202" s="270"/>
      <c r="G202" s="242">
        <f>G201</f>
        <v>16609723.2</v>
      </c>
      <c r="H202" s="300"/>
      <c r="I202" s="300"/>
      <c r="J202" s="452"/>
      <c r="K202" s="455"/>
      <c r="L202" s="456"/>
      <c r="M202" s="457"/>
      <c r="N202" s="458"/>
      <c r="O202" s="459">
        <f t="shared" si="84"/>
        <v>0</v>
      </c>
      <c r="P202" s="460">
        <f t="shared" si="88"/>
        <v>0</v>
      </c>
      <c r="Q202" s="460">
        <f t="shared" si="89"/>
        <v>0</v>
      </c>
      <c r="R202" s="460">
        <f t="shared" si="90"/>
        <v>0</v>
      </c>
      <c r="S202" s="460">
        <f>K202+Q202+R202</f>
        <v>0</v>
      </c>
      <c r="T202" s="460">
        <f>S202*'НМЦК подряд'!$C$16*'НМЦК подряд'!$E$16</f>
        <v>0</v>
      </c>
      <c r="U202" s="457">
        <f t="shared" si="91"/>
        <v>0</v>
      </c>
      <c r="V202" s="454"/>
      <c r="W202" s="300"/>
    </row>
    <row r="203" spans="1:23">
      <c r="A203" s="253" t="s">
        <v>698</v>
      </c>
      <c r="B203" s="388"/>
      <c r="C203" s="254"/>
      <c r="D203" s="180"/>
      <c r="E203" s="183"/>
      <c r="F203" s="233"/>
      <c r="G203" s="237"/>
      <c r="J203" s="424"/>
      <c r="K203" s="425"/>
      <c r="L203" s="448"/>
      <c r="M203" s="427"/>
      <c r="N203" s="438"/>
      <c r="O203" s="375">
        <f t="shared" si="84"/>
        <v>0</v>
      </c>
      <c r="P203" s="362">
        <f t="shared" si="88"/>
        <v>0</v>
      </c>
      <c r="Q203" s="362">
        <f t="shared" si="89"/>
        <v>0</v>
      </c>
      <c r="R203" s="362">
        <f t="shared" si="90"/>
        <v>0</v>
      </c>
      <c r="S203" s="362">
        <f>K203+Q203+R203</f>
        <v>0</v>
      </c>
      <c r="T203" s="362">
        <f>S203*'НМЦК подряд'!$C$16*'НМЦК подряд'!$E$16</f>
        <v>0</v>
      </c>
      <c r="U203" s="427">
        <f t="shared" si="91"/>
        <v>0</v>
      </c>
      <c r="V203" s="234"/>
    </row>
    <row r="204" ht="32.25" spans="1:23">
      <c r="A204" s="174" t="s">
        <v>699</v>
      </c>
      <c r="B204" s="235" t="s">
        <v>700</v>
      </c>
      <c r="C204" s="235" t="s">
        <v>461</v>
      </c>
      <c r="D204" s="236" t="s">
        <v>321</v>
      </c>
      <c r="E204" s="236">
        <v>1</v>
      </c>
      <c r="F204" s="237">
        <f>T204/E204</f>
        <v>732336</v>
      </c>
      <c r="G204" s="237">
        <f t="shared" si="71"/>
        <v>732336</v>
      </c>
      <c r="J204" s="424"/>
      <c r="K204" s="431">
        <v>400082</v>
      </c>
      <c r="L204" s="448"/>
      <c r="M204" s="427">
        <f>17.75*N11</f>
        <v>71935</v>
      </c>
      <c r="N204" s="438"/>
      <c r="O204" s="375">
        <f t="shared" si="84"/>
        <v>71935</v>
      </c>
      <c r="P204" s="362">
        <f t="shared" si="88"/>
        <v>472017</v>
      </c>
      <c r="Q204" s="362">
        <f t="shared" si="89"/>
        <v>6685</v>
      </c>
      <c r="R204" s="362">
        <f t="shared" si="90"/>
        <v>8080</v>
      </c>
      <c r="S204" s="362">
        <f>P204+Q204+R204</f>
        <v>486782</v>
      </c>
      <c r="T204" s="362">
        <f>S204*'НМЦК подряд'!$C$16*'НМЦК подряд'!$E$16</f>
        <v>732336</v>
      </c>
      <c r="U204" s="427">
        <f t="shared" si="91"/>
        <v>71935</v>
      </c>
      <c r="V204" s="234"/>
    </row>
    <row r="205" s="216" customFormat="1" ht="16.5" spans="1:23">
      <c r="A205" s="309"/>
      <c r="B205" s="269"/>
      <c r="C205" s="299" t="s">
        <v>701</v>
      </c>
      <c r="D205" s="269"/>
      <c r="E205" s="269"/>
      <c r="F205" s="270"/>
      <c r="G205" s="242">
        <f>G204</f>
        <v>732336</v>
      </c>
      <c r="H205" s="300"/>
      <c r="I205" s="300"/>
      <c r="J205" s="452"/>
      <c r="K205" s="455"/>
      <c r="L205" s="456"/>
      <c r="M205" s="457"/>
      <c r="N205" s="461"/>
      <c r="O205" s="459">
        <f t="shared" si="84"/>
        <v>0</v>
      </c>
      <c r="P205" s="460">
        <f t="shared" si="88"/>
        <v>0</v>
      </c>
      <c r="Q205" s="460">
        <f t="shared" si="89"/>
        <v>0</v>
      </c>
      <c r="R205" s="460">
        <f t="shared" si="90"/>
        <v>0</v>
      </c>
      <c r="S205" s="460">
        <f>K205+Q205+R205</f>
        <v>0</v>
      </c>
      <c r="T205" s="460">
        <f>S205*'НМЦК подряд'!$C$16*'НМЦК подряд'!$E$16</f>
        <v>0</v>
      </c>
      <c r="U205" s="457">
        <f t="shared" si="91"/>
        <v>0</v>
      </c>
      <c r="V205" s="454"/>
      <c r="W205" s="300"/>
    </row>
    <row r="206" spans="1:23">
      <c r="A206" s="253" t="s">
        <v>702</v>
      </c>
      <c r="B206" s="388"/>
      <c r="C206" s="254"/>
      <c r="D206" s="180"/>
      <c r="E206" s="180"/>
      <c r="F206" s="233"/>
      <c r="G206" s="237"/>
      <c r="J206" s="424"/>
      <c r="K206" s="425"/>
      <c r="L206" s="448"/>
      <c r="M206" s="427"/>
      <c r="N206" s="172"/>
      <c r="O206" s="375">
        <f t="shared" si="84"/>
        <v>0</v>
      </c>
      <c r="P206" s="362">
        <f t="shared" si="88"/>
        <v>0</v>
      </c>
      <c r="Q206" s="362">
        <f t="shared" si="89"/>
        <v>0</v>
      </c>
      <c r="R206" s="362">
        <f t="shared" si="90"/>
        <v>0</v>
      </c>
      <c r="S206" s="362">
        <f>K206+Q206+R206</f>
        <v>0</v>
      </c>
      <c r="T206" s="362">
        <f>S206*'НМЦК подряд'!$C$16*'НМЦК подряд'!$E$16</f>
        <v>0</v>
      </c>
      <c r="U206" s="427">
        <f t="shared" si="91"/>
        <v>0</v>
      </c>
      <c r="V206" s="234"/>
    </row>
    <row r="207" spans="1:23">
      <c r="A207" s="310" t="s">
        <v>703</v>
      </c>
      <c r="B207" s="462"/>
      <c r="C207" s="311"/>
      <c r="D207" s="180"/>
      <c r="E207" s="180"/>
      <c r="F207" s="233"/>
      <c r="G207" s="237"/>
      <c r="J207" s="424"/>
      <c r="K207" s="425"/>
      <c r="L207" s="448"/>
      <c r="M207" s="427"/>
      <c r="N207" s="172"/>
      <c r="O207" s="375">
        <f t="shared" si="84"/>
        <v>0</v>
      </c>
      <c r="P207" s="362">
        <f t="shared" si="88"/>
        <v>0</v>
      </c>
      <c r="Q207" s="362">
        <f t="shared" si="89"/>
        <v>0</v>
      </c>
      <c r="R207" s="362">
        <f t="shared" si="90"/>
        <v>0</v>
      </c>
      <c r="S207" s="362">
        <f>K207+Q207+R207</f>
        <v>0</v>
      </c>
      <c r="T207" s="362">
        <f>S207*'НМЦК подряд'!$C$16*'НМЦК подряд'!$E$16</f>
        <v>0</v>
      </c>
      <c r="U207" s="427">
        <f t="shared" si="91"/>
        <v>0</v>
      </c>
      <c r="V207" s="234"/>
    </row>
    <row r="208" spans="1:23">
      <c r="A208" s="174" t="s">
        <v>704</v>
      </c>
      <c r="B208" s="180" t="s">
        <v>705</v>
      </c>
      <c r="C208" s="181" t="s">
        <v>706</v>
      </c>
      <c r="D208" s="180" t="s">
        <v>274</v>
      </c>
      <c r="E208" s="180">
        <v>250</v>
      </c>
      <c r="F208" s="233">
        <f>T208/E208-0.01</f>
        <v>64.42</v>
      </c>
      <c r="G208" s="237">
        <f t="shared" si="71"/>
        <v>16105</v>
      </c>
      <c r="J208" s="424"/>
      <c r="K208" s="425">
        <v>10382</v>
      </c>
      <c r="L208" s="448"/>
      <c r="M208" s="427"/>
      <c r="N208" s="172"/>
      <c r="O208" s="375">
        <f t="shared" si="84"/>
        <v>0</v>
      </c>
      <c r="P208" s="362">
        <f t="shared" si="88"/>
        <v>10382</v>
      </c>
      <c r="Q208" s="362">
        <f t="shared" si="89"/>
        <v>147</v>
      </c>
      <c r="R208" s="362">
        <f t="shared" si="90"/>
        <v>178</v>
      </c>
      <c r="S208" s="362">
        <f>P208+Q208+R208</f>
        <v>10707</v>
      </c>
      <c r="T208" s="362">
        <f>S208*'НМЦК подряд'!$C$16*'НМЦК подряд'!$E$16</f>
        <v>16108</v>
      </c>
      <c r="U208" s="427">
        <f t="shared" si="91"/>
        <v>0</v>
      </c>
      <c r="V208" s="234"/>
    </row>
    <row r="209" spans="1:23">
      <c r="A209" s="174" t="s">
        <v>707</v>
      </c>
      <c r="B209" s="180" t="s">
        <v>708</v>
      </c>
      <c r="C209" s="181" t="s">
        <v>709</v>
      </c>
      <c r="D209" s="180" t="s">
        <v>274</v>
      </c>
      <c r="E209" s="180">
        <v>340</v>
      </c>
      <c r="F209" s="233">
        <f>T209/E209</f>
        <v>173.54</v>
      </c>
      <c r="G209" s="237">
        <f t="shared" si="71"/>
        <v>59003.6</v>
      </c>
      <c r="J209" s="424"/>
      <c r="K209" s="425">
        <f>8715+29315</f>
        <v>38030</v>
      </c>
      <c r="L209" s="448"/>
      <c r="M209" s="427"/>
      <c r="N209" s="172"/>
      <c r="O209" s="375">
        <f t="shared" si="84"/>
        <v>0</v>
      </c>
      <c r="P209" s="362">
        <f t="shared" si="88"/>
        <v>38030</v>
      </c>
      <c r="Q209" s="362">
        <f t="shared" si="89"/>
        <v>539</v>
      </c>
      <c r="R209" s="362">
        <f t="shared" si="90"/>
        <v>651</v>
      </c>
      <c r="S209" s="362">
        <f>P209+Q209+R209</f>
        <v>39220</v>
      </c>
      <c r="T209" s="362">
        <f>S209*'НМЦК подряд'!$C$16*'НМЦК подряд'!$E$16</f>
        <v>59004</v>
      </c>
      <c r="U209" s="427">
        <f t="shared" si="91"/>
        <v>0</v>
      </c>
      <c r="V209" s="234"/>
    </row>
    <row r="210" spans="1:23">
      <c r="A210" s="174" t="s">
        <v>710</v>
      </c>
      <c r="B210" s="180" t="s">
        <v>711</v>
      </c>
      <c r="C210" s="181" t="s">
        <v>712</v>
      </c>
      <c r="D210" s="180" t="s">
        <v>274</v>
      </c>
      <c r="E210" s="180">
        <v>340</v>
      </c>
      <c r="F210" s="233">
        <f>T210/E210</f>
        <v>70.57</v>
      </c>
      <c r="G210" s="237">
        <f t="shared" si="71"/>
        <v>23993.8</v>
      </c>
      <c r="J210" s="424"/>
      <c r="K210" s="425">
        <f>8940+6525</f>
        <v>15465</v>
      </c>
      <c r="L210" s="448"/>
      <c r="M210" s="427"/>
      <c r="N210" s="172"/>
      <c r="O210" s="375">
        <f t="shared" si="84"/>
        <v>0</v>
      </c>
      <c r="P210" s="362">
        <f t="shared" si="88"/>
        <v>15465</v>
      </c>
      <c r="Q210" s="362">
        <f t="shared" si="89"/>
        <v>219</v>
      </c>
      <c r="R210" s="362">
        <f t="shared" si="90"/>
        <v>265</v>
      </c>
      <c r="S210" s="362">
        <f>P210+Q210+R210</f>
        <v>15949</v>
      </c>
      <c r="T210" s="362">
        <f>S210*'НМЦК подряд'!$C$16*'НМЦК подряд'!$E$16</f>
        <v>23994</v>
      </c>
      <c r="U210" s="427">
        <f t="shared" si="91"/>
        <v>0</v>
      </c>
      <c r="V210" s="234"/>
    </row>
    <row r="211" spans="1:23">
      <c r="A211" s="174" t="s">
        <v>713</v>
      </c>
      <c r="B211" s="180" t="s">
        <v>714</v>
      </c>
      <c r="C211" s="181" t="s">
        <v>715</v>
      </c>
      <c r="D211" s="180" t="s">
        <v>578</v>
      </c>
      <c r="E211" s="180">
        <v>1819</v>
      </c>
      <c r="F211" s="233">
        <f>T211/E211</f>
        <v>64.32</v>
      </c>
      <c r="G211" s="237">
        <f t="shared" si="71"/>
        <v>116998.08</v>
      </c>
      <c r="J211" s="424"/>
      <c r="K211" s="425">
        <v>75407</v>
      </c>
      <c r="L211" s="448"/>
      <c r="M211" s="427"/>
      <c r="N211" s="172"/>
      <c r="O211" s="375">
        <f t="shared" si="84"/>
        <v>0</v>
      </c>
      <c r="P211" s="362">
        <f t="shared" si="88"/>
        <v>75407</v>
      </c>
      <c r="Q211" s="362">
        <f t="shared" si="89"/>
        <v>1068</v>
      </c>
      <c r="R211" s="362">
        <f t="shared" si="90"/>
        <v>1291</v>
      </c>
      <c r="S211" s="362">
        <f>P211+Q211+R211</f>
        <v>77766</v>
      </c>
      <c r="T211" s="362">
        <f>S211*'НМЦК подряд'!$C$16*'НМЦК подряд'!$E$16</f>
        <v>116994</v>
      </c>
      <c r="U211" s="427">
        <f t="shared" si="91"/>
        <v>0</v>
      </c>
      <c r="V211" s="234"/>
    </row>
    <row r="212" ht="47.25" spans="1:23">
      <c r="A212" s="174" t="s">
        <v>716</v>
      </c>
      <c r="B212" s="180" t="s">
        <v>717</v>
      </c>
      <c r="C212" s="181" t="s">
        <v>718</v>
      </c>
      <c r="D212" s="180" t="s">
        <v>578</v>
      </c>
      <c r="E212" s="180">
        <v>88</v>
      </c>
      <c r="F212" s="233">
        <f>T212/E212</f>
        <v>12152.27</v>
      </c>
      <c r="G212" s="237">
        <f t="shared" si="71"/>
        <v>1069399.76</v>
      </c>
      <c r="J212" s="424"/>
      <c r="K212" s="425">
        <f>222691-70392+18300+322831-140783+286784+10153</f>
        <v>649584</v>
      </c>
      <c r="L212" s="448"/>
      <c r="M212" s="427">
        <f>23*0.42573*N11</f>
        <v>39683</v>
      </c>
      <c r="N212" s="172"/>
      <c r="O212" s="375">
        <f t="shared" si="84"/>
        <v>39683</v>
      </c>
      <c r="P212" s="362">
        <f t="shared" si="88"/>
        <v>689267</v>
      </c>
      <c r="Q212" s="362">
        <f t="shared" si="89"/>
        <v>9762</v>
      </c>
      <c r="R212" s="362">
        <f t="shared" si="90"/>
        <v>11799</v>
      </c>
      <c r="S212" s="362">
        <f>P212+Q212+R212</f>
        <v>710828</v>
      </c>
      <c r="T212" s="362">
        <f>S212*'НМЦК подряд'!$C$16*'НМЦК подряд'!$E$16</f>
        <v>1069400</v>
      </c>
      <c r="U212" s="427">
        <f t="shared" si="91"/>
        <v>39683</v>
      </c>
      <c r="V212" s="234"/>
    </row>
    <row r="213" spans="1:23">
      <c r="A213" s="156"/>
      <c r="B213" s="180"/>
      <c r="C213" s="200" t="s">
        <v>719</v>
      </c>
      <c r="D213" s="180"/>
      <c r="E213" s="180"/>
      <c r="F213" s="233"/>
      <c r="G213" s="237"/>
      <c r="J213" s="424"/>
      <c r="K213" s="425"/>
      <c r="L213" s="448"/>
      <c r="M213" s="427"/>
      <c r="N213" s="172"/>
      <c r="O213" s="375">
        <f t="shared" si="84"/>
        <v>0</v>
      </c>
      <c r="P213" s="362">
        <f t="shared" si="88"/>
        <v>0</v>
      </c>
      <c r="Q213" s="362">
        <f t="shared" si="89"/>
        <v>0</v>
      </c>
      <c r="R213" s="362">
        <f t="shared" si="90"/>
        <v>0</v>
      </c>
      <c r="S213" s="362">
        <f>K213+Q213+R213</f>
        <v>0</v>
      </c>
      <c r="T213" s="362">
        <f>S213*'НМЦК подряд'!$C$16*'НМЦК подряд'!$E$16</f>
        <v>0</v>
      </c>
      <c r="U213" s="427">
        <f t="shared" si="91"/>
        <v>0</v>
      </c>
      <c r="V213" s="234"/>
    </row>
    <row r="214" ht="32.25" spans="1:23">
      <c r="A214" s="174" t="s">
        <v>720</v>
      </c>
      <c r="B214" s="266" t="s">
        <v>721</v>
      </c>
      <c r="C214" s="265" t="s">
        <v>722</v>
      </c>
      <c r="D214" s="266" t="s">
        <v>578</v>
      </c>
      <c r="E214" s="266">
        <v>1535</v>
      </c>
      <c r="F214" s="237">
        <f>T214/E214</f>
        <v>823.88</v>
      </c>
      <c r="G214" s="237">
        <f t="shared" si="71"/>
        <v>1264655.8</v>
      </c>
      <c r="J214" s="424"/>
      <c r="K214" s="425">
        <f>284884+69644+460587</f>
        <v>815115</v>
      </c>
      <c r="L214" s="448"/>
      <c r="M214" s="427"/>
      <c r="N214" s="172"/>
      <c r="O214" s="375">
        <f t="shared" si="84"/>
        <v>0</v>
      </c>
      <c r="P214" s="362">
        <f t="shared" si="88"/>
        <v>815115</v>
      </c>
      <c r="Q214" s="362">
        <f t="shared" si="89"/>
        <v>11544</v>
      </c>
      <c r="R214" s="362">
        <f t="shared" si="90"/>
        <v>13953</v>
      </c>
      <c r="S214" s="362">
        <f>P214+Q214+R214</f>
        <v>840612</v>
      </c>
      <c r="T214" s="362">
        <f>S214*'НМЦК подряд'!$C$16*'НМЦК подряд'!$E$16</f>
        <v>1264653</v>
      </c>
      <c r="U214" s="427">
        <f t="shared" si="91"/>
        <v>0</v>
      </c>
      <c r="V214" s="234"/>
    </row>
    <row r="215" s="216" customFormat="1" ht="16.5" spans="1:23">
      <c r="A215" s="268"/>
      <c r="B215" s="269"/>
      <c r="C215" s="312" t="s">
        <v>723</v>
      </c>
      <c r="D215" s="269"/>
      <c r="E215" s="269"/>
      <c r="F215" s="270"/>
      <c r="G215" s="242">
        <f>SUM(G208:G214)</f>
        <v>2550156.04</v>
      </c>
      <c r="H215" s="300"/>
      <c r="I215" s="300"/>
      <c r="J215" s="452"/>
      <c r="K215" s="453"/>
      <c r="L215" s="453"/>
      <c r="M215" s="453"/>
      <c r="N215" s="453"/>
      <c r="O215" s="453">
        <f t="shared" ref="O215:U215" si="92">SUM(O208:O214)</f>
        <v>39683</v>
      </c>
      <c r="P215" s="453">
        <f t="shared" si="92"/>
        <v>1643666</v>
      </c>
      <c r="Q215" s="453">
        <f t="shared" si="92"/>
        <v>23279</v>
      </c>
      <c r="R215" s="453">
        <f t="shared" si="92"/>
        <v>28137</v>
      </c>
      <c r="S215" s="453">
        <f t="shared" si="92"/>
        <v>1695082</v>
      </c>
      <c r="T215" s="453">
        <f t="shared" si="92"/>
        <v>2550153</v>
      </c>
      <c r="U215" s="453">
        <f t="shared" si="92"/>
        <v>39683</v>
      </c>
      <c r="V215" s="454"/>
      <c r="W215" s="300"/>
    </row>
    <row r="216" spans="1:23">
      <c r="A216" s="253" t="s">
        <v>724</v>
      </c>
      <c r="B216" s="388"/>
      <c r="C216" s="254"/>
      <c r="D216" s="307"/>
      <c r="E216" s="307"/>
      <c r="F216" s="276"/>
      <c r="G216" s="308"/>
      <c r="J216" s="424"/>
      <c r="K216" s="425"/>
      <c r="L216" s="448"/>
      <c r="M216" s="427"/>
      <c r="N216" s="172"/>
      <c r="O216" s="375">
        <f t="shared" si="84"/>
        <v>0</v>
      </c>
      <c r="P216" s="362">
        <f t="shared" si="88"/>
        <v>0</v>
      </c>
      <c r="Q216" s="362">
        <f t="shared" ref="Q216:Q224" si="93">P216*$Q$12</f>
        <v>0</v>
      </c>
      <c r="R216" s="362">
        <f t="shared" ref="R216:R224" si="94">P216*$R$12</f>
        <v>0</v>
      </c>
      <c r="S216" s="362">
        <f>K216+Q216+R216</f>
        <v>0</v>
      </c>
      <c r="T216" s="362">
        <f>S216*'НМЦК подряд'!$C$16*'НМЦК подряд'!$E$16</f>
        <v>0</v>
      </c>
      <c r="U216" s="427">
        <f t="shared" ref="U216:U224" si="95">L216+M216+N216</f>
        <v>0</v>
      </c>
      <c r="V216" s="234"/>
    </row>
    <row r="217" spans="1:23">
      <c r="A217" s="186"/>
      <c r="B217" s="180"/>
      <c r="C217" s="200" t="s">
        <v>725</v>
      </c>
      <c r="D217" s="180"/>
      <c r="E217" s="180"/>
      <c r="F217" s="233"/>
      <c r="G217" s="237"/>
      <c r="J217" s="424"/>
      <c r="K217" s="425"/>
      <c r="L217" s="448"/>
      <c r="M217" s="427"/>
      <c r="N217" s="172"/>
      <c r="O217" s="375">
        <f t="shared" si="84"/>
        <v>0</v>
      </c>
      <c r="P217" s="362">
        <f t="shared" si="88"/>
        <v>0</v>
      </c>
      <c r="Q217" s="362">
        <f t="shared" si="93"/>
        <v>0</v>
      </c>
      <c r="R217" s="362">
        <f t="shared" si="94"/>
        <v>0</v>
      </c>
      <c r="S217" s="362">
        <f>K217+Q217+R217</f>
        <v>0</v>
      </c>
      <c r="T217" s="362">
        <f>S217*'НМЦК подряд'!$C$16*'НМЦК подряд'!$E$16</f>
        <v>0</v>
      </c>
      <c r="U217" s="427">
        <f t="shared" si="95"/>
        <v>0</v>
      </c>
      <c r="V217" s="234"/>
    </row>
    <row r="218" spans="1:23">
      <c r="A218" s="174" t="s">
        <v>726</v>
      </c>
      <c r="B218" s="180" t="s">
        <v>727</v>
      </c>
      <c r="C218" s="181" t="s">
        <v>728</v>
      </c>
      <c r="D218" s="180" t="s">
        <v>274</v>
      </c>
      <c r="E218" s="180">
        <v>100</v>
      </c>
      <c r="F218" s="233">
        <f t="shared" ref="F218:F224" si="96">T218/E218</f>
        <v>64.42</v>
      </c>
      <c r="G218" s="237">
        <f t="shared" ref="G218:G271" si="97">F218*E218</f>
        <v>6442</v>
      </c>
      <c r="J218" s="424"/>
      <c r="K218" s="425">
        <f>4152</f>
        <v>4152</v>
      </c>
      <c r="L218" s="448"/>
      <c r="M218" s="427"/>
      <c r="N218" s="172"/>
      <c r="O218" s="375">
        <f t="shared" si="84"/>
        <v>0</v>
      </c>
      <c r="P218" s="362">
        <f t="shared" si="88"/>
        <v>4152</v>
      </c>
      <c r="Q218" s="362">
        <f t="shared" si="93"/>
        <v>59</v>
      </c>
      <c r="R218" s="362">
        <f t="shared" si="94"/>
        <v>71</v>
      </c>
      <c r="S218" s="362">
        <f t="shared" ref="S218:S224" si="98">P218+Q218+R218</f>
        <v>4282</v>
      </c>
      <c r="T218" s="362">
        <f>S218*'НМЦК подряд'!$C$16*'НМЦК подряд'!$E$16</f>
        <v>6442</v>
      </c>
      <c r="U218" s="427">
        <f t="shared" si="95"/>
        <v>0</v>
      </c>
      <c r="V218" s="234"/>
    </row>
    <row r="219" ht="31.5" spans="1:23">
      <c r="A219" s="174" t="s">
        <v>729</v>
      </c>
      <c r="B219" s="180" t="s">
        <v>730</v>
      </c>
      <c r="C219" s="181" t="s">
        <v>731</v>
      </c>
      <c r="D219" s="180" t="s">
        <v>274</v>
      </c>
      <c r="E219" s="180">
        <v>10</v>
      </c>
      <c r="F219" s="233">
        <f t="shared" si="96"/>
        <v>106.8</v>
      </c>
      <c r="G219" s="237">
        <f t="shared" si="97"/>
        <v>1068</v>
      </c>
      <c r="J219" s="424"/>
      <c r="K219" s="425">
        <f>256+432</f>
        <v>688</v>
      </c>
      <c r="L219" s="448"/>
      <c r="M219" s="427"/>
      <c r="N219" s="172"/>
      <c r="O219" s="375">
        <f t="shared" si="84"/>
        <v>0</v>
      </c>
      <c r="P219" s="362">
        <f t="shared" si="88"/>
        <v>688</v>
      </c>
      <c r="Q219" s="362">
        <f t="shared" si="93"/>
        <v>10</v>
      </c>
      <c r="R219" s="362">
        <f t="shared" si="94"/>
        <v>12</v>
      </c>
      <c r="S219" s="362">
        <f t="shared" si="98"/>
        <v>710</v>
      </c>
      <c r="T219" s="362">
        <f>S219*'НМЦК подряд'!$C$16*'НМЦК подряд'!$E$16</f>
        <v>1068</v>
      </c>
      <c r="U219" s="427">
        <f t="shared" si="95"/>
        <v>0</v>
      </c>
      <c r="V219" s="234"/>
    </row>
    <row r="220" spans="1:23">
      <c r="A220" s="174" t="s">
        <v>732</v>
      </c>
      <c r="B220" s="180" t="s">
        <v>733</v>
      </c>
      <c r="C220" s="181" t="s">
        <v>479</v>
      </c>
      <c r="D220" s="180" t="s">
        <v>274</v>
      </c>
      <c r="E220" s="180">
        <v>10</v>
      </c>
      <c r="F220" s="233">
        <f>T220/E220-0.13</f>
        <v>70.57</v>
      </c>
      <c r="G220" s="237">
        <f t="shared" si="97"/>
        <v>705.7</v>
      </c>
      <c r="J220" s="424"/>
      <c r="K220" s="425">
        <f>263+193</f>
        <v>456</v>
      </c>
      <c r="L220" s="448"/>
      <c r="M220" s="427"/>
      <c r="N220" s="172"/>
      <c r="O220" s="375">
        <f t="shared" si="84"/>
        <v>0</v>
      </c>
      <c r="P220" s="362">
        <f t="shared" si="88"/>
        <v>456</v>
      </c>
      <c r="Q220" s="362">
        <f t="shared" si="93"/>
        <v>6</v>
      </c>
      <c r="R220" s="362">
        <f t="shared" si="94"/>
        <v>8</v>
      </c>
      <c r="S220" s="362">
        <f t="shared" si="98"/>
        <v>470</v>
      </c>
      <c r="T220" s="362">
        <f>S220*'НМЦК подряд'!$C$16*'НМЦК подряд'!$E$16</f>
        <v>707</v>
      </c>
      <c r="U220" s="427">
        <f t="shared" si="95"/>
        <v>0</v>
      </c>
      <c r="V220" s="234"/>
    </row>
    <row r="221" ht="47.25" spans="1:23">
      <c r="A221" s="174" t="s">
        <v>734</v>
      </c>
      <c r="B221" s="180" t="s">
        <v>735</v>
      </c>
      <c r="C221" s="181" t="s">
        <v>736</v>
      </c>
      <c r="D221" s="180" t="s">
        <v>274</v>
      </c>
      <c r="E221" s="180">
        <v>140</v>
      </c>
      <c r="F221" s="233">
        <f>T221/E221-0.08</f>
        <v>717.73</v>
      </c>
      <c r="G221" s="237">
        <f t="shared" si="97"/>
        <v>100482.2</v>
      </c>
      <c r="J221" s="424"/>
      <c r="K221" s="425">
        <f>8202+56570</f>
        <v>64772</v>
      </c>
      <c r="L221" s="448"/>
      <c r="M221" s="427"/>
      <c r="N221" s="172"/>
      <c r="O221" s="375">
        <f t="shared" si="84"/>
        <v>0</v>
      </c>
      <c r="P221" s="362">
        <f t="shared" si="88"/>
        <v>64772</v>
      </c>
      <c r="Q221" s="362">
        <f t="shared" si="93"/>
        <v>917</v>
      </c>
      <c r="R221" s="362">
        <f t="shared" si="94"/>
        <v>1109</v>
      </c>
      <c r="S221" s="362">
        <f t="shared" si="98"/>
        <v>66798</v>
      </c>
      <c r="T221" s="362">
        <f>S221*'НМЦК подряд'!$C$16*'НМЦК подряд'!$E$16</f>
        <v>100494</v>
      </c>
      <c r="U221" s="427">
        <f t="shared" si="95"/>
        <v>0</v>
      </c>
      <c r="V221" s="234"/>
    </row>
    <row r="222" spans="1:23">
      <c r="A222" s="174" t="s">
        <v>737</v>
      </c>
      <c r="B222" s="180" t="s">
        <v>738</v>
      </c>
      <c r="C222" s="181" t="s">
        <v>739</v>
      </c>
      <c r="D222" s="180" t="s">
        <v>578</v>
      </c>
      <c r="E222" s="180">
        <v>712</v>
      </c>
      <c r="F222" s="233">
        <f>T222/E222+0.01</f>
        <v>64.32</v>
      </c>
      <c r="G222" s="237">
        <f t="shared" si="97"/>
        <v>45795.84</v>
      </c>
      <c r="J222" s="424"/>
      <c r="K222" s="425">
        <v>29515</v>
      </c>
      <c r="L222" s="448"/>
      <c r="M222" s="427"/>
      <c r="N222" s="172"/>
      <c r="O222" s="375">
        <f t="shared" si="84"/>
        <v>0</v>
      </c>
      <c r="P222" s="362">
        <f t="shared" si="88"/>
        <v>29515</v>
      </c>
      <c r="Q222" s="362">
        <f t="shared" si="93"/>
        <v>418</v>
      </c>
      <c r="R222" s="362">
        <f t="shared" si="94"/>
        <v>505</v>
      </c>
      <c r="S222" s="362">
        <f t="shared" si="98"/>
        <v>30438</v>
      </c>
      <c r="T222" s="362">
        <f>S222*'НМЦК подряд'!$C$16*'НМЦК подряд'!$E$16</f>
        <v>45792</v>
      </c>
      <c r="U222" s="427">
        <f t="shared" si="95"/>
        <v>0</v>
      </c>
      <c r="V222" s="234"/>
    </row>
    <row r="223" ht="31.5" spans="1:23">
      <c r="A223" s="174" t="s">
        <v>740</v>
      </c>
      <c r="B223" s="180" t="s">
        <v>741</v>
      </c>
      <c r="C223" s="181" t="s">
        <v>742</v>
      </c>
      <c r="D223" s="180" t="s">
        <v>578</v>
      </c>
      <c r="E223" s="180">
        <v>203</v>
      </c>
      <c r="F223" s="233">
        <f t="shared" si="96"/>
        <v>147.54</v>
      </c>
      <c r="G223" s="237">
        <f t="shared" si="97"/>
        <v>29950.62</v>
      </c>
      <c r="J223" s="424"/>
      <c r="K223" s="425">
        <v>19305</v>
      </c>
      <c r="L223" s="448"/>
      <c r="M223" s="427"/>
      <c r="N223" s="172"/>
      <c r="O223" s="375">
        <f t="shared" si="84"/>
        <v>0</v>
      </c>
      <c r="P223" s="362">
        <f t="shared" si="88"/>
        <v>19305</v>
      </c>
      <c r="Q223" s="362">
        <f t="shared" si="93"/>
        <v>273</v>
      </c>
      <c r="R223" s="362">
        <f t="shared" si="94"/>
        <v>330</v>
      </c>
      <c r="S223" s="362">
        <f t="shared" si="98"/>
        <v>19908</v>
      </c>
      <c r="T223" s="362">
        <f>S223*'НМЦК подряд'!$C$16*'НМЦК подряд'!$E$16</f>
        <v>29950</v>
      </c>
      <c r="U223" s="427">
        <f t="shared" si="95"/>
        <v>0</v>
      </c>
      <c r="V223" s="234"/>
    </row>
    <row r="224" ht="32.25" spans="1:23">
      <c r="A224" s="174" t="s">
        <v>743</v>
      </c>
      <c r="B224" s="266" t="s">
        <v>744</v>
      </c>
      <c r="C224" s="265" t="s">
        <v>722</v>
      </c>
      <c r="D224" s="266" t="s">
        <v>578</v>
      </c>
      <c r="E224" s="266">
        <v>571</v>
      </c>
      <c r="F224" s="237">
        <f t="shared" si="96"/>
        <v>823.88</v>
      </c>
      <c r="G224" s="237">
        <f t="shared" si="97"/>
        <v>470435.48</v>
      </c>
      <c r="J224" s="424"/>
      <c r="K224" s="425">
        <f>105973+25907+171332</f>
        <v>303212</v>
      </c>
      <c r="L224" s="448"/>
      <c r="M224" s="427"/>
      <c r="N224" s="172"/>
      <c r="O224" s="375">
        <f t="shared" si="84"/>
        <v>0</v>
      </c>
      <c r="P224" s="362">
        <f t="shared" si="88"/>
        <v>303212</v>
      </c>
      <c r="Q224" s="362">
        <f t="shared" si="93"/>
        <v>4294</v>
      </c>
      <c r="R224" s="362">
        <f t="shared" si="94"/>
        <v>5190</v>
      </c>
      <c r="S224" s="362">
        <f t="shared" si="98"/>
        <v>312696</v>
      </c>
      <c r="T224" s="362">
        <f>S224*'НМЦК подряд'!$C$16*'НМЦК подряд'!$E$16</f>
        <v>470433</v>
      </c>
      <c r="U224" s="427">
        <f t="shared" si="95"/>
        <v>0</v>
      </c>
      <c r="V224" s="234"/>
    </row>
    <row r="225" s="216" customFormat="1" ht="16.5" spans="1:23">
      <c r="A225" s="309"/>
      <c r="B225" s="269"/>
      <c r="C225" s="312" t="s">
        <v>745</v>
      </c>
      <c r="D225" s="269"/>
      <c r="E225" s="269"/>
      <c r="F225" s="270"/>
      <c r="G225" s="242">
        <f>SUM(G218:G224)</f>
        <v>654879.84</v>
      </c>
      <c r="H225" s="300"/>
      <c r="I225" s="300"/>
      <c r="J225" s="452"/>
      <c r="K225" s="453"/>
      <c r="L225" s="453">
        <f t="shared" ref="L225:U225" si="99">SUM(L218:L224)</f>
        <v>0</v>
      </c>
      <c r="M225" s="453">
        <f t="shared" si="99"/>
        <v>0</v>
      </c>
      <c r="N225" s="453">
        <f t="shared" si="99"/>
        <v>0</v>
      </c>
      <c r="O225" s="453">
        <f t="shared" si="99"/>
        <v>0</v>
      </c>
      <c r="P225" s="453">
        <f t="shared" si="99"/>
        <v>422100</v>
      </c>
      <c r="Q225" s="453">
        <f t="shared" si="99"/>
        <v>5977</v>
      </c>
      <c r="R225" s="453">
        <f t="shared" si="99"/>
        <v>7225</v>
      </c>
      <c r="S225" s="453">
        <f t="shared" si="99"/>
        <v>435302</v>
      </c>
      <c r="T225" s="453">
        <f t="shared" si="99"/>
        <v>654886</v>
      </c>
      <c r="U225" s="453">
        <f t="shared" si="99"/>
        <v>0</v>
      </c>
      <c r="V225" s="454"/>
      <c r="W225" s="300"/>
    </row>
    <row r="226" spans="1:23">
      <c r="A226" s="253" t="s">
        <v>746</v>
      </c>
      <c r="B226" s="388"/>
      <c r="C226" s="254"/>
      <c r="D226" s="307"/>
      <c r="E226" s="307"/>
      <c r="F226" s="276"/>
      <c r="G226" s="308"/>
      <c r="J226" s="424"/>
      <c r="K226" s="425"/>
      <c r="L226" s="448"/>
      <c r="M226" s="427"/>
      <c r="N226" s="172"/>
      <c r="O226" s="375">
        <f t="shared" si="84"/>
        <v>0</v>
      </c>
      <c r="P226" s="362">
        <f t="shared" si="88"/>
        <v>0</v>
      </c>
      <c r="Q226" s="362">
        <f t="shared" ref="Q226:Q235" si="100">P226*$Q$12</f>
        <v>0</v>
      </c>
      <c r="R226" s="362">
        <f t="shared" ref="R226:R235" si="101">P226*$R$12</f>
        <v>0</v>
      </c>
      <c r="S226" s="362">
        <f>K226+Q226+R226</f>
        <v>0</v>
      </c>
      <c r="T226" s="362">
        <f>S226*'НМЦК подряд'!$C$16*'НМЦК подряд'!$E$16</f>
        <v>0</v>
      </c>
      <c r="U226" s="427">
        <f t="shared" ref="U226:U235" si="102">L226+M226+N226</f>
        <v>0</v>
      </c>
      <c r="V226" s="234"/>
    </row>
    <row r="227" spans="1:23">
      <c r="A227" s="174" t="s">
        <v>747</v>
      </c>
      <c r="B227" s="180" t="s">
        <v>748</v>
      </c>
      <c r="C227" s="181" t="s">
        <v>706</v>
      </c>
      <c r="D227" s="180" t="s">
        <v>274</v>
      </c>
      <c r="E227" s="180">
        <v>50</v>
      </c>
      <c r="F227" s="233">
        <f>T227/E227+0.02</f>
        <v>64.42</v>
      </c>
      <c r="G227" s="237">
        <f t="shared" si="97"/>
        <v>3221</v>
      </c>
      <c r="J227" s="424"/>
      <c r="K227" s="425">
        <v>2075</v>
      </c>
      <c r="L227" s="448"/>
      <c r="M227" s="427"/>
      <c r="N227" s="172"/>
      <c r="O227" s="375">
        <f t="shared" si="84"/>
        <v>0</v>
      </c>
      <c r="P227" s="362">
        <f t="shared" si="88"/>
        <v>2075</v>
      </c>
      <c r="Q227" s="362">
        <f t="shared" si="100"/>
        <v>29</v>
      </c>
      <c r="R227" s="362">
        <f t="shared" si="101"/>
        <v>36</v>
      </c>
      <c r="S227" s="362">
        <f t="shared" ref="S227:S235" si="103">P227+Q227+R227</f>
        <v>2140</v>
      </c>
      <c r="T227" s="362">
        <f>S227*'НМЦК подряд'!$C$16*'НМЦК подряд'!$E$16</f>
        <v>3220</v>
      </c>
      <c r="U227" s="427">
        <f t="shared" si="102"/>
        <v>0</v>
      </c>
      <c r="V227" s="234"/>
    </row>
    <row r="228" spans="1:23">
      <c r="A228" s="174" t="s">
        <v>749</v>
      </c>
      <c r="B228" s="180" t="s">
        <v>750</v>
      </c>
      <c r="C228" s="181" t="s">
        <v>751</v>
      </c>
      <c r="D228" s="180" t="s">
        <v>274</v>
      </c>
      <c r="E228" s="180">
        <v>30</v>
      </c>
      <c r="F228" s="233">
        <f>T228/E228</f>
        <v>106.6</v>
      </c>
      <c r="G228" s="237">
        <f t="shared" si="97"/>
        <v>3198</v>
      </c>
      <c r="J228" s="424"/>
      <c r="K228" s="425">
        <f>769+1293</f>
        <v>2062</v>
      </c>
      <c r="L228" s="448"/>
      <c r="M228" s="427"/>
      <c r="N228" s="172"/>
      <c r="O228" s="375">
        <f t="shared" si="84"/>
        <v>0</v>
      </c>
      <c r="P228" s="362">
        <f t="shared" si="88"/>
        <v>2062</v>
      </c>
      <c r="Q228" s="362">
        <f t="shared" si="100"/>
        <v>29</v>
      </c>
      <c r="R228" s="362">
        <f t="shared" si="101"/>
        <v>35</v>
      </c>
      <c r="S228" s="362">
        <f t="shared" si="103"/>
        <v>2126</v>
      </c>
      <c r="T228" s="362">
        <f>S228*'НМЦК подряд'!$C$16*'НМЦК подряд'!$E$16</f>
        <v>3198</v>
      </c>
      <c r="U228" s="427">
        <f t="shared" si="102"/>
        <v>0</v>
      </c>
      <c r="V228" s="234"/>
    </row>
    <row r="229" spans="1:23">
      <c r="A229" s="174" t="s">
        <v>752</v>
      </c>
      <c r="B229" s="180" t="s">
        <v>753</v>
      </c>
      <c r="C229" s="181" t="s">
        <v>712</v>
      </c>
      <c r="D229" s="180" t="s">
        <v>274</v>
      </c>
      <c r="E229" s="180">
        <v>30</v>
      </c>
      <c r="F229" s="233">
        <f>T229/E229+0.07</f>
        <v>70.57</v>
      </c>
      <c r="G229" s="237">
        <f t="shared" si="97"/>
        <v>2117.1</v>
      </c>
      <c r="J229" s="424"/>
      <c r="K229" s="425">
        <f>788+576</f>
        <v>1364</v>
      </c>
      <c r="L229" s="448"/>
      <c r="M229" s="427"/>
      <c r="N229" s="172"/>
      <c r="O229" s="375">
        <f t="shared" si="84"/>
        <v>0</v>
      </c>
      <c r="P229" s="362">
        <f t="shared" si="88"/>
        <v>1364</v>
      </c>
      <c r="Q229" s="362">
        <f t="shared" si="100"/>
        <v>19</v>
      </c>
      <c r="R229" s="362">
        <f t="shared" si="101"/>
        <v>23</v>
      </c>
      <c r="S229" s="362">
        <f t="shared" si="103"/>
        <v>1406</v>
      </c>
      <c r="T229" s="362">
        <f>S229*'НМЦК подряд'!$C$16*'НМЦК подряд'!$E$16</f>
        <v>2115</v>
      </c>
      <c r="U229" s="427">
        <f t="shared" si="102"/>
        <v>0</v>
      </c>
      <c r="V229" s="234"/>
    </row>
    <row r="230" ht="63" spans="1:23">
      <c r="A230" s="174" t="s">
        <v>754</v>
      </c>
      <c r="B230" s="180" t="s">
        <v>755</v>
      </c>
      <c r="C230" s="181" t="s">
        <v>756</v>
      </c>
      <c r="D230" s="180" t="s">
        <v>274</v>
      </c>
      <c r="E230" s="180">
        <v>15</v>
      </c>
      <c r="F230" s="233">
        <f>T230/E230</f>
        <v>717.73</v>
      </c>
      <c r="G230" s="237">
        <f t="shared" si="97"/>
        <v>10765.95</v>
      </c>
      <c r="J230" s="424"/>
      <c r="K230" s="425">
        <f>878+6061</f>
        <v>6939</v>
      </c>
      <c r="L230" s="448"/>
      <c r="M230" s="427"/>
      <c r="N230" s="172"/>
      <c r="O230" s="375">
        <f t="shared" si="84"/>
        <v>0</v>
      </c>
      <c r="P230" s="362">
        <f t="shared" si="88"/>
        <v>6939</v>
      </c>
      <c r="Q230" s="362">
        <f t="shared" si="100"/>
        <v>98</v>
      </c>
      <c r="R230" s="362">
        <f t="shared" si="101"/>
        <v>119</v>
      </c>
      <c r="S230" s="362">
        <f t="shared" si="103"/>
        <v>7156</v>
      </c>
      <c r="T230" s="362">
        <f>S230*'НМЦК подряд'!$C$16*'НМЦК подряд'!$E$16</f>
        <v>10766</v>
      </c>
      <c r="U230" s="427">
        <f t="shared" si="102"/>
        <v>0</v>
      </c>
      <c r="V230" s="234"/>
    </row>
    <row r="231" spans="1:23">
      <c r="A231" s="156"/>
      <c r="B231" s="180"/>
      <c r="C231" s="200" t="s">
        <v>757</v>
      </c>
      <c r="D231" s="180"/>
      <c r="E231" s="180"/>
      <c r="F231" s="233"/>
      <c r="G231" s="237">
        <f t="shared" si="97"/>
        <v>0</v>
      </c>
      <c r="J231" s="424"/>
      <c r="K231" s="425"/>
      <c r="L231" s="448"/>
      <c r="M231" s="427"/>
      <c r="N231" s="172"/>
      <c r="O231" s="375">
        <f t="shared" si="84"/>
        <v>0</v>
      </c>
      <c r="P231" s="362">
        <f t="shared" si="88"/>
        <v>0</v>
      </c>
      <c r="Q231" s="362">
        <f t="shared" si="100"/>
        <v>0</v>
      </c>
      <c r="R231" s="362">
        <f t="shared" si="101"/>
        <v>0</v>
      </c>
      <c r="S231" s="362">
        <f t="shared" si="103"/>
        <v>0</v>
      </c>
      <c r="T231" s="362">
        <f>S231*'НМЦК подряд'!$C$16*'НМЦК подряд'!$E$16</f>
        <v>0</v>
      </c>
      <c r="U231" s="427">
        <f t="shared" si="102"/>
        <v>0</v>
      </c>
      <c r="V231" s="234"/>
    </row>
    <row r="232" spans="1:23">
      <c r="A232" s="174" t="s">
        <v>758</v>
      </c>
      <c r="B232" s="180" t="s">
        <v>759</v>
      </c>
      <c r="C232" s="181" t="s">
        <v>760</v>
      </c>
      <c r="D232" s="180" t="s">
        <v>578</v>
      </c>
      <c r="E232" s="180">
        <v>388</v>
      </c>
      <c r="F232" s="233">
        <f>T232/E232</f>
        <v>64.32</v>
      </c>
      <c r="G232" s="237">
        <f t="shared" si="97"/>
        <v>24956.16</v>
      </c>
      <c r="J232" s="424"/>
      <c r="K232" s="425">
        <v>16086</v>
      </c>
      <c r="L232" s="448"/>
      <c r="M232" s="427"/>
      <c r="N232" s="172"/>
      <c r="O232" s="375">
        <f t="shared" si="84"/>
        <v>0</v>
      </c>
      <c r="P232" s="362">
        <f t="shared" si="88"/>
        <v>16086</v>
      </c>
      <c r="Q232" s="362">
        <f t="shared" si="100"/>
        <v>228</v>
      </c>
      <c r="R232" s="362">
        <f t="shared" si="101"/>
        <v>275</v>
      </c>
      <c r="S232" s="362">
        <f t="shared" si="103"/>
        <v>16589</v>
      </c>
      <c r="T232" s="362">
        <f>S232*'НМЦК подряд'!$C$16*'НМЦК подряд'!$E$16</f>
        <v>24957</v>
      </c>
      <c r="U232" s="427">
        <f t="shared" si="102"/>
        <v>0</v>
      </c>
      <c r="V232" s="234"/>
    </row>
    <row r="233" ht="31.5" spans="1:23">
      <c r="A233" s="174" t="s">
        <v>761</v>
      </c>
      <c r="B233" s="180" t="s">
        <v>762</v>
      </c>
      <c r="C233" s="181" t="s">
        <v>742</v>
      </c>
      <c r="D233" s="180" t="s">
        <v>578</v>
      </c>
      <c r="E233" s="180">
        <v>40</v>
      </c>
      <c r="F233" s="233">
        <f>T233/E233-0.01</f>
        <v>147.54</v>
      </c>
      <c r="G233" s="237">
        <f t="shared" si="97"/>
        <v>5901.6</v>
      </c>
      <c r="J233" s="424"/>
      <c r="K233" s="425">
        <v>3804</v>
      </c>
      <c r="L233" s="448"/>
      <c r="M233" s="427"/>
      <c r="N233" s="172"/>
      <c r="O233" s="375">
        <f t="shared" si="84"/>
        <v>0</v>
      </c>
      <c r="P233" s="362">
        <f t="shared" si="88"/>
        <v>3804</v>
      </c>
      <c r="Q233" s="362">
        <f t="shared" si="100"/>
        <v>54</v>
      </c>
      <c r="R233" s="362">
        <f t="shared" si="101"/>
        <v>65</v>
      </c>
      <c r="S233" s="362">
        <f t="shared" si="103"/>
        <v>3923</v>
      </c>
      <c r="T233" s="362">
        <f>S233*'НМЦК подряд'!$C$16*'НМЦК подряд'!$E$16</f>
        <v>5902</v>
      </c>
      <c r="U233" s="427">
        <f t="shared" si="102"/>
        <v>0</v>
      </c>
      <c r="V233" s="234"/>
    </row>
    <row r="234" spans="1:23">
      <c r="A234" s="156"/>
      <c r="B234" s="190"/>
      <c r="C234" s="206" t="s">
        <v>763</v>
      </c>
      <c r="D234" s="190"/>
      <c r="E234" s="190"/>
      <c r="F234" s="233"/>
      <c r="G234" s="237">
        <f t="shared" si="97"/>
        <v>0</v>
      </c>
      <c r="J234" s="424"/>
      <c r="K234" s="425"/>
      <c r="L234" s="448"/>
      <c r="M234" s="427"/>
      <c r="N234" s="172"/>
      <c r="O234" s="375">
        <f t="shared" si="84"/>
        <v>0</v>
      </c>
      <c r="P234" s="362">
        <f t="shared" si="88"/>
        <v>0</v>
      </c>
      <c r="Q234" s="362">
        <f t="shared" si="100"/>
        <v>0</v>
      </c>
      <c r="R234" s="362">
        <f t="shared" si="101"/>
        <v>0</v>
      </c>
      <c r="S234" s="362">
        <f t="shared" si="103"/>
        <v>0</v>
      </c>
      <c r="T234" s="362">
        <f>S234*'НМЦК подряд'!$C$16*'НМЦК подряд'!$E$16</f>
        <v>0</v>
      </c>
      <c r="U234" s="427">
        <f t="shared" si="102"/>
        <v>0</v>
      </c>
      <c r="V234" s="234"/>
    </row>
    <row r="235" ht="32.25" spans="1:23">
      <c r="A235" s="174" t="s">
        <v>764</v>
      </c>
      <c r="B235" s="190" t="s">
        <v>765</v>
      </c>
      <c r="C235" s="175" t="s">
        <v>722</v>
      </c>
      <c r="D235" s="190" t="s">
        <v>578</v>
      </c>
      <c r="E235" s="190">
        <v>303</v>
      </c>
      <c r="F235" s="233">
        <f>T235/E235</f>
        <v>823.88</v>
      </c>
      <c r="G235" s="237">
        <f t="shared" si="97"/>
        <v>249635.64</v>
      </c>
      <c r="J235" s="424"/>
      <c r="K235" s="425">
        <f>56234+13748+90917</f>
        <v>160899</v>
      </c>
      <c r="L235" s="448"/>
      <c r="M235" s="427"/>
      <c r="N235" s="172"/>
      <c r="O235" s="375">
        <f t="shared" si="84"/>
        <v>0</v>
      </c>
      <c r="P235" s="362">
        <f t="shared" si="88"/>
        <v>160899</v>
      </c>
      <c r="Q235" s="362">
        <f t="shared" si="100"/>
        <v>2279</v>
      </c>
      <c r="R235" s="362">
        <f t="shared" si="101"/>
        <v>2754</v>
      </c>
      <c r="S235" s="362">
        <f t="shared" si="103"/>
        <v>165932</v>
      </c>
      <c r="T235" s="362">
        <f>S235*'НМЦК подряд'!$C$16*'НМЦК подряд'!$E$16</f>
        <v>249635</v>
      </c>
      <c r="U235" s="427">
        <f t="shared" si="102"/>
        <v>0</v>
      </c>
      <c r="V235" s="234"/>
    </row>
    <row r="236" s="216" customFormat="1" ht="16.5" spans="1:23">
      <c r="A236" s="309"/>
      <c r="B236" s="269"/>
      <c r="C236" s="312" t="s">
        <v>766</v>
      </c>
      <c r="D236" s="269"/>
      <c r="E236" s="269"/>
      <c r="F236" s="270"/>
      <c r="G236" s="242">
        <f>SUM(G227:G235)</f>
        <v>299795.45</v>
      </c>
      <c r="H236" s="300"/>
      <c r="I236" s="300"/>
      <c r="J236" s="452"/>
      <c r="K236" s="453"/>
      <c r="L236" s="453">
        <f t="shared" ref="L236:U236" si="104">SUM(L227:L235)</f>
        <v>0</v>
      </c>
      <c r="M236" s="453">
        <f t="shared" si="104"/>
        <v>0</v>
      </c>
      <c r="N236" s="453">
        <f t="shared" si="104"/>
        <v>0</v>
      </c>
      <c r="O236" s="453">
        <f t="shared" si="104"/>
        <v>0</v>
      </c>
      <c r="P236" s="453">
        <f t="shared" si="104"/>
        <v>193229</v>
      </c>
      <c r="Q236" s="453">
        <f t="shared" si="104"/>
        <v>2736</v>
      </c>
      <c r="R236" s="453">
        <f t="shared" si="104"/>
        <v>3307</v>
      </c>
      <c r="S236" s="453">
        <f t="shared" si="104"/>
        <v>199272</v>
      </c>
      <c r="T236" s="453">
        <f t="shared" si="104"/>
        <v>299793</v>
      </c>
      <c r="U236" s="453">
        <f t="shared" si="104"/>
        <v>0</v>
      </c>
      <c r="V236" s="454"/>
      <c r="W236" s="300"/>
    </row>
    <row r="237" spans="1:23">
      <c r="A237" s="313" t="s">
        <v>767</v>
      </c>
      <c r="B237" s="463"/>
      <c r="C237" s="314"/>
      <c r="D237" s="190"/>
      <c r="E237" s="190"/>
      <c r="F237" s="233"/>
      <c r="G237" s="237">
        <f t="shared" si="97"/>
        <v>0</v>
      </c>
      <c r="J237" s="424"/>
      <c r="K237" s="425"/>
      <c r="L237" s="448"/>
      <c r="M237" s="427"/>
      <c r="N237" s="172"/>
      <c r="O237" s="375">
        <f t="shared" si="84"/>
        <v>0</v>
      </c>
      <c r="P237" s="362">
        <f t="shared" si="88"/>
        <v>0</v>
      </c>
      <c r="Q237" s="362">
        <f t="shared" ref="Q237:Q244" si="105">P237*$Q$12</f>
        <v>0</v>
      </c>
      <c r="R237" s="362">
        <f t="shared" ref="R237:R244" si="106">P237*$R$12</f>
        <v>0</v>
      </c>
      <c r="S237" s="362">
        <f>K237+Q237+R237</f>
        <v>0</v>
      </c>
      <c r="T237" s="362">
        <f>S237*'НМЦК подряд'!$C$16*'НМЦК подряд'!$E$16</f>
        <v>0</v>
      </c>
      <c r="U237" s="427">
        <f t="shared" ref="U237:U244" si="107">L237+M237+N237</f>
        <v>0</v>
      </c>
      <c r="V237" s="234"/>
    </row>
    <row r="238" ht="31.5" spans="1:23">
      <c r="A238" s="174" t="s">
        <v>768</v>
      </c>
      <c r="B238" s="190" t="s">
        <v>769</v>
      </c>
      <c r="C238" s="175" t="s">
        <v>770</v>
      </c>
      <c r="D238" s="190" t="s">
        <v>578</v>
      </c>
      <c r="E238" s="190">
        <v>20</v>
      </c>
      <c r="F238" s="233">
        <f>T238/E238</f>
        <v>621.95</v>
      </c>
      <c r="G238" s="237">
        <f t="shared" si="97"/>
        <v>12439</v>
      </c>
      <c r="J238" s="424"/>
      <c r="K238" s="425">
        <f>3713+303+4001</f>
        <v>8017</v>
      </c>
      <c r="L238" s="448"/>
      <c r="M238" s="427"/>
      <c r="N238" s="172"/>
      <c r="O238" s="375">
        <f t="shared" si="84"/>
        <v>0</v>
      </c>
      <c r="P238" s="362">
        <f t="shared" si="88"/>
        <v>8017</v>
      </c>
      <c r="Q238" s="362">
        <f t="shared" si="105"/>
        <v>114</v>
      </c>
      <c r="R238" s="362">
        <f t="shared" si="106"/>
        <v>137</v>
      </c>
      <c r="S238" s="362">
        <f t="shared" ref="S238:S244" si="108">P238+Q238+R238</f>
        <v>8268</v>
      </c>
      <c r="T238" s="362">
        <f>S238*'НМЦК подряд'!$C$16*'НМЦК подряд'!$E$16</f>
        <v>12439</v>
      </c>
      <c r="U238" s="427">
        <f t="shared" si="107"/>
        <v>0</v>
      </c>
      <c r="V238" s="234"/>
    </row>
    <row r="239" ht="32.25" spans="1:23">
      <c r="A239" s="174" t="s">
        <v>771</v>
      </c>
      <c r="B239" s="190" t="s">
        <v>772</v>
      </c>
      <c r="C239" s="175" t="s">
        <v>773</v>
      </c>
      <c r="D239" s="190" t="s">
        <v>534</v>
      </c>
      <c r="E239" s="190">
        <v>23</v>
      </c>
      <c r="F239" s="233">
        <f>T239/E239</f>
        <v>5257</v>
      </c>
      <c r="G239" s="237">
        <f t="shared" si="97"/>
        <v>120911</v>
      </c>
      <c r="J239" s="424"/>
      <c r="K239" s="425">
        <f>43517+23229</f>
        <v>66746</v>
      </c>
      <c r="L239" s="448"/>
      <c r="M239" s="427">
        <f>2.76*N11</f>
        <v>11185</v>
      </c>
      <c r="N239" s="172"/>
      <c r="O239" s="375">
        <f t="shared" si="84"/>
        <v>11185</v>
      </c>
      <c r="P239" s="362">
        <f t="shared" si="88"/>
        <v>77931</v>
      </c>
      <c r="Q239" s="362">
        <f t="shared" si="105"/>
        <v>1104</v>
      </c>
      <c r="R239" s="362">
        <f t="shared" si="106"/>
        <v>1334</v>
      </c>
      <c r="S239" s="362">
        <f t="shared" si="108"/>
        <v>80369</v>
      </c>
      <c r="T239" s="362">
        <f>S239*'НМЦК подряд'!$C$16*'НМЦК подряд'!$E$16</f>
        <v>120911</v>
      </c>
      <c r="U239" s="427">
        <f t="shared" si="107"/>
        <v>11185</v>
      </c>
      <c r="V239" s="234"/>
    </row>
    <row r="240" s="216" customFormat="1" ht="16.5" spans="1:23">
      <c r="A240" s="309"/>
      <c r="B240" s="269"/>
      <c r="C240" s="312" t="s">
        <v>774</v>
      </c>
      <c r="D240" s="269"/>
      <c r="E240" s="269"/>
      <c r="F240" s="270"/>
      <c r="G240" s="242">
        <f>SUM(G238:G239)</f>
        <v>133350</v>
      </c>
      <c r="H240" s="300"/>
      <c r="I240" s="300"/>
      <c r="J240" s="452"/>
      <c r="K240" s="455"/>
      <c r="L240" s="456"/>
      <c r="M240" s="457"/>
      <c r="N240" s="461"/>
      <c r="O240" s="459">
        <f t="shared" si="84"/>
        <v>0</v>
      </c>
      <c r="P240" s="460">
        <f t="shared" si="88"/>
        <v>0</v>
      </c>
      <c r="Q240" s="460">
        <f t="shared" si="105"/>
        <v>0</v>
      </c>
      <c r="R240" s="460">
        <f t="shared" si="106"/>
        <v>0</v>
      </c>
      <c r="S240" s="460">
        <f t="shared" si="108"/>
        <v>0</v>
      </c>
      <c r="T240" s="460">
        <f>S240*'НМЦК подряд'!$C$16*'НМЦК подряд'!$E$16</f>
        <v>0</v>
      </c>
      <c r="U240" s="457">
        <f t="shared" si="107"/>
        <v>0</v>
      </c>
      <c r="V240" s="454"/>
      <c r="W240" s="300"/>
    </row>
    <row r="241" spans="1:23">
      <c r="A241" s="313" t="s">
        <v>775</v>
      </c>
      <c r="B241" s="463"/>
      <c r="C241" s="314"/>
      <c r="D241" s="190"/>
      <c r="E241" s="190"/>
      <c r="F241" s="233"/>
      <c r="G241" s="237">
        <f t="shared" si="97"/>
        <v>0</v>
      </c>
      <c r="J241" s="424"/>
      <c r="K241" s="425"/>
      <c r="L241" s="448"/>
      <c r="M241" s="427"/>
      <c r="N241" s="172"/>
      <c r="O241" s="375">
        <f t="shared" si="84"/>
        <v>0</v>
      </c>
      <c r="P241" s="362">
        <f t="shared" si="88"/>
        <v>0</v>
      </c>
      <c r="Q241" s="362">
        <f t="shared" si="105"/>
        <v>0</v>
      </c>
      <c r="R241" s="362">
        <f t="shared" si="106"/>
        <v>0</v>
      </c>
      <c r="S241" s="362">
        <f t="shared" si="108"/>
        <v>0</v>
      </c>
      <c r="T241" s="362">
        <f>S241*'НМЦК подряд'!$C$16*'НМЦК подряд'!$E$16</f>
        <v>0</v>
      </c>
      <c r="U241" s="427">
        <f t="shared" si="107"/>
        <v>0</v>
      </c>
      <c r="V241" s="234"/>
    </row>
    <row r="242" ht="31.5" spans="1:23">
      <c r="A242" s="174" t="s">
        <v>776</v>
      </c>
      <c r="B242" s="190" t="s">
        <v>777</v>
      </c>
      <c r="C242" s="175" t="s">
        <v>778</v>
      </c>
      <c r="D242" s="190" t="s">
        <v>321</v>
      </c>
      <c r="E242" s="190">
        <v>11</v>
      </c>
      <c r="F242" s="233">
        <f>T242/E242</f>
        <v>29672</v>
      </c>
      <c r="G242" s="237">
        <f t="shared" si="97"/>
        <v>326392</v>
      </c>
      <c r="J242" s="424"/>
      <c r="K242" s="425">
        <f>151703+35265</f>
        <v>186968</v>
      </c>
      <c r="L242" s="448"/>
      <c r="M242" s="427">
        <f>5.775*N11</f>
        <v>23404</v>
      </c>
      <c r="N242" s="172"/>
      <c r="O242" s="375">
        <f t="shared" si="84"/>
        <v>23404</v>
      </c>
      <c r="P242" s="362">
        <f t="shared" si="88"/>
        <v>210372</v>
      </c>
      <c r="Q242" s="362">
        <f t="shared" si="105"/>
        <v>2979</v>
      </c>
      <c r="R242" s="362">
        <f t="shared" si="106"/>
        <v>3601</v>
      </c>
      <c r="S242" s="362">
        <f t="shared" si="108"/>
        <v>216952</v>
      </c>
      <c r="T242" s="362">
        <f>S242*'НМЦК подряд'!$C$16*'НМЦК подряд'!$E$16</f>
        <v>326392</v>
      </c>
      <c r="U242" s="427">
        <f t="shared" si="107"/>
        <v>23404</v>
      </c>
      <c r="V242" s="234"/>
    </row>
    <row r="243" ht="31.5" spans="1:23">
      <c r="A243" s="174" t="s">
        <v>779</v>
      </c>
      <c r="B243" s="190" t="s">
        <v>780</v>
      </c>
      <c r="C243" s="175" t="s">
        <v>781</v>
      </c>
      <c r="D243" s="190" t="s">
        <v>274</v>
      </c>
      <c r="E243" s="190">
        <v>3</v>
      </c>
      <c r="F243" s="233">
        <f>T243/E243</f>
        <v>5941.67</v>
      </c>
      <c r="G243" s="237">
        <f t="shared" si="97"/>
        <v>17825.01</v>
      </c>
      <c r="J243" s="424"/>
      <c r="K243" s="425">
        <f>3458+8030</f>
        <v>11488</v>
      </c>
      <c r="L243" s="448"/>
      <c r="M243" s="427"/>
      <c r="N243" s="172"/>
      <c r="O243" s="375">
        <f t="shared" si="84"/>
        <v>0</v>
      </c>
      <c r="P243" s="362">
        <f t="shared" si="88"/>
        <v>11488</v>
      </c>
      <c r="Q243" s="362">
        <f t="shared" si="105"/>
        <v>163</v>
      </c>
      <c r="R243" s="362">
        <f t="shared" si="106"/>
        <v>197</v>
      </c>
      <c r="S243" s="362">
        <f t="shared" si="108"/>
        <v>11848</v>
      </c>
      <c r="T243" s="362">
        <f>S243*'НМЦК подряд'!$C$16*'НМЦК подряд'!$E$16</f>
        <v>17825</v>
      </c>
      <c r="U243" s="427">
        <f t="shared" si="107"/>
        <v>0</v>
      </c>
      <c r="V243" s="234"/>
    </row>
    <row r="244" ht="40.5" customHeight="1" spans="1:23">
      <c r="A244" s="174" t="s">
        <v>782</v>
      </c>
      <c r="B244" s="190" t="s">
        <v>783</v>
      </c>
      <c r="C244" s="175" t="s">
        <v>784</v>
      </c>
      <c r="D244" s="190" t="s">
        <v>321</v>
      </c>
      <c r="E244" s="190">
        <v>44</v>
      </c>
      <c r="F244" s="233">
        <f>T244/E244</f>
        <v>4151.77</v>
      </c>
      <c r="G244" s="237">
        <f t="shared" si="97"/>
        <v>182677.88</v>
      </c>
      <c r="J244" s="424"/>
      <c r="K244" s="425">
        <f>75215+27370</f>
        <v>102585</v>
      </c>
      <c r="L244" s="448"/>
      <c r="M244" s="427">
        <f>3.74*N11</f>
        <v>15157</v>
      </c>
      <c r="N244" s="172"/>
      <c r="O244" s="375">
        <f t="shared" si="84"/>
        <v>15157</v>
      </c>
      <c r="P244" s="362">
        <f t="shared" si="88"/>
        <v>117742</v>
      </c>
      <c r="Q244" s="362">
        <f t="shared" si="105"/>
        <v>1668</v>
      </c>
      <c r="R244" s="362">
        <f t="shared" si="106"/>
        <v>2016</v>
      </c>
      <c r="S244" s="362">
        <f t="shared" si="108"/>
        <v>121426</v>
      </c>
      <c r="T244" s="362">
        <f>S244*'НМЦК подряд'!$C$16*'НМЦК подряд'!$E$16</f>
        <v>182678</v>
      </c>
      <c r="U244" s="427">
        <f t="shared" si="107"/>
        <v>15157</v>
      </c>
      <c r="V244" s="234"/>
    </row>
    <row r="245" s="216" customFormat="1" ht="16.5" spans="1:23">
      <c r="A245" s="309"/>
      <c r="B245" s="269"/>
      <c r="C245" s="312" t="s">
        <v>785</v>
      </c>
      <c r="D245" s="269"/>
      <c r="E245" s="269"/>
      <c r="F245" s="270"/>
      <c r="G245" s="242">
        <f>SUM(G242:G244)</f>
        <v>526894.89</v>
      </c>
      <c r="H245" s="300"/>
      <c r="I245" s="300"/>
      <c r="J245" s="452"/>
      <c r="K245" s="453"/>
      <c r="L245" s="453"/>
      <c r="M245" s="453"/>
      <c r="N245" s="453"/>
      <c r="O245" s="453">
        <f t="shared" ref="O245:U245" si="109">SUM(O238:O244)</f>
        <v>49746</v>
      </c>
      <c r="P245" s="453">
        <f t="shared" si="109"/>
        <v>425550</v>
      </c>
      <c r="Q245" s="453">
        <f t="shared" si="109"/>
        <v>6028</v>
      </c>
      <c r="R245" s="453">
        <f t="shared" si="109"/>
        <v>7285</v>
      </c>
      <c r="S245" s="453">
        <f t="shared" si="109"/>
        <v>438863</v>
      </c>
      <c r="T245" s="453">
        <f t="shared" si="109"/>
        <v>660245</v>
      </c>
      <c r="U245" s="453">
        <f t="shared" si="109"/>
        <v>49746</v>
      </c>
      <c r="V245" s="454"/>
      <c r="W245" s="300"/>
    </row>
    <row r="246" s="216" customFormat="1" ht="16.5" spans="1:23">
      <c r="A246" s="309"/>
      <c r="B246" s="269"/>
      <c r="C246" s="312" t="s">
        <v>786</v>
      </c>
      <c r="D246" s="269"/>
      <c r="E246" s="269"/>
      <c r="F246" s="270"/>
      <c r="G246" s="242">
        <f>G245+G240+G236+G225+G215</f>
        <v>4165076.22</v>
      </c>
      <c r="H246" s="300"/>
      <c r="I246" s="300"/>
      <c r="J246" s="452"/>
      <c r="K246" s="453"/>
      <c r="L246" s="453"/>
      <c r="M246" s="453"/>
      <c r="N246" s="453"/>
      <c r="O246" s="453"/>
      <c r="P246" s="453"/>
      <c r="Q246" s="453"/>
      <c r="R246" s="453"/>
      <c r="S246" s="453"/>
      <c r="T246" s="453"/>
      <c r="U246" s="453"/>
      <c r="V246" s="454"/>
      <c r="W246" s="300"/>
    </row>
    <row r="247" spans="1:23">
      <c r="A247" s="313" t="s">
        <v>787</v>
      </c>
      <c r="B247" s="463"/>
      <c r="C247" s="314"/>
      <c r="D247" s="190"/>
      <c r="E247" s="190"/>
      <c r="F247" s="233"/>
      <c r="G247" s="237">
        <f t="shared" si="97"/>
        <v>0</v>
      </c>
      <c r="J247" s="424"/>
      <c r="K247" s="451"/>
      <c r="L247" s="451"/>
      <c r="M247" s="451"/>
      <c r="N247" s="451"/>
      <c r="O247" s="451">
        <f t="shared" ref="O247:U247" si="110">O245+O236+O225+O215</f>
        <v>89429</v>
      </c>
      <c r="P247" s="451">
        <f t="shared" si="110"/>
        <v>2684545</v>
      </c>
      <c r="Q247" s="451">
        <f t="shared" si="110"/>
        <v>38020</v>
      </c>
      <c r="R247" s="451">
        <f t="shared" si="110"/>
        <v>45954</v>
      </c>
      <c r="S247" s="451">
        <f t="shared" si="110"/>
        <v>2768519</v>
      </c>
      <c r="T247" s="451">
        <f t="shared" si="110"/>
        <v>4165077</v>
      </c>
      <c r="U247" s="451">
        <f t="shared" si="110"/>
        <v>89429</v>
      </c>
      <c r="V247" s="234"/>
    </row>
    <row r="248" spans="1:23">
      <c r="A248" s="204"/>
      <c r="B248" s="190"/>
      <c r="C248" s="173" t="s">
        <v>535</v>
      </c>
      <c r="D248" s="190"/>
      <c r="E248" s="190"/>
      <c r="F248" s="233"/>
      <c r="G248" s="237">
        <f t="shared" si="97"/>
        <v>0</v>
      </c>
      <c r="J248" s="424"/>
      <c r="K248" s="425"/>
      <c r="L248" s="448"/>
      <c r="M248" s="427"/>
      <c r="N248" s="172"/>
      <c r="O248" s="375">
        <f t="shared" si="84"/>
        <v>0</v>
      </c>
      <c r="P248" s="362">
        <f t="shared" si="88"/>
        <v>0</v>
      </c>
      <c r="Q248" s="362">
        <f t="shared" ref="Q248:Q255" si="111">P248*$Q$12</f>
        <v>0</v>
      </c>
      <c r="R248" s="362">
        <f t="shared" ref="R248:R255" si="112">P248*$R$12</f>
        <v>0</v>
      </c>
      <c r="S248" s="362">
        <f>K248+Q248+R248</f>
        <v>0</v>
      </c>
      <c r="T248" s="362">
        <f>S248*'НМЦК подряд'!$C$16*'НМЦК подряд'!$E$16</f>
        <v>0</v>
      </c>
      <c r="U248" s="427">
        <f t="shared" ref="U248:U255" si="113">L248+M248+N248</f>
        <v>0</v>
      </c>
      <c r="V248" s="234"/>
    </row>
    <row r="249" spans="1:23">
      <c r="A249" s="174" t="s">
        <v>788</v>
      </c>
      <c r="B249" s="190" t="s">
        <v>789</v>
      </c>
      <c r="C249" s="175" t="s">
        <v>538</v>
      </c>
      <c r="D249" s="190" t="s">
        <v>274</v>
      </c>
      <c r="E249" s="190">
        <v>5</v>
      </c>
      <c r="F249" s="233">
        <f>T249/E249</f>
        <v>560.6</v>
      </c>
      <c r="G249" s="237">
        <f t="shared" si="97"/>
        <v>2803</v>
      </c>
      <c r="J249" s="424"/>
      <c r="K249" s="425">
        <f>162+67+1203+374</f>
        <v>1806</v>
      </c>
      <c r="L249" s="448"/>
      <c r="M249" s="427"/>
      <c r="N249" s="172"/>
      <c r="O249" s="375">
        <f t="shared" ref="O249:O301" si="114">L249+M249+N249</f>
        <v>0</v>
      </c>
      <c r="P249" s="362">
        <f t="shared" si="88"/>
        <v>1806</v>
      </c>
      <c r="Q249" s="362">
        <f t="shared" si="111"/>
        <v>26</v>
      </c>
      <c r="R249" s="362">
        <f t="shared" si="112"/>
        <v>31</v>
      </c>
      <c r="S249" s="362">
        <f t="shared" ref="S249:S255" si="115">P249+Q249+R249</f>
        <v>1863</v>
      </c>
      <c r="T249" s="362">
        <f>S249*'НМЦК подряд'!$C$16*'НМЦК подряд'!$E$16</f>
        <v>2803</v>
      </c>
      <c r="U249" s="427">
        <f t="shared" si="113"/>
        <v>0</v>
      </c>
      <c r="V249" s="234"/>
    </row>
    <row r="250" ht="47.25" spans="1:23">
      <c r="A250" s="174" t="s">
        <v>790</v>
      </c>
      <c r="B250" s="190" t="s">
        <v>791</v>
      </c>
      <c r="C250" s="175" t="s">
        <v>792</v>
      </c>
      <c r="D250" s="190" t="s">
        <v>321</v>
      </c>
      <c r="E250" s="190">
        <v>7</v>
      </c>
      <c r="F250" s="233">
        <f t="shared" ref="F250:F255" si="116">T250/E250</f>
        <v>21599</v>
      </c>
      <c r="G250" s="237">
        <f t="shared" si="97"/>
        <v>151193</v>
      </c>
      <c r="J250" s="424"/>
      <c r="K250" s="425">
        <f>51607+5638+1514+5384+269+32163</f>
        <v>96575</v>
      </c>
      <c r="L250" s="448"/>
      <c r="M250" s="427">
        <f>0.216*N11</f>
        <v>875</v>
      </c>
      <c r="N250" s="172"/>
      <c r="O250" s="375">
        <f t="shared" si="114"/>
        <v>875</v>
      </c>
      <c r="P250" s="362">
        <f t="shared" si="88"/>
        <v>97450</v>
      </c>
      <c r="Q250" s="362">
        <f t="shared" si="111"/>
        <v>1380</v>
      </c>
      <c r="R250" s="362">
        <f t="shared" si="112"/>
        <v>1668</v>
      </c>
      <c r="S250" s="362">
        <f t="shared" si="115"/>
        <v>100498</v>
      </c>
      <c r="T250" s="362">
        <f>S250*'НМЦК подряд'!$C$16*'НМЦК подряд'!$E$16</f>
        <v>151193</v>
      </c>
      <c r="U250" s="427">
        <f t="shared" si="113"/>
        <v>875</v>
      </c>
      <c r="V250" s="234"/>
    </row>
    <row r="251" ht="31.5" spans="1:23">
      <c r="A251" s="174" t="s">
        <v>793</v>
      </c>
      <c r="B251" s="190" t="s">
        <v>794</v>
      </c>
      <c r="C251" s="175" t="s">
        <v>795</v>
      </c>
      <c r="D251" s="190" t="s">
        <v>321</v>
      </c>
      <c r="E251" s="190">
        <v>2</v>
      </c>
      <c r="F251" s="233">
        <f t="shared" si="116"/>
        <v>3764</v>
      </c>
      <c r="G251" s="237">
        <f t="shared" si="97"/>
        <v>7528</v>
      </c>
      <c r="J251" s="424"/>
      <c r="K251" s="425">
        <v>4362</v>
      </c>
      <c r="L251" s="448"/>
      <c r="M251" s="427">
        <f>E251*0.6649/11*$N$11</f>
        <v>490</v>
      </c>
      <c r="N251" s="172"/>
      <c r="O251" s="375">
        <f t="shared" si="114"/>
        <v>490</v>
      </c>
      <c r="P251" s="362">
        <f t="shared" si="88"/>
        <v>4852</v>
      </c>
      <c r="Q251" s="362">
        <f t="shared" si="111"/>
        <v>69</v>
      </c>
      <c r="R251" s="362">
        <f t="shared" si="112"/>
        <v>83</v>
      </c>
      <c r="S251" s="362">
        <f t="shared" si="115"/>
        <v>5004</v>
      </c>
      <c r="T251" s="362">
        <f>S251*'НМЦК подряд'!$C$16*'НМЦК подряд'!$E$16</f>
        <v>7528</v>
      </c>
      <c r="U251" s="427">
        <f t="shared" si="113"/>
        <v>490</v>
      </c>
      <c r="V251" s="234"/>
    </row>
    <row r="252" ht="31.5" spans="1:23">
      <c r="A252" s="174" t="s">
        <v>796</v>
      </c>
      <c r="B252" s="190" t="s">
        <v>797</v>
      </c>
      <c r="C252" s="175" t="s">
        <v>798</v>
      </c>
      <c r="D252" s="190" t="s">
        <v>321</v>
      </c>
      <c r="E252" s="190">
        <v>1</v>
      </c>
      <c r="F252" s="233">
        <f t="shared" si="116"/>
        <v>4149</v>
      </c>
      <c r="G252" s="237">
        <f t="shared" si="97"/>
        <v>4149</v>
      </c>
      <c r="J252" s="424"/>
      <c r="K252" s="425">
        <v>2429</v>
      </c>
      <c r="L252" s="448"/>
      <c r="M252" s="427">
        <f>E252*0.6649/11*$N$11</f>
        <v>245</v>
      </c>
      <c r="N252" s="172"/>
      <c r="O252" s="375">
        <f t="shared" si="114"/>
        <v>245</v>
      </c>
      <c r="P252" s="362">
        <f t="shared" si="88"/>
        <v>2674</v>
      </c>
      <c r="Q252" s="362">
        <f t="shared" si="111"/>
        <v>38</v>
      </c>
      <c r="R252" s="362">
        <f t="shared" si="112"/>
        <v>46</v>
      </c>
      <c r="S252" s="362">
        <f t="shared" si="115"/>
        <v>2758</v>
      </c>
      <c r="T252" s="362">
        <f>S252*'НМЦК подряд'!$C$16*'НМЦК подряд'!$E$16</f>
        <v>4149</v>
      </c>
      <c r="U252" s="427">
        <f t="shared" si="113"/>
        <v>245</v>
      </c>
      <c r="V252" s="234"/>
    </row>
    <row r="253" ht="31.5" spans="1:23">
      <c r="A253" s="174" t="s">
        <v>799</v>
      </c>
      <c r="B253" s="190" t="s">
        <v>800</v>
      </c>
      <c r="C253" s="175" t="s">
        <v>801</v>
      </c>
      <c r="D253" s="190" t="s">
        <v>321</v>
      </c>
      <c r="E253" s="190">
        <v>2</v>
      </c>
      <c r="F253" s="233">
        <f t="shared" si="116"/>
        <v>4284.5</v>
      </c>
      <c r="G253" s="237">
        <f t="shared" si="97"/>
        <v>8569</v>
      </c>
      <c r="J253" s="424"/>
      <c r="K253" s="425">
        <v>5033</v>
      </c>
      <c r="L253" s="448"/>
      <c r="M253" s="427">
        <f>E253*0.6649/11*$N$11</f>
        <v>490</v>
      </c>
      <c r="N253" s="172"/>
      <c r="O253" s="375">
        <f t="shared" si="114"/>
        <v>490</v>
      </c>
      <c r="P253" s="362">
        <f t="shared" si="88"/>
        <v>5523</v>
      </c>
      <c r="Q253" s="362">
        <f t="shared" si="111"/>
        <v>78</v>
      </c>
      <c r="R253" s="362">
        <f t="shared" si="112"/>
        <v>95</v>
      </c>
      <c r="S253" s="362">
        <f t="shared" si="115"/>
        <v>5696</v>
      </c>
      <c r="T253" s="362">
        <f>S253*'НМЦК подряд'!$C$16*'НМЦК подряд'!$E$16</f>
        <v>8569</v>
      </c>
      <c r="U253" s="427">
        <f t="shared" si="113"/>
        <v>490</v>
      </c>
      <c r="V253" s="234"/>
    </row>
    <row r="254" ht="31.5" spans="1:23">
      <c r="A254" s="174" t="s">
        <v>802</v>
      </c>
      <c r="B254" s="190" t="s">
        <v>803</v>
      </c>
      <c r="C254" s="175" t="s">
        <v>804</v>
      </c>
      <c r="D254" s="190" t="s">
        <v>321</v>
      </c>
      <c r="E254" s="172">
        <v>4</v>
      </c>
      <c r="F254" s="233">
        <f t="shared" si="116"/>
        <v>6549.25</v>
      </c>
      <c r="G254" s="237">
        <f t="shared" si="97"/>
        <v>26197</v>
      </c>
      <c r="J254" s="424"/>
      <c r="K254" s="425">
        <v>15905</v>
      </c>
      <c r="L254" s="448"/>
      <c r="M254" s="427">
        <f>E254*0.6649/11*$N$11</f>
        <v>980</v>
      </c>
      <c r="N254" s="172"/>
      <c r="O254" s="375">
        <f t="shared" si="114"/>
        <v>980</v>
      </c>
      <c r="P254" s="362">
        <f t="shared" si="88"/>
        <v>16885</v>
      </c>
      <c r="Q254" s="362">
        <f t="shared" si="111"/>
        <v>239</v>
      </c>
      <c r="R254" s="362">
        <f t="shared" si="112"/>
        <v>289</v>
      </c>
      <c r="S254" s="362">
        <f t="shared" si="115"/>
        <v>17413</v>
      </c>
      <c r="T254" s="362">
        <f>S254*'НМЦК подряд'!$C$16*'НМЦК подряд'!$E$16</f>
        <v>26197</v>
      </c>
      <c r="U254" s="427">
        <f t="shared" si="113"/>
        <v>980</v>
      </c>
      <c r="V254" s="234"/>
    </row>
    <row r="255" ht="31.5" spans="1:23">
      <c r="A255" s="174" t="s">
        <v>805</v>
      </c>
      <c r="B255" s="190" t="s">
        <v>806</v>
      </c>
      <c r="C255" s="176" t="s">
        <v>807</v>
      </c>
      <c r="D255" s="190" t="s">
        <v>321</v>
      </c>
      <c r="E255" s="172">
        <v>2</v>
      </c>
      <c r="F255" s="233">
        <f t="shared" si="116"/>
        <v>4145.5</v>
      </c>
      <c r="G255" s="237">
        <f t="shared" si="97"/>
        <v>8291</v>
      </c>
      <c r="J255" s="424"/>
      <c r="K255" s="425">
        <v>4854</v>
      </c>
      <c r="L255" s="448"/>
      <c r="M255" s="427">
        <f>E255*0.6649/11*$N$11</f>
        <v>490</v>
      </c>
      <c r="N255" s="172"/>
      <c r="O255" s="375">
        <f t="shared" si="114"/>
        <v>490</v>
      </c>
      <c r="P255" s="362">
        <f t="shared" si="88"/>
        <v>5344</v>
      </c>
      <c r="Q255" s="362">
        <f t="shared" si="111"/>
        <v>76</v>
      </c>
      <c r="R255" s="362">
        <f t="shared" si="112"/>
        <v>91</v>
      </c>
      <c r="S255" s="362">
        <f t="shared" si="115"/>
        <v>5511</v>
      </c>
      <c r="T255" s="362">
        <f>S255*'НМЦК подряд'!$C$16*'НМЦК подряд'!$E$16</f>
        <v>8291</v>
      </c>
      <c r="U255" s="427">
        <f t="shared" si="113"/>
        <v>490</v>
      </c>
      <c r="V255" s="234"/>
    </row>
    <row r="256" s="216" customFormat="1" ht="16.5" spans="1:23">
      <c r="A256" s="315"/>
      <c r="B256" s="317"/>
      <c r="C256" s="316" t="s">
        <v>808</v>
      </c>
      <c r="D256" s="317"/>
      <c r="E256" s="318"/>
      <c r="F256" s="319"/>
      <c r="G256" s="320">
        <f>SUM(G249:G255)</f>
        <v>208730</v>
      </c>
      <c r="H256" s="300"/>
      <c r="I256" s="300"/>
      <c r="J256" s="452"/>
      <c r="K256" s="455"/>
      <c r="L256" s="455">
        <f t="shared" ref="L256:U256" si="117">SUM(L249:L255)</f>
        <v>0</v>
      </c>
      <c r="M256" s="455">
        <f t="shared" si="117"/>
        <v>3570</v>
      </c>
      <c r="N256" s="455">
        <f t="shared" si="117"/>
        <v>0</v>
      </c>
      <c r="O256" s="455">
        <f t="shared" si="117"/>
        <v>3570</v>
      </c>
      <c r="P256" s="455">
        <f t="shared" si="117"/>
        <v>134534</v>
      </c>
      <c r="Q256" s="455">
        <f t="shared" si="117"/>
        <v>1906</v>
      </c>
      <c r="R256" s="455">
        <f t="shared" si="117"/>
        <v>2303</v>
      </c>
      <c r="S256" s="455">
        <f t="shared" si="117"/>
        <v>138743</v>
      </c>
      <c r="T256" s="455">
        <f t="shared" si="117"/>
        <v>208730</v>
      </c>
      <c r="U256" s="455">
        <f t="shared" si="117"/>
        <v>3570</v>
      </c>
      <c r="V256" s="454"/>
      <c r="W256" s="300"/>
    </row>
    <row r="257" s="216" customFormat="1" ht="16.5" spans="1:23">
      <c r="A257" s="309"/>
      <c r="B257" s="269"/>
      <c r="C257" s="312" t="s">
        <v>809</v>
      </c>
      <c r="D257" s="269"/>
      <c r="E257" s="269"/>
      <c r="F257" s="270"/>
      <c r="G257" s="242">
        <f>G256+G246+G205+G202+G197</f>
        <v>139169275.29</v>
      </c>
      <c r="H257" s="300"/>
      <c r="I257" s="300"/>
      <c r="J257" s="452"/>
      <c r="K257" s="453">
        <f>SUM(K208:K256)</f>
        <v>2726080</v>
      </c>
      <c r="L257" s="455"/>
      <c r="M257" s="455"/>
      <c r="N257" s="455"/>
      <c r="O257" s="455">
        <f t="shared" ref="O257:U257" si="118">O256+O247</f>
        <v>92999</v>
      </c>
      <c r="P257" s="455">
        <f t="shared" si="118"/>
        <v>2819079</v>
      </c>
      <c r="Q257" s="455">
        <f t="shared" si="118"/>
        <v>39926</v>
      </c>
      <c r="R257" s="455">
        <f t="shared" si="118"/>
        <v>48257</v>
      </c>
      <c r="S257" s="455">
        <f t="shared" si="118"/>
        <v>2907262</v>
      </c>
      <c r="T257" s="455">
        <f t="shared" si="118"/>
        <v>4373807</v>
      </c>
      <c r="U257" s="455">
        <f t="shared" si="118"/>
        <v>92999</v>
      </c>
      <c r="V257" s="454"/>
      <c r="W257" s="300"/>
    </row>
    <row r="258" spans="1:23">
      <c r="A258" s="321"/>
      <c r="B258" s="323"/>
      <c r="C258" s="322" t="s">
        <v>810</v>
      </c>
      <c r="D258" s="323"/>
      <c r="E258" s="323"/>
      <c r="F258" s="276"/>
      <c r="G258" s="308"/>
      <c r="J258" s="424"/>
      <c r="K258" s="425"/>
      <c r="L258" s="448"/>
      <c r="M258" s="427"/>
      <c r="N258" s="172"/>
      <c r="O258" s="375">
        <f t="shared" si="114"/>
        <v>0</v>
      </c>
      <c r="P258" s="362">
        <f t="shared" ref="P258:P271" si="119">K258+L258+M258+N258</f>
        <v>0</v>
      </c>
      <c r="Q258" s="362">
        <f t="shared" ref="Q258:Q271" si="120">P258*$Q$12</f>
        <v>0</v>
      </c>
      <c r="R258" s="362">
        <f t="shared" ref="R258:R271" si="121">P258*$R$12</f>
        <v>0</v>
      </c>
      <c r="S258" s="362">
        <f>K258+Q258+R258</f>
        <v>0</v>
      </c>
      <c r="T258" s="362">
        <f>S258*'НМЦК подряд'!$C$16*'НМЦК подряд'!$E$16</f>
        <v>0</v>
      </c>
      <c r="U258" s="427">
        <f t="shared" ref="U258:U271" si="122">L258+M258+N258</f>
        <v>0</v>
      </c>
      <c r="V258" s="234"/>
    </row>
    <row r="259" spans="1:23">
      <c r="A259" s="174" t="s">
        <v>811</v>
      </c>
      <c r="B259" s="175" t="s">
        <v>812</v>
      </c>
      <c r="C259" s="175" t="s">
        <v>813</v>
      </c>
      <c r="D259" s="172" t="s">
        <v>321</v>
      </c>
      <c r="E259" s="172">
        <v>13</v>
      </c>
      <c r="F259" s="233">
        <f t="shared" ref="F259:F271" si="123">T259/E259</f>
        <v>1067.23</v>
      </c>
      <c r="G259" s="237">
        <f t="shared" si="97"/>
        <v>13873.99</v>
      </c>
      <c r="J259" s="424"/>
      <c r="K259" s="425">
        <f>8450+127+365</f>
        <v>8942</v>
      </c>
      <c r="L259" s="448"/>
      <c r="M259" s="427"/>
      <c r="N259" s="172"/>
      <c r="O259" s="375">
        <f t="shared" si="114"/>
        <v>0</v>
      </c>
      <c r="P259" s="362">
        <f t="shared" si="119"/>
        <v>8942</v>
      </c>
      <c r="Q259" s="362">
        <f t="shared" si="120"/>
        <v>127</v>
      </c>
      <c r="R259" s="362">
        <f t="shared" si="121"/>
        <v>153</v>
      </c>
      <c r="S259" s="362">
        <f t="shared" ref="S259:S271" si="124">P259+Q259+R259</f>
        <v>9222</v>
      </c>
      <c r="T259" s="362">
        <f>S259*'НМЦК подряд'!$C$16*'НМЦК подряд'!$E$16</f>
        <v>13874</v>
      </c>
      <c r="U259" s="427">
        <f t="shared" si="122"/>
        <v>0</v>
      </c>
      <c r="V259" s="234"/>
    </row>
    <row r="260" spans="1:23">
      <c r="A260" s="174" t="s">
        <v>814</v>
      </c>
      <c r="B260" s="175" t="s">
        <v>815</v>
      </c>
      <c r="C260" s="175" t="s">
        <v>816</v>
      </c>
      <c r="D260" s="172" t="s">
        <v>274</v>
      </c>
      <c r="E260" s="172">
        <v>23</v>
      </c>
      <c r="F260" s="233">
        <f t="shared" si="123"/>
        <v>3947.13</v>
      </c>
      <c r="G260" s="237">
        <f t="shared" si="97"/>
        <v>90783.99</v>
      </c>
      <c r="J260" s="424"/>
      <c r="K260" s="425">
        <f>32734+25779</f>
        <v>58513</v>
      </c>
      <c r="L260" s="448"/>
      <c r="M260" s="427"/>
      <c r="N260" s="172"/>
      <c r="O260" s="375">
        <f t="shared" si="114"/>
        <v>0</v>
      </c>
      <c r="P260" s="362">
        <f t="shared" si="119"/>
        <v>58513</v>
      </c>
      <c r="Q260" s="362">
        <f t="shared" si="120"/>
        <v>829</v>
      </c>
      <c r="R260" s="362">
        <f t="shared" si="121"/>
        <v>1002</v>
      </c>
      <c r="S260" s="362">
        <f t="shared" si="124"/>
        <v>60344</v>
      </c>
      <c r="T260" s="362">
        <f>S260*'НМЦК подряд'!$C$16*'НМЦК подряд'!$E$16</f>
        <v>90784</v>
      </c>
      <c r="U260" s="427">
        <f t="shared" si="122"/>
        <v>0</v>
      </c>
      <c r="V260" s="234"/>
    </row>
    <row r="261" spans="1:23">
      <c r="A261" s="174" t="s">
        <v>817</v>
      </c>
      <c r="B261" s="175" t="s">
        <v>818</v>
      </c>
      <c r="C261" s="175" t="s">
        <v>819</v>
      </c>
      <c r="D261" s="172" t="s">
        <v>444</v>
      </c>
      <c r="E261" s="172">
        <v>13</v>
      </c>
      <c r="F261" s="233">
        <f t="shared" si="123"/>
        <v>25364.77</v>
      </c>
      <c r="G261" s="237">
        <f t="shared" si="97"/>
        <v>329742.01</v>
      </c>
      <c r="J261" s="424"/>
      <c r="K261" s="425">
        <f>89660+122871</f>
        <v>212531</v>
      </c>
      <c r="L261" s="448"/>
      <c r="M261" s="427"/>
      <c r="N261" s="172"/>
      <c r="O261" s="375">
        <f t="shared" si="114"/>
        <v>0</v>
      </c>
      <c r="P261" s="362">
        <f t="shared" si="119"/>
        <v>212531</v>
      </c>
      <c r="Q261" s="362">
        <f t="shared" si="120"/>
        <v>3010</v>
      </c>
      <c r="R261" s="362">
        <f t="shared" si="121"/>
        <v>3638</v>
      </c>
      <c r="S261" s="362">
        <f t="shared" si="124"/>
        <v>219179</v>
      </c>
      <c r="T261" s="362">
        <f>S261*'НМЦК подряд'!$C$16*'НМЦК подряд'!$E$16</f>
        <v>329742</v>
      </c>
      <c r="U261" s="427">
        <f t="shared" si="122"/>
        <v>0</v>
      </c>
      <c r="V261" s="234"/>
    </row>
    <row r="262" spans="1:23">
      <c r="A262" s="174" t="s">
        <v>820</v>
      </c>
      <c r="B262" s="175" t="s">
        <v>821</v>
      </c>
      <c r="C262" s="176" t="s">
        <v>822</v>
      </c>
      <c r="D262" s="172" t="s">
        <v>274</v>
      </c>
      <c r="E262" s="172">
        <v>2</v>
      </c>
      <c r="F262" s="233">
        <f t="shared" si="123"/>
        <v>22212.5</v>
      </c>
      <c r="G262" s="237">
        <f t="shared" si="97"/>
        <v>44425</v>
      </c>
      <c r="J262" s="424"/>
      <c r="K262" s="425">
        <f>9201+19432</f>
        <v>28633</v>
      </c>
      <c r="L262" s="448"/>
      <c r="M262" s="427"/>
      <c r="N262" s="172"/>
      <c r="O262" s="375">
        <f t="shared" si="114"/>
        <v>0</v>
      </c>
      <c r="P262" s="362">
        <f t="shared" si="119"/>
        <v>28633</v>
      </c>
      <c r="Q262" s="362">
        <f t="shared" si="120"/>
        <v>406</v>
      </c>
      <c r="R262" s="362">
        <f t="shared" si="121"/>
        <v>490</v>
      </c>
      <c r="S262" s="362">
        <f t="shared" si="124"/>
        <v>29529</v>
      </c>
      <c r="T262" s="362">
        <f>S262*'НМЦК подряд'!$C$16*'НМЦК подряд'!$E$16</f>
        <v>44425</v>
      </c>
      <c r="U262" s="427">
        <f t="shared" si="122"/>
        <v>0</v>
      </c>
      <c r="V262" s="234"/>
    </row>
    <row r="263" ht="31.5" spans="1:23">
      <c r="A263" s="174" t="s">
        <v>823</v>
      </c>
      <c r="B263" s="175" t="s">
        <v>824</v>
      </c>
      <c r="C263" s="175" t="s">
        <v>825</v>
      </c>
      <c r="D263" s="172" t="s">
        <v>444</v>
      </c>
      <c r="E263" s="172" t="s">
        <v>826</v>
      </c>
      <c r="F263" s="233">
        <f t="shared" si="123"/>
        <v>102881.53</v>
      </c>
      <c r="G263" s="237">
        <f t="shared" si="97"/>
        <v>1543222.95</v>
      </c>
      <c r="J263" s="424"/>
      <c r="K263" s="425">
        <f>232043+457229+2990+32605</f>
        <v>724867</v>
      </c>
      <c r="L263" s="448">
        <f>3.6*N12+86125+36000</f>
        <v>269796</v>
      </c>
      <c r="M263" s="176"/>
      <c r="N263" s="172"/>
      <c r="O263" s="375">
        <f t="shared" si="114"/>
        <v>269796</v>
      </c>
      <c r="P263" s="362">
        <f t="shared" si="119"/>
        <v>994663</v>
      </c>
      <c r="Q263" s="362">
        <f t="shared" si="120"/>
        <v>14087</v>
      </c>
      <c r="R263" s="362">
        <f t="shared" si="121"/>
        <v>17027</v>
      </c>
      <c r="S263" s="362">
        <f t="shared" si="124"/>
        <v>1025777</v>
      </c>
      <c r="T263" s="362">
        <f>S263*'НМЦК подряд'!$C$16*'НМЦК подряд'!$E$16</f>
        <v>1543223</v>
      </c>
      <c r="U263" s="427">
        <f t="shared" si="122"/>
        <v>269796</v>
      </c>
      <c r="V263" s="234"/>
    </row>
    <row r="264" spans="1:23">
      <c r="A264" s="174" t="s">
        <v>827</v>
      </c>
      <c r="B264" s="175" t="s">
        <v>828</v>
      </c>
      <c r="C264" s="175" t="s">
        <v>829</v>
      </c>
      <c r="D264" s="172" t="s">
        <v>444</v>
      </c>
      <c r="E264" s="172" t="s">
        <v>830</v>
      </c>
      <c r="F264" s="233">
        <f t="shared" si="123"/>
        <v>18677</v>
      </c>
      <c r="G264" s="237">
        <f t="shared" si="97"/>
        <v>224124</v>
      </c>
      <c r="J264" s="424"/>
      <c r="K264" s="425">
        <v>144456</v>
      </c>
      <c r="L264" s="448"/>
      <c r="M264" s="176"/>
      <c r="N264" s="172"/>
      <c r="O264" s="375">
        <f t="shared" si="114"/>
        <v>0</v>
      </c>
      <c r="P264" s="362">
        <f t="shared" si="119"/>
        <v>144456</v>
      </c>
      <c r="Q264" s="362">
        <f t="shared" si="120"/>
        <v>2046</v>
      </c>
      <c r="R264" s="362">
        <f t="shared" si="121"/>
        <v>2473</v>
      </c>
      <c r="S264" s="362">
        <f t="shared" si="124"/>
        <v>148975</v>
      </c>
      <c r="T264" s="362">
        <f>S264*'НМЦК подряд'!$C$16*'НМЦК подряд'!$E$16</f>
        <v>224124</v>
      </c>
      <c r="U264" s="427">
        <f t="shared" si="122"/>
        <v>0</v>
      </c>
      <c r="V264" s="234"/>
    </row>
    <row r="265" spans="1:23">
      <c r="A265" s="174" t="s">
        <v>831</v>
      </c>
      <c r="B265" s="175" t="s">
        <v>832</v>
      </c>
      <c r="C265" s="175" t="s">
        <v>833</v>
      </c>
      <c r="D265" s="172" t="s">
        <v>444</v>
      </c>
      <c r="E265" s="172" t="s">
        <v>242</v>
      </c>
      <c r="F265" s="233">
        <f t="shared" si="123"/>
        <v>20468.33</v>
      </c>
      <c r="G265" s="237">
        <f t="shared" si="97"/>
        <v>61404.99</v>
      </c>
      <c r="J265" s="424"/>
      <c r="K265" s="425">
        <v>39578</v>
      </c>
      <c r="L265" s="448"/>
      <c r="M265" s="176"/>
      <c r="N265" s="172"/>
      <c r="O265" s="375">
        <f t="shared" si="114"/>
        <v>0</v>
      </c>
      <c r="P265" s="362">
        <f t="shared" si="119"/>
        <v>39578</v>
      </c>
      <c r="Q265" s="362">
        <f t="shared" si="120"/>
        <v>561</v>
      </c>
      <c r="R265" s="362">
        <f t="shared" si="121"/>
        <v>677</v>
      </c>
      <c r="S265" s="362">
        <f t="shared" si="124"/>
        <v>40816</v>
      </c>
      <c r="T265" s="362">
        <f>S265*'НМЦК подряд'!$C$16*'НМЦК подряд'!$E$16</f>
        <v>61405</v>
      </c>
      <c r="U265" s="427">
        <f t="shared" si="122"/>
        <v>0</v>
      </c>
      <c r="V265" s="234"/>
    </row>
    <row r="266" ht="31.5" spans="1:23">
      <c r="A266" s="174" t="s">
        <v>834</v>
      </c>
      <c r="B266" s="175" t="s">
        <v>835</v>
      </c>
      <c r="C266" s="176" t="s">
        <v>836</v>
      </c>
      <c r="D266" s="172" t="s">
        <v>444</v>
      </c>
      <c r="E266" s="172" t="s">
        <v>503</v>
      </c>
      <c r="F266" s="233">
        <f t="shared" si="123"/>
        <v>30855.72</v>
      </c>
      <c r="G266" s="237">
        <f t="shared" si="97"/>
        <v>555402.96</v>
      </c>
      <c r="J266" s="424"/>
      <c r="K266" s="425">
        <f>122234+179792+32640+22862</f>
        <v>357528</v>
      </c>
      <c r="L266" s="448">
        <f>(0.0992+0.0116)*N11</f>
        <v>449</v>
      </c>
      <c r="M266" s="176"/>
      <c r="N266" s="172"/>
      <c r="O266" s="375">
        <f t="shared" si="114"/>
        <v>449</v>
      </c>
      <c r="P266" s="362">
        <f t="shared" si="119"/>
        <v>357977</v>
      </c>
      <c r="Q266" s="362">
        <f t="shared" si="120"/>
        <v>5070</v>
      </c>
      <c r="R266" s="362">
        <f t="shared" si="121"/>
        <v>6128</v>
      </c>
      <c r="S266" s="362">
        <f t="shared" si="124"/>
        <v>369175</v>
      </c>
      <c r="T266" s="362">
        <f>S266*'НМЦК подряд'!$C$16*'НМЦК подряд'!$E$16</f>
        <v>555403</v>
      </c>
      <c r="U266" s="427">
        <f t="shared" si="122"/>
        <v>449</v>
      </c>
      <c r="V266" s="234"/>
    </row>
    <row r="267" spans="1:23">
      <c r="A267" s="174" t="s">
        <v>837</v>
      </c>
      <c r="B267" s="175" t="s">
        <v>838</v>
      </c>
      <c r="C267" s="175" t="s">
        <v>839</v>
      </c>
      <c r="D267" s="172" t="s">
        <v>840</v>
      </c>
      <c r="E267" s="172">
        <v>15</v>
      </c>
      <c r="F267" s="233">
        <f t="shared" si="123"/>
        <v>38525.13</v>
      </c>
      <c r="G267" s="237">
        <f t="shared" si="97"/>
        <v>577876.95</v>
      </c>
      <c r="J267" s="424"/>
      <c r="K267" s="425">
        <f>33480+513+224580+1386+80434+32070</f>
        <v>372463</v>
      </c>
      <c r="L267" s="448"/>
      <c r="M267" s="176"/>
      <c r="N267" s="172"/>
      <c r="O267" s="375">
        <f t="shared" si="114"/>
        <v>0</v>
      </c>
      <c r="P267" s="362">
        <f t="shared" si="119"/>
        <v>372463</v>
      </c>
      <c r="Q267" s="362">
        <f t="shared" si="120"/>
        <v>5275</v>
      </c>
      <c r="R267" s="362">
        <f t="shared" si="121"/>
        <v>6376</v>
      </c>
      <c r="S267" s="362">
        <f t="shared" si="124"/>
        <v>384114</v>
      </c>
      <c r="T267" s="362">
        <f>S267*'НМЦК подряд'!$C$16*'НМЦК подряд'!$E$16</f>
        <v>577877</v>
      </c>
      <c r="U267" s="427">
        <f t="shared" si="122"/>
        <v>0</v>
      </c>
      <c r="V267" s="234"/>
    </row>
    <row r="268" ht="31.5" spans="1:23">
      <c r="A268" s="174" t="s">
        <v>841</v>
      </c>
      <c r="B268" s="175" t="s">
        <v>842</v>
      </c>
      <c r="C268" s="176" t="s">
        <v>843</v>
      </c>
      <c r="D268" s="172" t="s">
        <v>844</v>
      </c>
      <c r="E268" s="172">
        <v>10</v>
      </c>
      <c r="F268" s="233">
        <f t="shared" si="123"/>
        <v>585.8</v>
      </c>
      <c r="G268" s="237">
        <f t="shared" si="97"/>
        <v>5858</v>
      </c>
      <c r="J268" s="424"/>
      <c r="K268" s="425">
        <f>1668+(146116-3047-30746-10668-2268)/475*10</f>
        <v>3760</v>
      </c>
      <c r="L268" s="448">
        <f>0.00388*N11</f>
        <v>16</v>
      </c>
      <c r="M268" s="176"/>
      <c r="N268" s="172"/>
      <c r="O268" s="375">
        <f t="shared" si="114"/>
        <v>16</v>
      </c>
      <c r="P268" s="362">
        <f t="shared" si="119"/>
        <v>3776</v>
      </c>
      <c r="Q268" s="362">
        <f t="shared" si="120"/>
        <v>53</v>
      </c>
      <c r="R268" s="362">
        <f t="shared" si="121"/>
        <v>65</v>
      </c>
      <c r="S268" s="362">
        <f t="shared" si="124"/>
        <v>3894</v>
      </c>
      <c r="T268" s="362">
        <f>S268*'НМЦК подряд'!$C$16*'НМЦК подряд'!$E$16</f>
        <v>5858</v>
      </c>
      <c r="U268" s="427">
        <f t="shared" si="122"/>
        <v>16</v>
      </c>
      <c r="V268" s="234"/>
    </row>
    <row r="269" ht="31.5" spans="1:23">
      <c r="A269" s="174" t="s">
        <v>845</v>
      </c>
      <c r="B269" s="175" t="s">
        <v>846</v>
      </c>
      <c r="C269" s="176" t="s">
        <v>847</v>
      </c>
      <c r="D269" s="172" t="s">
        <v>844</v>
      </c>
      <c r="E269" s="172">
        <v>418</v>
      </c>
      <c r="F269" s="233">
        <f t="shared" si="123"/>
        <v>726.08</v>
      </c>
      <c r="G269" s="237">
        <f t="shared" si="97"/>
        <v>303501.44</v>
      </c>
      <c r="J269" s="424"/>
      <c r="K269" s="425">
        <f>107080+(146116-3047-30746-10668-2268)/475*418</f>
        <v>194541</v>
      </c>
      <c r="L269" s="448">
        <f>0.26543*N11</f>
        <v>1076</v>
      </c>
      <c r="M269" s="176"/>
      <c r="N269" s="172"/>
      <c r="O269" s="375">
        <f t="shared" si="114"/>
        <v>1076</v>
      </c>
      <c r="P269" s="362">
        <f t="shared" si="119"/>
        <v>195617</v>
      </c>
      <c r="Q269" s="362">
        <f t="shared" si="120"/>
        <v>2770</v>
      </c>
      <c r="R269" s="362">
        <f t="shared" si="121"/>
        <v>3349</v>
      </c>
      <c r="S269" s="362">
        <f t="shared" si="124"/>
        <v>201736</v>
      </c>
      <c r="T269" s="362">
        <f>S269*'НМЦК подряд'!$C$16*'НМЦК подряд'!$E$16</f>
        <v>303500</v>
      </c>
      <c r="U269" s="427">
        <f t="shared" si="122"/>
        <v>1076</v>
      </c>
      <c r="V269" s="234"/>
    </row>
    <row r="270" ht="31.5" spans="1:23">
      <c r="A270" s="174" t="s">
        <v>848</v>
      </c>
      <c r="B270" s="175" t="s">
        <v>849</v>
      </c>
      <c r="C270" s="176" t="s">
        <v>850</v>
      </c>
      <c r="D270" s="172" t="s">
        <v>844</v>
      </c>
      <c r="E270" s="172">
        <v>47</v>
      </c>
      <c r="F270" s="233">
        <f t="shared" si="123"/>
        <v>427.94</v>
      </c>
      <c r="G270" s="237">
        <f t="shared" si="97"/>
        <v>20113.18</v>
      </c>
      <c r="J270" s="424"/>
      <c r="K270" s="425">
        <f>3099+(146116-3047-30746-10668-2268)/475*47</f>
        <v>12933</v>
      </c>
      <c r="L270" s="448">
        <f>0.007285*N11</f>
        <v>30</v>
      </c>
      <c r="M270" s="176"/>
      <c r="N270" s="172"/>
      <c r="O270" s="375">
        <f t="shared" si="114"/>
        <v>30</v>
      </c>
      <c r="P270" s="362">
        <f t="shared" si="119"/>
        <v>12963</v>
      </c>
      <c r="Q270" s="362">
        <f t="shared" si="120"/>
        <v>184</v>
      </c>
      <c r="R270" s="362">
        <f t="shared" si="121"/>
        <v>222</v>
      </c>
      <c r="S270" s="362">
        <f t="shared" si="124"/>
        <v>13369</v>
      </c>
      <c r="T270" s="362">
        <f>S270*'НМЦК подряд'!$C$16*'НМЦК подряд'!$E$16</f>
        <v>20113</v>
      </c>
      <c r="U270" s="427">
        <f t="shared" si="122"/>
        <v>30</v>
      </c>
      <c r="V270" s="234"/>
    </row>
    <row r="271" ht="16.5" spans="1:23">
      <c r="A271" s="174" t="s">
        <v>851</v>
      </c>
      <c r="B271" s="175" t="s">
        <v>852</v>
      </c>
      <c r="C271" s="175" t="s">
        <v>853</v>
      </c>
      <c r="D271" s="172" t="s">
        <v>854</v>
      </c>
      <c r="E271" s="172" t="s">
        <v>240</v>
      </c>
      <c r="F271" s="233">
        <f t="shared" si="123"/>
        <v>461351</v>
      </c>
      <c r="G271" s="237">
        <f t="shared" si="97"/>
        <v>461351</v>
      </c>
      <c r="J271" s="424"/>
      <c r="K271" s="425">
        <f>10675+77949+1238+5484+1733+8031+3915+150875+1733+8731+3463+242+8660+655+1944+978+1624+1733+215+1733+1191+593+139+1076+226+1214+130+361+769+48</f>
        <v>297358</v>
      </c>
      <c r="L271" s="448"/>
      <c r="M271" s="176"/>
      <c r="N271" s="172"/>
      <c r="O271" s="375">
        <f t="shared" si="114"/>
        <v>0</v>
      </c>
      <c r="P271" s="362">
        <f t="shared" si="119"/>
        <v>297358</v>
      </c>
      <c r="Q271" s="362">
        <f t="shared" si="120"/>
        <v>4211</v>
      </c>
      <c r="R271" s="362">
        <f t="shared" si="121"/>
        <v>5090</v>
      </c>
      <c r="S271" s="362">
        <f t="shared" si="124"/>
        <v>306659</v>
      </c>
      <c r="T271" s="362">
        <f>S271*'НМЦК подряд'!$C$16*'НМЦК подряд'!$E$16</f>
        <v>461351</v>
      </c>
      <c r="U271" s="427">
        <f t="shared" si="122"/>
        <v>0</v>
      </c>
      <c r="V271" s="234"/>
    </row>
    <row r="272" ht="16.5" spans="1:23">
      <c r="A272" s="250"/>
      <c r="B272" s="386"/>
      <c r="C272" s="239" t="s">
        <v>855</v>
      </c>
      <c r="D272" s="251"/>
      <c r="E272" s="251"/>
      <c r="F272" s="324"/>
      <c r="G272" s="242">
        <f>SUM(G259:G271)</f>
        <v>4231680.46</v>
      </c>
      <c r="J272" s="424"/>
      <c r="K272" s="464">
        <f>SUM(K259:K271)</f>
        <v>2456103</v>
      </c>
      <c r="L272" s="431"/>
      <c r="M272" s="431"/>
      <c r="N272" s="431"/>
      <c r="O272" s="431">
        <f t="shared" ref="O272:U272" si="125">SUM(O259:O271)</f>
        <v>271367</v>
      </c>
      <c r="P272" s="431">
        <f t="shared" si="125"/>
        <v>2727470</v>
      </c>
      <c r="Q272" s="431">
        <f t="shared" si="125"/>
        <v>38629</v>
      </c>
      <c r="R272" s="431">
        <f t="shared" si="125"/>
        <v>46690</v>
      </c>
      <c r="S272" s="431">
        <f t="shared" si="125"/>
        <v>2812789</v>
      </c>
      <c r="T272" s="431">
        <f t="shared" si="125"/>
        <v>4231679</v>
      </c>
      <c r="U272" s="431">
        <f t="shared" si="125"/>
        <v>271367</v>
      </c>
      <c r="V272" s="234"/>
    </row>
    <row r="273" spans="1:22">
      <c r="A273" s="186"/>
      <c r="B273" s="180"/>
      <c r="C273" s="177"/>
      <c r="D273" s="180"/>
      <c r="E273" s="180"/>
      <c r="F273" s="233"/>
      <c r="G273" s="237"/>
      <c r="J273" s="424"/>
      <c r="K273" s="425"/>
      <c r="L273" s="448"/>
      <c r="M273" s="176"/>
      <c r="N273" s="172"/>
      <c r="O273" s="375">
        <f t="shared" si="114"/>
        <v>0</v>
      </c>
      <c r="P273" s="362">
        <f t="shared" ref="P273:P287" si="126">K273+L273+M273+N273</f>
        <v>0</v>
      </c>
      <c r="Q273" s="362">
        <f t="shared" ref="Q273:Q287" si="127">P273*$Q$12</f>
        <v>0</v>
      </c>
      <c r="R273" s="362">
        <f t="shared" ref="R273:R287" si="128">P273*$R$12</f>
        <v>0</v>
      </c>
      <c r="S273" s="362">
        <f>K273+Q273+R273</f>
        <v>0</v>
      </c>
      <c r="T273" s="362">
        <f>S273*'НМЦК подряд'!$C$16*'НМЦК подряд'!$E$16</f>
        <v>0</v>
      </c>
      <c r="U273" s="427">
        <f t="shared" ref="U273:U287" si="129">L273+M273+N273</f>
        <v>0</v>
      </c>
      <c r="V273" s="234"/>
    </row>
    <row r="274" spans="1:22">
      <c r="A274" s="186"/>
      <c r="B274" s="180"/>
      <c r="C274" s="177" t="s">
        <v>856</v>
      </c>
      <c r="D274" s="180"/>
      <c r="E274" s="180"/>
      <c r="F274" s="233"/>
      <c r="G274" s="237"/>
      <c r="J274" s="424"/>
      <c r="K274" s="425"/>
      <c r="L274" s="448"/>
      <c r="M274" s="176"/>
      <c r="N274" s="172"/>
      <c r="O274" s="375">
        <f t="shared" si="114"/>
        <v>0</v>
      </c>
      <c r="P274" s="362">
        <f t="shared" si="126"/>
        <v>0</v>
      </c>
      <c r="Q274" s="362">
        <f t="shared" si="127"/>
        <v>0</v>
      </c>
      <c r="R274" s="362">
        <f t="shared" si="128"/>
        <v>0</v>
      </c>
      <c r="S274" s="362">
        <f>K274+Q274+R274</f>
        <v>0</v>
      </c>
      <c r="T274" s="362">
        <f>S274*'НМЦК подряд'!$C$16*'НМЦК подряд'!$E$16</f>
        <v>0</v>
      </c>
      <c r="U274" s="427">
        <f t="shared" si="129"/>
        <v>0</v>
      </c>
      <c r="V274" s="234"/>
    </row>
    <row r="275" spans="1:22">
      <c r="A275" s="174" t="s">
        <v>857</v>
      </c>
      <c r="B275" s="175" t="s">
        <v>812</v>
      </c>
      <c r="C275" s="175" t="s">
        <v>813</v>
      </c>
      <c r="D275" s="172" t="s">
        <v>444</v>
      </c>
      <c r="E275" s="172">
        <v>6</v>
      </c>
      <c r="F275" s="233">
        <f t="shared" ref="F275:F286" si="130">T275/E275</f>
        <v>1135.67</v>
      </c>
      <c r="G275" s="237">
        <f t="shared" ref="G275:G301" si="131">F275*E275</f>
        <v>6814.02</v>
      </c>
      <c r="J275" s="424"/>
      <c r="K275" s="425">
        <f>3900+127+365</f>
        <v>4392</v>
      </c>
      <c r="L275" s="448"/>
      <c r="M275" s="176"/>
      <c r="N275" s="172"/>
      <c r="O275" s="375">
        <f t="shared" si="114"/>
        <v>0</v>
      </c>
      <c r="P275" s="362">
        <f t="shared" si="126"/>
        <v>4392</v>
      </c>
      <c r="Q275" s="362">
        <f t="shared" si="127"/>
        <v>62</v>
      </c>
      <c r="R275" s="362">
        <f t="shared" si="128"/>
        <v>75</v>
      </c>
      <c r="S275" s="362">
        <f t="shared" ref="S275:S287" si="132">P275+Q275+R275</f>
        <v>4529</v>
      </c>
      <c r="T275" s="362">
        <f>S275*'НМЦК подряд'!$C$16*'НМЦК подряд'!$E$16</f>
        <v>6814</v>
      </c>
      <c r="U275" s="427">
        <f t="shared" si="129"/>
        <v>0</v>
      </c>
      <c r="V275" s="234"/>
    </row>
    <row r="276" spans="1:22">
      <c r="A276" s="174" t="s">
        <v>858</v>
      </c>
      <c r="B276" s="175" t="s">
        <v>815</v>
      </c>
      <c r="C276" s="175" t="s">
        <v>816</v>
      </c>
      <c r="D276" s="172" t="s">
        <v>274</v>
      </c>
      <c r="E276" s="172">
        <v>0.4</v>
      </c>
      <c r="F276" s="233">
        <f t="shared" si="130"/>
        <v>3945</v>
      </c>
      <c r="G276" s="237">
        <f t="shared" si="131"/>
        <v>1578</v>
      </c>
      <c r="J276" s="424"/>
      <c r="K276" s="425">
        <f>570+448</f>
        <v>1018</v>
      </c>
      <c r="L276" s="448"/>
      <c r="M276" s="176"/>
      <c r="N276" s="172"/>
      <c r="O276" s="375">
        <f t="shared" si="114"/>
        <v>0</v>
      </c>
      <c r="P276" s="362">
        <f t="shared" si="126"/>
        <v>1018</v>
      </c>
      <c r="Q276" s="362">
        <f t="shared" si="127"/>
        <v>14</v>
      </c>
      <c r="R276" s="362">
        <f t="shared" si="128"/>
        <v>17</v>
      </c>
      <c r="S276" s="362">
        <f t="shared" si="132"/>
        <v>1049</v>
      </c>
      <c r="T276" s="362">
        <f>S276*'НМЦК подряд'!$C$16*'НМЦК подряд'!$E$16</f>
        <v>1578</v>
      </c>
      <c r="U276" s="427">
        <f t="shared" si="129"/>
        <v>0</v>
      </c>
      <c r="V276" s="234"/>
    </row>
    <row r="277" spans="1:22">
      <c r="A277" s="174" t="s">
        <v>859</v>
      </c>
      <c r="B277" s="175" t="s">
        <v>818</v>
      </c>
      <c r="C277" s="175" t="s">
        <v>819</v>
      </c>
      <c r="D277" s="172" t="s">
        <v>444</v>
      </c>
      <c r="E277" s="172">
        <v>6</v>
      </c>
      <c r="F277" s="233">
        <f t="shared" si="130"/>
        <v>24930.67</v>
      </c>
      <c r="G277" s="237">
        <f t="shared" si="131"/>
        <v>149584.02</v>
      </c>
      <c r="J277" s="424"/>
      <c r="K277" s="425">
        <f>41381+55058-26</f>
        <v>96413</v>
      </c>
      <c r="L277" s="448"/>
      <c r="M277" s="176"/>
      <c r="N277" s="172"/>
      <c r="O277" s="375">
        <f t="shared" si="114"/>
        <v>0</v>
      </c>
      <c r="P277" s="362">
        <f t="shared" si="126"/>
        <v>96413</v>
      </c>
      <c r="Q277" s="362">
        <f t="shared" si="127"/>
        <v>1365</v>
      </c>
      <c r="R277" s="362">
        <f t="shared" si="128"/>
        <v>1650</v>
      </c>
      <c r="S277" s="362">
        <f t="shared" si="132"/>
        <v>99428</v>
      </c>
      <c r="T277" s="362">
        <f>S277*'НМЦК подряд'!$C$16*'НМЦК подряд'!$E$16</f>
        <v>149584</v>
      </c>
      <c r="U277" s="427">
        <f t="shared" si="129"/>
        <v>0</v>
      </c>
      <c r="V277" s="234"/>
    </row>
    <row r="278" spans="1:22">
      <c r="A278" s="174" t="s">
        <v>860</v>
      </c>
      <c r="B278" s="175" t="s">
        <v>821</v>
      </c>
      <c r="C278" s="176" t="s">
        <v>822</v>
      </c>
      <c r="D278" s="172" t="s">
        <v>274</v>
      </c>
      <c r="E278" s="172">
        <v>1.5</v>
      </c>
      <c r="F278" s="233">
        <f t="shared" si="130"/>
        <v>22209.33</v>
      </c>
      <c r="G278" s="237">
        <f t="shared" si="131"/>
        <v>33314</v>
      </c>
      <c r="J278" s="424"/>
      <c r="K278" s="425">
        <f>6898+14574</f>
        <v>21472</v>
      </c>
      <c r="L278" s="448"/>
      <c r="M278" s="176"/>
      <c r="N278" s="172"/>
      <c r="O278" s="375">
        <f t="shared" si="114"/>
        <v>0</v>
      </c>
      <c r="P278" s="362">
        <f t="shared" si="126"/>
        <v>21472</v>
      </c>
      <c r="Q278" s="362">
        <f t="shared" si="127"/>
        <v>304</v>
      </c>
      <c r="R278" s="362">
        <f t="shared" si="128"/>
        <v>368</v>
      </c>
      <c r="S278" s="362">
        <f t="shared" si="132"/>
        <v>22144</v>
      </c>
      <c r="T278" s="362">
        <f>S278*'НМЦК подряд'!$C$16*'НМЦК подряд'!$E$16</f>
        <v>33314</v>
      </c>
      <c r="U278" s="427">
        <f t="shared" si="129"/>
        <v>0</v>
      </c>
      <c r="V278" s="234"/>
    </row>
    <row r="279" ht="31.5" spans="1:22">
      <c r="A279" s="174" t="s">
        <v>861</v>
      </c>
      <c r="B279" s="175" t="s">
        <v>862</v>
      </c>
      <c r="C279" s="175" t="s">
        <v>863</v>
      </c>
      <c r="D279" s="172" t="s">
        <v>444</v>
      </c>
      <c r="E279" s="172">
        <v>8</v>
      </c>
      <c r="F279" s="233">
        <f t="shared" si="130"/>
        <v>3372.25</v>
      </c>
      <c r="G279" s="237">
        <f t="shared" si="131"/>
        <v>26978</v>
      </c>
      <c r="J279" s="424"/>
      <c r="K279" s="425">
        <f>17388</f>
        <v>17388</v>
      </c>
      <c r="L279" s="448"/>
      <c r="M279" s="448"/>
      <c r="N279" s="172"/>
      <c r="O279" s="375">
        <f t="shared" si="114"/>
        <v>0</v>
      </c>
      <c r="P279" s="362">
        <f t="shared" si="126"/>
        <v>17388</v>
      </c>
      <c r="Q279" s="362">
        <f t="shared" si="127"/>
        <v>246</v>
      </c>
      <c r="R279" s="362">
        <f t="shared" si="128"/>
        <v>298</v>
      </c>
      <c r="S279" s="362">
        <f t="shared" si="132"/>
        <v>17932</v>
      </c>
      <c r="T279" s="362">
        <f>S279*'НМЦК подряд'!$C$16*'НМЦК подряд'!$E$16</f>
        <v>26978</v>
      </c>
      <c r="U279" s="427">
        <f t="shared" si="129"/>
        <v>0</v>
      </c>
      <c r="V279" s="234"/>
    </row>
    <row r="280" ht="31.5" spans="1:22">
      <c r="A280" s="174" t="s">
        <v>864</v>
      </c>
      <c r="B280" s="175" t="s">
        <v>865</v>
      </c>
      <c r="C280" s="175" t="s">
        <v>825</v>
      </c>
      <c r="D280" s="172" t="s">
        <v>444</v>
      </c>
      <c r="E280" s="172">
        <v>8</v>
      </c>
      <c r="F280" s="233">
        <f t="shared" si="130"/>
        <v>99508.13</v>
      </c>
      <c r="G280" s="237">
        <f t="shared" si="131"/>
        <v>796065.04</v>
      </c>
      <c r="J280" s="424"/>
      <c r="K280" s="425">
        <f>123756+243855+1591</f>
        <v>369202</v>
      </c>
      <c r="L280" s="448"/>
      <c r="M280" s="448">
        <f>1.92*N12+19200+45933</f>
        <v>143891</v>
      </c>
      <c r="N280" s="172"/>
      <c r="O280" s="375">
        <f t="shared" si="114"/>
        <v>143891</v>
      </c>
      <c r="P280" s="362">
        <f t="shared" si="126"/>
        <v>513093</v>
      </c>
      <c r="Q280" s="362">
        <f t="shared" si="127"/>
        <v>7267</v>
      </c>
      <c r="R280" s="362">
        <f t="shared" si="128"/>
        <v>8783</v>
      </c>
      <c r="S280" s="362">
        <f t="shared" si="132"/>
        <v>529143</v>
      </c>
      <c r="T280" s="362">
        <f>S280*'НМЦК подряд'!$C$16*'НМЦК подряд'!$E$16</f>
        <v>796065</v>
      </c>
      <c r="U280" s="427">
        <f t="shared" si="129"/>
        <v>143891</v>
      </c>
      <c r="V280" s="234"/>
    </row>
    <row r="281" spans="1:22">
      <c r="A281" s="174" t="s">
        <v>866</v>
      </c>
      <c r="B281" s="175" t="s">
        <v>828</v>
      </c>
      <c r="C281" s="175" t="s">
        <v>829</v>
      </c>
      <c r="D281" s="172" t="s">
        <v>444</v>
      </c>
      <c r="E281" s="172">
        <v>6</v>
      </c>
      <c r="F281" s="233">
        <f t="shared" si="130"/>
        <v>18676.83</v>
      </c>
      <c r="G281" s="237">
        <f t="shared" si="131"/>
        <v>112060.98</v>
      </c>
      <c r="J281" s="424"/>
      <c r="K281" s="425">
        <v>72228</v>
      </c>
      <c r="L281" s="448"/>
      <c r="M281" s="448"/>
      <c r="N281" s="172"/>
      <c r="O281" s="375">
        <f t="shared" si="114"/>
        <v>0</v>
      </c>
      <c r="P281" s="362">
        <f t="shared" si="126"/>
        <v>72228</v>
      </c>
      <c r="Q281" s="362">
        <f t="shared" si="127"/>
        <v>1023</v>
      </c>
      <c r="R281" s="362">
        <f t="shared" si="128"/>
        <v>1236</v>
      </c>
      <c r="S281" s="362">
        <f t="shared" si="132"/>
        <v>74487</v>
      </c>
      <c r="T281" s="362">
        <f>S281*'НМЦК подряд'!$C$16*'НМЦК подряд'!$E$16</f>
        <v>112061</v>
      </c>
      <c r="U281" s="427">
        <f t="shared" si="129"/>
        <v>0</v>
      </c>
      <c r="V281" s="234"/>
    </row>
    <row r="282" spans="1:22">
      <c r="A282" s="174" t="s">
        <v>867</v>
      </c>
      <c r="B282" s="175" t="s">
        <v>832</v>
      </c>
      <c r="C282" s="175" t="s">
        <v>833</v>
      </c>
      <c r="D282" s="172" t="s">
        <v>444</v>
      </c>
      <c r="E282" s="172">
        <v>2</v>
      </c>
      <c r="F282" s="233">
        <f t="shared" si="130"/>
        <v>20468.5</v>
      </c>
      <c r="G282" s="237">
        <f t="shared" si="131"/>
        <v>40937</v>
      </c>
      <c r="J282" s="424"/>
      <c r="K282" s="425">
        <v>26385</v>
      </c>
      <c r="L282" s="448"/>
      <c r="M282" s="448"/>
      <c r="N282" s="172"/>
      <c r="O282" s="375">
        <f t="shared" si="114"/>
        <v>0</v>
      </c>
      <c r="P282" s="362">
        <f t="shared" si="126"/>
        <v>26385</v>
      </c>
      <c r="Q282" s="362">
        <f t="shared" si="127"/>
        <v>374</v>
      </c>
      <c r="R282" s="362">
        <f t="shared" si="128"/>
        <v>452</v>
      </c>
      <c r="S282" s="362">
        <f t="shared" si="132"/>
        <v>27211</v>
      </c>
      <c r="T282" s="362">
        <f>S282*'НМЦК подряд'!$C$16*'НМЦК подряд'!$E$16</f>
        <v>40937</v>
      </c>
      <c r="U282" s="427">
        <f t="shared" si="129"/>
        <v>0</v>
      </c>
      <c r="V282" s="234"/>
    </row>
    <row r="283" ht="31.5" spans="1:22">
      <c r="A283" s="174" t="s">
        <v>868</v>
      </c>
      <c r="B283" s="175" t="s">
        <v>869</v>
      </c>
      <c r="C283" s="176" t="s">
        <v>836</v>
      </c>
      <c r="D283" s="172" t="s">
        <v>444</v>
      </c>
      <c r="E283" s="172">
        <v>10</v>
      </c>
      <c r="F283" s="233">
        <f t="shared" si="130"/>
        <v>29782.4</v>
      </c>
      <c r="G283" s="237">
        <f t="shared" si="131"/>
        <v>297824</v>
      </c>
      <c r="J283" s="424"/>
      <c r="K283" s="425">
        <f>67907+112370+11430</f>
        <v>191707</v>
      </c>
      <c r="L283" s="448"/>
      <c r="M283" s="448">
        <f>0.062*N11</f>
        <v>251</v>
      </c>
      <c r="N283" s="172"/>
      <c r="O283" s="375">
        <f t="shared" si="114"/>
        <v>251</v>
      </c>
      <c r="P283" s="362">
        <f t="shared" si="126"/>
        <v>191958</v>
      </c>
      <c r="Q283" s="362">
        <f t="shared" si="127"/>
        <v>2719</v>
      </c>
      <c r="R283" s="362">
        <f t="shared" si="128"/>
        <v>3286</v>
      </c>
      <c r="S283" s="362">
        <f t="shared" si="132"/>
        <v>197963</v>
      </c>
      <c r="T283" s="362">
        <f>S283*'НМЦК подряд'!$C$16*'НМЦК подряд'!$E$16</f>
        <v>297824</v>
      </c>
      <c r="U283" s="427">
        <f t="shared" si="129"/>
        <v>251</v>
      </c>
      <c r="V283" s="234"/>
    </row>
    <row r="284" spans="1:22">
      <c r="A284" s="174" t="s">
        <v>870</v>
      </c>
      <c r="B284" s="175" t="s">
        <v>838</v>
      </c>
      <c r="C284" s="175" t="s">
        <v>839</v>
      </c>
      <c r="D284" s="172" t="s">
        <v>840</v>
      </c>
      <c r="E284" s="172">
        <v>10</v>
      </c>
      <c r="F284" s="233">
        <f t="shared" si="130"/>
        <v>27209</v>
      </c>
      <c r="G284" s="237">
        <f t="shared" si="131"/>
        <v>272090</v>
      </c>
      <c r="J284" s="424"/>
      <c r="K284" s="425">
        <f>8928+257+99813+616+49723+16035</f>
        <v>175372</v>
      </c>
      <c r="L284" s="448"/>
      <c r="M284" s="448"/>
      <c r="N284" s="172"/>
      <c r="O284" s="375">
        <f t="shared" si="114"/>
        <v>0</v>
      </c>
      <c r="P284" s="362">
        <f t="shared" si="126"/>
        <v>175372</v>
      </c>
      <c r="Q284" s="362">
        <f t="shared" si="127"/>
        <v>2484</v>
      </c>
      <c r="R284" s="362">
        <f t="shared" si="128"/>
        <v>3002</v>
      </c>
      <c r="S284" s="362">
        <f t="shared" si="132"/>
        <v>180858</v>
      </c>
      <c r="T284" s="362">
        <f>S284*'НМЦК подряд'!$C$16*'НМЦК подряд'!$E$16</f>
        <v>272090</v>
      </c>
      <c r="U284" s="427">
        <f t="shared" si="129"/>
        <v>0</v>
      </c>
      <c r="V284" s="234"/>
    </row>
    <row r="285" ht="31.5" spans="1:22">
      <c r="A285" s="174" t="s">
        <v>871</v>
      </c>
      <c r="B285" s="175" t="s">
        <v>842</v>
      </c>
      <c r="C285" s="176" t="s">
        <v>843</v>
      </c>
      <c r="D285" s="172" t="s">
        <v>844</v>
      </c>
      <c r="E285" s="172">
        <v>5</v>
      </c>
      <c r="F285" s="233">
        <f t="shared" si="130"/>
        <v>585.8</v>
      </c>
      <c r="G285" s="237">
        <f t="shared" si="131"/>
        <v>2929</v>
      </c>
      <c r="J285" s="424"/>
      <c r="K285" s="425">
        <f>834+(46140-962-9709-3369-716)/150*5</f>
        <v>1880</v>
      </c>
      <c r="L285" s="448"/>
      <c r="M285" s="448">
        <f>0.00194*N11</f>
        <v>8</v>
      </c>
      <c r="N285" s="172"/>
      <c r="O285" s="375">
        <f t="shared" si="114"/>
        <v>8</v>
      </c>
      <c r="P285" s="362">
        <f t="shared" si="126"/>
        <v>1888</v>
      </c>
      <c r="Q285" s="362">
        <f t="shared" si="127"/>
        <v>27</v>
      </c>
      <c r="R285" s="362">
        <f t="shared" si="128"/>
        <v>32</v>
      </c>
      <c r="S285" s="362">
        <f t="shared" si="132"/>
        <v>1947</v>
      </c>
      <c r="T285" s="362">
        <f>S285*'НМЦК подряд'!$C$16*'НМЦК подряд'!$E$16</f>
        <v>2929</v>
      </c>
      <c r="U285" s="427">
        <f t="shared" si="129"/>
        <v>8</v>
      </c>
      <c r="V285" s="234"/>
    </row>
    <row r="286" ht="31.5" spans="1:22">
      <c r="A286" s="174" t="s">
        <v>872</v>
      </c>
      <c r="B286" s="175" t="s">
        <v>846</v>
      </c>
      <c r="C286" s="176" t="s">
        <v>873</v>
      </c>
      <c r="D286" s="172" t="s">
        <v>844</v>
      </c>
      <c r="E286" s="172">
        <v>145</v>
      </c>
      <c r="F286" s="233">
        <f t="shared" si="130"/>
        <v>726.3</v>
      </c>
      <c r="G286" s="237">
        <f t="shared" si="131"/>
        <v>105313.5</v>
      </c>
      <c r="J286" s="424"/>
      <c r="K286" s="425">
        <f>37145+(46140-962-9709-3369-716)/150*145+26</f>
        <v>67509</v>
      </c>
      <c r="L286" s="448"/>
      <c r="M286" s="448">
        <f>0.092075*N11</f>
        <v>373</v>
      </c>
      <c r="N286" s="172"/>
      <c r="O286" s="375">
        <f t="shared" si="114"/>
        <v>373</v>
      </c>
      <c r="P286" s="362">
        <f t="shared" si="126"/>
        <v>67882</v>
      </c>
      <c r="Q286" s="362">
        <f t="shared" si="127"/>
        <v>961</v>
      </c>
      <c r="R286" s="362">
        <f t="shared" si="128"/>
        <v>1162</v>
      </c>
      <c r="S286" s="362">
        <f t="shared" si="132"/>
        <v>70005</v>
      </c>
      <c r="T286" s="362">
        <f>S286*'НМЦК подряд'!$C$16*'НМЦК подряд'!$E$16-6</f>
        <v>105313</v>
      </c>
      <c r="U286" s="427">
        <f t="shared" si="129"/>
        <v>373</v>
      </c>
      <c r="V286" s="234"/>
    </row>
    <row r="287" ht="16.5" spans="1:22">
      <c r="A287" s="174" t="s">
        <v>874</v>
      </c>
      <c r="B287" s="175" t="s">
        <v>852</v>
      </c>
      <c r="C287" s="175" t="s">
        <v>853</v>
      </c>
      <c r="D287" s="172" t="s">
        <v>854</v>
      </c>
      <c r="E287" s="172" t="s">
        <v>240</v>
      </c>
      <c r="F287" s="233">
        <f>(T287+V287)/E287</f>
        <v>460497.84</v>
      </c>
      <c r="G287" s="237">
        <f t="shared" si="131"/>
        <v>460497.84</v>
      </c>
      <c r="J287" s="424"/>
      <c r="K287" s="425">
        <f>10675+77949+1238+5484+1733+8031+3915+150875+1733+8731+3463+242+6930+655+955+1856+1733+207+3463+2383+593+139+1076+226+1214+130+361+769+48</f>
        <v>296807</v>
      </c>
      <c r="L287" s="448"/>
      <c r="M287" s="448"/>
      <c r="N287" s="172"/>
      <c r="O287" s="375">
        <f t="shared" si="114"/>
        <v>0</v>
      </c>
      <c r="P287" s="362">
        <f t="shared" si="126"/>
        <v>296807</v>
      </c>
      <c r="Q287" s="362">
        <f t="shared" si="127"/>
        <v>4204</v>
      </c>
      <c r="R287" s="362">
        <f t="shared" si="128"/>
        <v>5081</v>
      </c>
      <c r="S287" s="362">
        <f t="shared" si="132"/>
        <v>306092</v>
      </c>
      <c r="T287" s="369">
        <f>S287*'НМЦК подряд'!$C$16*'НМЦК подряд'!$E$16-0.01</f>
        <v>460497.84</v>
      </c>
      <c r="U287" s="427">
        <f t="shared" si="129"/>
        <v>0</v>
      </c>
      <c r="V287" s="234"/>
    </row>
    <row r="288" ht="16.5" spans="1:22">
      <c r="A288" s="250"/>
      <c r="B288" s="386"/>
      <c r="C288" s="239" t="s">
        <v>875</v>
      </c>
      <c r="D288" s="251"/>
      <c r="E288" s="251"/>
      <c r="F288" s="324"/>
      <c r="G288" s="242">
        <f>SUM(G275:G287)</f>
        <v>2305985.4</v>
      </c>
      <c r="J288" s="424"/>
      <c r="K288" s="464">
        <f>SUM(K275:K287)</f>
        <v>1341773</v>
      </c>
      <c r="L288" s="431"/>
      <c r="M288" s="431"/>
      <c r="N288" s="431"/>
      <c r="O288" s="431">
        <f t="shared" ref="O288:U288" si="133">SUM(O275:O287)</f>
        <v>144523</v>
      </c>
      <c r="P288" s="431">
        <f t="shared" si="133"/>
        <v>1486296</v>
      </c>
      <c r="Q288" s="431">
        <f t="shared" si="133"/>
        <v>21050</v>
      </c>
      <c r="R288" s="431">
        <f t="shared" si="133"/>
        <v>25442</v>
      </c>
      <c r="S288" s="431">
        <f t="shared" si="133"/>
        <v>1532788</v>
      </c>
      <c r="T288" s="431">
        <f t="shared" si="133"/>
        <v>2305985</v>
      </c>
      <c r="U288" s="431">
        <f t="shared" si="133"/>
        <v>144523</v>
      </c>
      <c r="V288" s="234"/>
    </row>
    <row r="289" spans="1:23">
      <c r="A289" s="186"/>
      <c r="B289" s="180"/>
      <c r="C289" s="181"/>
      <c r="D289" s="180"/>
      <c r="E289" s="183"/>
      <c r="F289" s="233"/>
      <c r="G289" s="237"/>
      <c r="J289" s="424"/>
      <c r="K289" s="425"/>
      <c r="L289" s="448"/>
      <c r="M289" s="176"/>
      <c r="N289" s="172"/>
      <c r="O289" s="375">
        <f t="shared" si="114"/>
        <v>0</v>
      </c>
      <c r="P289" s="362">
        <f>K289+L289+M289+N289</f>
        <v>0</v>
      </c>
      <c r="Q289" s="362">
        <f>P289*$Q$12</f>
        <v>0</v>
      </c>
      <c r="R289" s="362">
        <f>P289*$R$12</f>
        <v>0</v>
      </c>
      <c r="S289" s="362">
        <f>K289+Q289+R289</f>
        <v>0</v>
      </c>
      <c r="T289" s="362">
        <f>S289*'НМЦК подряд'!$C$16*'НМЦК подряд'!$E$16</f>
        <v>0</v>
      </c>
      <c r="U289" s="427">
        <f>L289+M289+N289</f>
        <v>0</v>
      </c>
      <c r="V289" s="234"/>
    </row>
    <row r="290" spans="1:23">
      <c r="A290" s="325" t="s">
        <v>876</v>
      </c>
      <c r="B290" s="394"/>
      <c r="C290" s="260"/>
      <c r="D290" s="180"/>
      <c r="E290" s="183"/>
      <c r="F290" s="233"/>
      <c r="G290" s="237"/>
      <c r="J290" s="424"/>
      <c r="K290" s="425"/>
      <c r="L290" s="448"/>
      <c r="M290" s="176"/>
      <c r="N290" s="172"/>
      <c r="O290" s="375">
        <f t="shared" si="114"/>
        <v>0</v>
      </c>
      <c r="P290" s="362">
        <f>K290+L290+M290+N290</f>
        <v>0</v>
      </c>
      <c r="Q290" s="362">
        <f>P290*$Q$12</f>
        <v>0</v>
      </c>
      <c r="R290" s="362">
        <f>P290*$R$12</f>
        <v>0</v>
      </c>
      <c r="S290" s="362">
        <f>K290+Q290+R290</f>
        <v>0</v>
      </c>
      <c r="T290" s="362">
        <f>S290*'НМЦК подряд'!$C$16*'НМЦК подряд'!$E$16</f>
        <v>0</v>
      </c>
      <c r="U290" s="427">
        <f>L290+M290+N290</f>
        <v>0</v>
      </c>
      <c r="V290" s="234"/>
    </row>
    <row r="291" ht="47.25" spans="1:23">
      <c r="A291" s="174" t="s">
        <v>877</v>
      </c>
      <c r="B291" s="196" t="s">
        <v>878</v>
      </c>
      <c r="C291" s="181" t="s">
        <v>879</v>
      </c>
      <c r="D291" s="180" t="s">
        <v>330</v>
      </c>
      <c r="E291" s="183">
        <f>1.904</f>
        <v>1.904</v>
      </c>
      <c r="F291" s="233">
        <f>T291/E291</f>
        <v>71325.11</v>
      </c>
      <c r="G291" s="237">
        <f t="shared" si="131"/>
        <v>135803.01</v>
      </c>
      <c r="J291" s="424"/>
      <c r="K291" s="425"/>
      <c r="L291" s="448"/>
      <c r="M291" s="176"/>
      <c r="N291" s="465">
        <f>(1.904*2*2141.78*17.26+27815+6474)/2</f>
        <v>87530</v>
      </c>
      <c r="O291" s="375">
        <f t="shared" si="114"/>
        <v>87530</v>
      </c>
      <c r="P291" s="362">
        <f>K291+L291+M291+N291</f>
        <v>87530</v>
      </c>
      <c r="Q291" s="362">
        <f>P291*$Q$12</f>
        <v>1240</v>
      </c>
      <c r="R291" s="362">
        <f>P291*$R$12</f>
        <v>1498</v>
      </c>
      <c r="S291" s="362">
        <f>P291+Q291+R291</f>
        <v>90268</v>
      </c>
      <c r="T291" s="362">
        <f>S291*'НМЦК подряд'!$C$16*'НМЦК подряд'!$E$16</f>
        <v>135803</v>
      </c>
      <c r="U291" s="427">
        <f>L291+M291+N291</f>
        <v>87530</v>
      </c>
      <c r="V291" s="234"/>
    </row>
    <row r="292" ht="47.25" spans="1:23">
      <c r="A292" s="174" t="s">
        <v>880</v>
      </c>
      <c r="B292" s="196" t="s">
        <v>881</v>
      </c>
      <c r="C292" s="181" t="s">
        <v>882</v>
      </c>
      <c r="D292" s="180" t="s">
        <v>330</v>
      </c>
      <c r="E292" s="183">
        <f>1.904</f>
        <v>1.904</v>
      </c>
      <c r="F292" s="233">
        <f>T292/E292</f>
        <v>15515.23</v>
      </c>
      <c r="G292" s="237">
        <f t="shared" si="131"/>
        <v>29541</v>
      </c>
      <c r="J292" s="424"/>
      <c r="K292" s="425"/>
      <c r="L292" s="448"/>
      <c r="M292" s="176"/>
      <c r="N292" s="465">
        <f>(19040*2)/2</f>
        <v>19040</v>
      </c>
      <c r="O292" s="375">
        <f t="shared" si="114"/>
        <v>19040</v>
      </c>
      <c r="P292" s="362">
        <f>K292+L292+M292+N292</f>
        <v>19040</v>
      </c>
      <c r="Q292" s="362">
        <f>P292*$Q$12</f>
        <v>270</v>
      </c>
      <c r="R292" s="362">
        <f>P292*$R$12</f>
        <v>326</v>
      </c>
      <c r="S292" s="362">
        <f>P292+Q292+R292</f>
        <v>19636</v>
      </c>
      <c r="T292" s="362">
        <f>S292*'НМЦК подряд'!$C$16*'НМЦК подряд'!$E$16</f>
        <v>29541</v>
      </c>
      <c r="U292" s="427">
        <f>L292+M292+N292</f>
        <v>19040</v>
      </c>
      <c r="V292" s="234"/>
    </row>
    <row r="293" ht="48" spans="1:23">
      <c r="A293" s="174" t="s">
        <v>883</v>
      </c>
      <c r="B293" s="196" t="s">
        <v>884</v>
      </c>
      <c r="C293" s="181" t="s">
        <v>885</v>
      </c>
      <c r="D293" s="180" t="s">
        <v>330</v>
      </c>
      <c r="E293" s="183">
        <f>1.904</f>
        <v>1.904</v>
      </c>
      <c r="F293" s="233">
        <f>T293/E293</f>
        <v>6287.29</v>
      </c>
      <c r="G293" s="237">
        <f t="shared" si="131"/>
        <v>11971</v>
      </c>
      <c r="J293" s="424"/>
      <c r="K293" s="425"/>
      <c r="L293" s="448"/>
      <c r="M293" s="176"/>
      <c r="N293" s="465">
        <f>(1.904*76.39*17.26*2+1.904*2*0.31*511*17.26)/2</f>
        <v>7716</v>
      </c>
      <c r="O293" s="375">
        <f t="shared" si="114"/>
        <v>7716</v>
      </c>
      <c r="P293" s="362">
        <f>K293+L293+M293+N293</f>
        <v>7716</v>
      </c>
      <c r="Q293" s="362">
        <f>P293*$Q$12</f>
        <v>109</v>
      </c>
      <c r="R293" s="362">
        <f>P293*$R$12</f>
        <v>132</v>
      </c>
      <c r="S293" s="362">
        <f>P293+Q293+R293</f>
        <v>7957</v>
      </c>
      <c r="T293" s="362">
        <f>S293*'НМЦК подряд'!$C$16*'НМЦК подряд'!$E$16</f>
        <v>11971</v>
      </c>
      <c r="U293" s="427">
        <f>L293+M293+N293</f>
        <v>7716</v>
      </c>
      <c r="V293" s="234"/>
    </row>
    <row r="294" ht="16.5" spans="1:23">
      <c r="A294" s="250"/>
      <c r="B294" s="386"/>
      <c r="C294" s="239" t="s">
        <v>886</v>
      </c>
      <c r="D294" s="251"/>
      <c r="E294" s="251"/>
      <c r="F294" s="324"/>
      <c r="G294" s="242">
        <f>SUM(G291:G293)</f>
        <v>177315.01</v>
      </c>
      <c r="J294" s="424"/>
      <c r="K294" s="425"/>
      <c r="L294" s="448"/>
      <c r="M294" s="176"/>
      <c r="N294" s="465"/>
      <c r="O294" s="375"/>
      <c r="P294" s="362"/>
      <c r="Q294" s="362"/>
      <c r="R294" s="362"/>
      <c r="S294" s="362"/>
      <c r="T294" s="362"/>
      <c r="U294" s="427"/>
      <c r="V294" s="234"/>
    </row>
    <row r="295" spans="1:23">
      <c r="A295" s="326" t="s">
        <v>887</v>
      </c>
      <c r="B295" s="415"/>
      <c r="C295" s="274"/>
      <c r="D295" s="307"/>
      <c r="E295" s="275"/>
      <c r="F295" s="276"/>
      <c r="G295" s="308">
        <f t="shared" si="131"/>
        <v>0</v>
      </c>
      <c r="J295" s="424"/>
      <c r="K295" s="425">
        <f>+K302</f>
        <v>0</v>
      </c>
      <c r="L295" s="448"/>
      <c r="M295" s="176"/>
      <c r="N295" s="465"/>
      <c r="O295" s="375">
        <f>SUM(O289:O293)</f>
        <v>114286</v>
      </c>
      <c r="P295" s="362">
        <f>P291+P292+P293</f>
        <v>114286</v>
      </c>
      <c r="Q295" s="362">
        <f t="shared" ref="Q295:U295" si="134">Q291+Q292+Q293</f>
        <v>1619</v>
      </c>
      <c r="R295" s="362">
        <f t="shared" si="134"/>
        <v>1956</v>
      </c>
      <c r="S295" s="362">
        <f t="shared" ref="S295:S301" si="135">P295+Q295+R295</f>
        <v>117861</v>
      </c>
      <c r="T295" s="362">
        <f t="shared" si="134"/>
        <v>177315</v>
      </c>
      <c r="U295" s="362">
        <f t="shared" si="134"/>
        <v>114286</v>
      </c>
      <c r="V295" s="234"/>
    </row>
    <row r="296" ht="47.25" spans="1:23">
      <c r="A296" s="174" t="s">
        <v>888</v>
      </c>
      <c r="B296" s="180" t="s">
        <v>889</v>
      </c>
      <c r="C296" s="181" t="s">
        <v>879</v>
      </c>
      <c r="D296" s="180" t="s">
        <v>330</v>
      </c>
      <c r="E296" s="183">
        <f>1.904</f>
        <v>1.904</v>
      </c>
      <c r="F296" s="233">
        <f>T296/E296</f>
        <v>71325.63</v>
      </c>
      <c r="G296" s="237">
        <f t="shared" si="131"/>
        <v>135804</v>
      </c>
      <c r="J296" s="424"/>
      <c r="K296" s="425"/>
      <c r="L296" s="448"/>
      <c r="M296" s="176"/>
      <c r="N296" s="465">
        <f>(1.904*2*2141.78*17.26+27815+6474)/2</f>
        <v>87530</v>
      </c>
      <c r="O296" s="375">
        <f t="shared" si="114"/>
        <v>87530</v>
      </c>
      <c r="P296" s="362">
        <f>K296+L296+M296+N296</f>
        <v>87530</v>
      </c>
      <c r="Q296" s="362">
        <f t="shared" ref="Q296:Q301" si="136">P296*$Q$12</f>
        <v>1240</v>
      </c>
      <c r="R296" s="362">
        <f t="shared" ref="R296:R301" si="137">P296*$R$12</f>
        <v>1498</v>
      </c>
      <c r="S296" s="362">
        <f t="shared" si="135"/>
        <v>90268</v>
      </c>
      <c r="T296" s="362">
        <f>S296*'НМЦК подряд'!$C$16*'НМЦК подряд'!$E$16+0.7</f>
        <v>135804</v>
      </c>
      <c r="U296" s="427"/>
      <c r="V296" s="234"/>
    </row>
    <row r="297" ht="47.25" spans="1:23">
      <c r="A297" s="174" t="s">
        <v>890</v>
      </c>
      <c r="B297" s="180" t="s">
        <v>891</v>
      </c>
      <c r="C297" s="181" t="s">
        <v>882</v>
      </c>
      <c r="D297" s="180" t="s">
        <v>330</v>
      </c>
      <c r="E297" s="183">
        <f>1.904</f>
        <v>1.904</v>
      </c>
      <c r="F297" s="233">
        <f t="shared" ref="F297:F301" si="138">T297/E297</f>
        <v>15515.23</v>
      </c>
      <c r="G297" s="237">
        <f t="shared" si="131"/>
        <v>29541</v>
      </c>
      <c r="J297" s="424"/>
      <c r="K297" s="425"/>
      <c r="L297" s="448"/>
      <c r="M297" s="176"/>
      <c r="N297" s="465">
        <f>(19040*2)/2</f>
        <v>19040</v>
      </c>
      <c r="O297" s="375">
        <f t="shared" si="114"/>
        <v>19040</v>
      </c>
      <c r="P297" s="362">
        <f>K297+L297+M297+N297</f>
        <v>19040</v>
      </c>
      <c r="Q297" s="362">
        <f t="shared" si="136"/>
        <v>270</v>
      </c>
      <c r="R297" s="362">
        <f t="shared" si="137"/>
        <v>326</v>
      </c>
      <c r="S297" s="362">
        <f t="shared" si="135"/>
        <v>19636</v>
      </c>
      <c r="T297" s="362">
        <f>S297*'НМЦК подряд'!$C$16*'НМЦК подряд'!$E$16</f>
        <v>29541</v>
      </c>
      <c r="U297" s="427"/>
      <c r="V297" s="234"/>
    </row>
    <row r="298" ht="47.25" spans="1:23">
      <c r="A298" s="174" t="s">
        <v>892</v>
      </c>
      <c r="B298" s="180" t="s">
        <v>893</v>
      </c>
      <c r="C298" s="181" t="s">
        <v>885</v>
      </c>
      <c r="D298" s="180" t="s">
        <v>330</v>
      </c>
      <c r="E298" s="183">
        <f>1.904</f>
        <v>1.904</v>
      </c>
      <c r="F298" s="233">
        <f t="shared" si="138"/>
        <v>6287.29</v>
      </c>
      <c r="G298" s="237">
        <f t="shared" si="131"/>
        <v>11971</v>
      </c>
      <c r="J298" s="424"/>
      <c r="K298" s="425"/>
      <c r="L298" s="448"/>
      <c r="M298" s="176"/>
      <c r="N298" s="465">
        <f>(1.904*76.39*17.26*2+1.904*2*0.31*511*17.26)/2</f>
        <v>7716</v>
      </c>
      <c r="O298" s="375">
        <f t="shared" si="114"/>
        <v>7716</v>
      </c>
      <c r="P298" s="362">
        <f>K298+L298+M298+N298</f>
        <v>7716</v>
      </c>
      <c r="Q298" s="362">
        <f t="shared" si="136"/>
        <v>109</v>
      </c>
      <c r="R298" s="362">
        <f t="shared" si="137"/>
        <v>132</v>
      </c>
      <c r="S298" s="362">
        <f t="shared" si="135"/>
        <v>7957</v>
      </c>
      <c r="T298" s="362">
        <f>S298*'НМЦК подряд'!$C$16*'НМЦК подряд'!$E$16</f>
        <v>11971</v>
      </c>
      <c r="U298" s="427"/>
      <c r="V298" s="234"/>
    </row>
    <row r="299" ht="31.5" spans="1:23">
      <c r="A299" s="174" t="s">
        <v>894</v>
      </c>
      <c r="B299" s="180" t="s">
        <v>895</v>
      </c>
      <c r="C299" s="181" t="s">
        <v>896</v>
      </c>
      <c r="D299" s="180" t="s">
        <v>274</v>
      </c>
      <c r="E299" s="183">
        <v>51.072</v>
      </c>
      <c r="F299" s="233">
        <f t="shared" si="138"/>
        <v>6100.17</v>
      </c>
      <c r="G299" s="237">
        <f t="shared" si="131"/>
        <v>311547.88</v>
      </c>
      <c r="J299" s="424"/>
      <c r="K299" s="425"/>
      <c r="L299" s="448"/>
      <c r="M299" s="176"/>
      <c r="N299" s="465">
        <f>51.31*76.39*17.26+133152</f>
        <v>200804</v>
      </c>
      <c r="O299" s="375">
        <f t="shared" si="114"/>
        <v>200804</v>
      </c>
      <c r="P299" s="362">
        <f>K301+L301+M301+N299</f>
        <v>200804</v>
      </c>
      <c r="Q299" s="362">
        <f t="shared" si="136"/>
        <v>2844</v>
      </c>
      <c r="R299" s="362">
        <f t="shared" si="137"/>
        <v>3437</v>
      </c>
      <c r="S299" s="362">
        <f t="shared" si="135"/>
        <v>207085</v>
      </c>
      <c r="T299" s="362">
        <f>S299*'НМЦК подряд'!$C$16*'НМЦК подряд'!$E$16</f>
        <v>311548</v>
      </c>
      <c r="U299" s="427">
        <f>L299+M299+N301</f>
        <v>1481426</v>
      </c>
      <c r="V299" s="234"/>
    </row>
    <row r="300" ht="31.5" spans="1:23">
      <c r="A300" s="174" t="s">
        <v>897</v>
      </c>
      <c r="B300" s="180" t="s">
        <v>898</v>
      </c>
      <c r="C300" s="181" t="s">
        <v>899</v>
      </c>
      <c r="D300" s="180" t="s">
        <v>274</v>
      </c>
      <c r="E300" s="183">
        <v>96</v>
      </c>
      <c r="F300" s="233">
        <f t="shared" si="138"/>
        <v>6395.86</v>
      </c>
      <c r="G300" s="237">
        <f t="shared" si="131"/>
        <v>614002.56</v>
      </c>
      <c r="J300" s="424"/>
      <c r="K300" s="425"/>
      <c r="L300" s="448"/>
      <c r="M300" s="176"/>
      <c r="N300" s="465">
        <f>96*76.39*17.26+269157</f>
        <v>395732</v>
      </c>
      <c r="O300" s="375">
        <f t="shared" si="114"/>
        <v>395732</v>
      </c>
      <c r="P300" s="362">
        <f>K300+L300+M300+N300</f>
        <v>395732</v>
      </c>
      <c r="Q300" s="362">
        <f t="shared" si="136"/>
        <v>5605</v>
      </c>
      <c r="R300" s="362">
        <f t="shared" si="137"/>
        <v>6774</v>
      </c>
      <c r="S300" s="362">
        <f t="shared" si="135"/>
        <v>408111</v>
      </c>
      <c r="T300" s="362">
        <f>S300*'НМЦК подряд'!$C$16*'НМЦК подряд'!$E$16+23.06</f>
        <v>614003</v>
      </c>
      <c r="U300" s="427">
        <f>L300+M300+N300</f>
        <v>395732</v>
      </c>
      <c r="V300" s="234"/>
    </row>
    <row r="301" ht="32.25" spans="1:23">
      <c r="A301" s="174" t="s">
        <v>900</v>
      </c>
      <c r="B301" s="180" t="s">
        <v>901</v>
      </c>
      <c r="C301" s="181" t="s">
        <v>902</v>
      </c>
      <c r="D301" s="180" t="s">
        <v>903</v>
      </c>
      <c r="E301" s="183">
        <v>36</v>
      </c>
      <c r="F301" s="233">
        <f t="shared" si="138"/>
        <v>63845.44</v>
      </c>
      <c r="G301" s="237">
        <f t="shared" si="131"/>
        <v>2298435.84</v>
      </c>
      <c r="J301" s="424"/>
      <c r="K301" s="425"/>
      <c r="L301" s="448"/>
      <c r="M301" s="176"/>
      <c r="N301" s="465">
        <v>1481426</v>
      </c>
      <c r="O301" s="375">
        <f t="shared" si="114"/>
        <v>1481426</v>
      </c>
      <c r="P301" s="362">
        <f>K299+L299+M299+N301</f>
        <v>1481426</v>
      </c>
      <c r="Q301" s="362">
        <f t="shared" si="136"/>
        <v>20981</v>
      </c>
      <c r="R301" s="362">
        <f t="shared" si="137"/>
        <v>25359</v>
      </c>
      <c r="S301" s="362">
        <f t="shared" si="135"/>
        <v>1527766</v>
      </c>
      <c r="T301" s="362">
        <f>S301*'НМЦК подряд'!$C$16*'НМЦК подряд'!$E$16</f>
        <v>2298436</v>
      </c>
      <c r="U301" s="427">
        <f>L301+M301+N299</f>
        <v>200804</v>
      </c>
      <c r="V301" s="234"/>
    </row>
    <row r="302" ht="16.5" spans="1:23">
      <c r="A302" s="250"/>
      <c r="B302" s="386"/>
      <c r="C302" s="239" t="s">
        <v>904</v>
      </c>
      <c r="D302" s="251"/>
      <c r="E302" s="251"/>
      <c r="F302" s="324"/>
      <c r="G302" s="242">
        <f>SUM(G296:G301)</f>
        <v>3401302.28</v>
      </c>
      <c r="J302" s="376"/>
      <c r="K302" s="466"/>
      <c r="L302" s="467"/>
      <c r="M302" s="468"/>
      <c r="N302" s="281"/>
      <c r="O302" s="375"/>
      <c r="P302" s="469">
        <f>P301+P300+P299+P298+P297+P296</f>
        <v>2192248</v>
      </c>
      <c r="Q302" s="469">
        <f t="shared" ref="Q302:T302" si="139">Q301+Q300+Q299+Q298+Q297+Q296</f>
        <v>31049</v>
      </c>
      <c r="R302" s="469">
        <f t="shared" si="139"/>
        <v>37526</v>
      </c>
      <c r="S302" s="469">
        <f t="shared" si="139"/>
        <v>2260823</v>
      </c>
      <c r="T302" s="469">
        <f t="shared" si="139"/>
        <v>3401303</v>
      </c>
      <c r="U302" s="469">
        <f t="shared" ref="U302" si="140">U301+U300+U299</f>
        <v>2077962</v>
      </c>
      <c r="V302" s="234"/>
    </row>
    <row r="303" spans="1:23">
      <c r="A303" s="186"/>
      <c r="B303" s="180"/>
      <c r="C303" s="327" t="s">
        <v>202</v>
      </c>
      <c r="D303" s="180"/>
      <c r="E303" s="183"/>
      <c r="F303" s="233"/>
      <c r="G303" s="297">
        <f>G302+G294+G288+G272+G257+G148+G45</f>
        <v>306577695.97</v>
      </c>
      <c r="H303" s="234">
        <f>T304-G303</f>
        <v>0</v>
      </c>
      <c r="J303" s="427"/>
      <c r="K303" s="425"/>
      <c r="L303" s="448"/>
      <c r="M303" s="176"/>
      <c r="N303" s="172"/>
      <c r="O303" s="368"/>
      <c r="P303" s="362"/>
      <c r="Q303" s="362"/>
      <c r="R303" s="362"/>
      <c r="S303" s="362"/>
      <c r="T303" s="470"/>
      <c r="U303" s="176"/>
    </row>
    <row r="304" spans="1:23">
      <c r="A304" s="328"/>
      <c r="B304" s="328"/>
      <c r="C304" s="329" t="s">
        <v>905</v>
      </c>
      <c r="D304" s="330"/>
      <c r="E304" s="331"/>
      <c r="F304" s="233"/>
      <c r="G304" s="332">
        <f>'НМЦК подряд'!F21</f>
        <v>6131553.92</v>
      </c>
      <c r="H304" s="213"/>
      <c r="I304" s="213"/>
      <c r="J304" s="213"/>
      <c r="K304" s="471">
        <f>'НМЦК подряд'!B16+'НМЦК подряд'!B17</f>
        <v>189251079.88</v>
      </c>
      <c r="L304" s="471">
        <f>SUM(L14:N303)</f>
        <v>8357363.74</v>
      </c>
      <c r="M304" s="471"/>
      <c r="N304" s="471"/>
      <c r="O304" s="471"/>
      <c r="P304" s="471">
        <f>'НМЦК подряд'!B16+'НМЦК подряд'!B17+'НМЦК подряд'!B20</f>
        <v>197600559.88</v>
      </c>
      <c r="Q304" s="471">
        <f>'НМЦК подряд'!B19</f>
        <v>2798500</v>
      </c>
      <c r="R304" s="471">
        <f>'НМЦК подряд'!B18</f>
        <v>3382520</v>
      </c>
      <c r="S304" s="471">
        <f>'НМЦК подряд'!B20+'НМЦК подряд'!B19+'НМЦК подряд'!B18+'НМЦК подряд'!B17+'НМЦК подряд'!B16</f>
        <v>203781579.88</v>
      </c>
      <c r="T304" s="471">
        <f>'НМЦК подряд'!F16+'НМЦК подряд'!F17+'НМЦК подряд'!F18+'НМЦК подряд'!F19+'НМЦК подряд'!F20</f>
        <v>306577695.97</v>
      </c>
      <c r="U304" s="341"/>
      <c r="V304" s="213"/>
      <c r="W304" s="213"/>
    </row>
    <row r="305" spans="1:23">
      <c r="A305" s="186"/>
      <c r="B305" s="180"/>
      <c r="C305" s="329" t="s">
        <v>128</v>
      </c>
      <c r="D305" s="333"/>
      <c r="E305" s="331"/>
      <c r="F305" s="233"/>
      <c r="G305" s="334">
        <f>G303+G304</f>
        <v>312709249.89</v>
      </c>
      <c r="H305" s="234"/>
      <c r="J305" s="427"/>
      <c r="K305" s="425"/>
      <c r="L305" s="448"/>
      <c r="M305" s="176"/>
      <c r="N305" s="172"/>
      <c r="O305" s="368"/>
      <c r="P305" s="362"/>
      <c r="Q305" s="362"/>
      <c r="R305" s="362"/>
      <c r="S305" s="362"/>
      <c r="T305" s="470"/>
      <c r="U305" s="176">
        <f>3629080+4720398</f>
        <v>8349478</v>
      </c>
      <c r="V305" s="344"/>
    </row>
    <row r="306" spans="1:23">
      <c r="A306" s="186"/>
      <c r="B306" s="180"/>
      <c r="C306" s="329" t="s">
        <v>906</v>
      </c>
      <c r="D306" s="333"/>
      <c r="E306" s="331"/>
      <c r="F306" s="233"/>
      <c r="G306" s="334">
        <f>G305</f>
        <v>312709249.89</v>
      </c>
      <c r="H306" s="234"/>
      <c r="J306" s="427"/>
      <c r="K306" s="425"/>
      <c r="L306" s="448"/>
      <c r="M306" s="176"/>
      <c r="N306" s="172"/>
      <c r="O306" s="368"/>
      <c r="P306" s="362"/>
      <c r="Q306" s="362"/>
      <c r="R306" s="362"/>
      <c r="S306" s="362"/>
      <c r="T306" s="470"/>
      <c r="U306" s="176"/>
    </row>
    <row r="307" spans="1:23">
      <c r="A307" s="187"/>
      <c r="B307" s="187"/>
      <c r="C307" s="335" t="s">
        <v>907</v>
      </c>
      <c r="D307" s="336">
        <v>0.22</v>
      </c>
      <c r="E307" s="337"/>
      <c r="F307" s="233"/>
      <c r="G307" s="338">
        <f>G306*0.22</f>
        <v>68796034.98</v>
      </c>
      <c r="J307" s="427"/>
      <c r="K307" s="472"/>
      <c r="L307" s="473"/>
      <c r="M307" s="474"/>
      <c r="N307" s="475"/>
      <c r="O307" s="476"/>
      <c r="P307" s="477"/>
      <c r="Q307" s="477"/>
      <c r="R307" s="477"/>
      <c r="S307" s="477"/>
      <c r="T307" s="478"/>
      <c r="U307" s="176"/>
    </row>
    <row r="308" spans="1:23">
      <c r="A308" s="339"/>
      <c r="B308" s="339"/>
      <c r="C308" s="329" t="s">
        <v>908</v>
      </c>
      <c r="D308" s="340"/>
      <c r="E308" s="331"/>
      <c r="F308" s="233"/>
      <c r="G308" s="334">
        <f>G306+G307</f>
        <v>381505284.87</v>
      </c>
      <c r="H308" s="213"/>
      <c r="I308" s="213"/>
      <c r="J308" s="213"/>
      <c r="K308" s="479">
        <f>K288+K272+K257+K199+K148+K45+K201+K204+K295+K302</f>
        <v>189274997</v>
      </c>
      <c r="L308" s="479"/>
      <c r="M308" s="479"/>
      <c r="N308" s="479"/>
      <c r="O308" s="479"/>
      <c r="P308" s="479">
        <f t="shared" ref="P308:U308" si="141">P288+P272+P257+P199+P148+P45+P201+P204+P295+P302</f>
        <v>197600533</v>
      </c>
      <c r="Q308" s="479">
        <f t="shared" si="141"/>
        <v>2798509</v>
      </c>
      <c r="R308" s="479">
        <f t="shared" si="141"/>
        <v>3382525</v>
      </c>
      <c r="S308" s="479">
        <f t="shared" si="141"/>
        <v>203781567</v>
      </c>
      <c r="T308" s="479">
        <f t="shared" si="141"/>
        <v>306577693</v>
      </c>
      <c r="U308" s="480">
        <f t="shared" si="141"/>
        <v>8165326</v>
      </c>
      <c r="V308" s="213"/>
      <c r="W308" s="213"/>
    </row>
    <row r="310" s="154" customFormat="1" spans="1:23">
      <c r="A310" s="212"/>
      <c r="B310" s="212"/>
      <c r="H310" s="341"/>
      <c r="I310" s="341"/>
      <c r="J310" s="341"/>
      <c r="K310" s="481"/>
      <c r="L310" s="482"/>
      <c r="M310" s="341"/>
      <c r="N310" s="481"/>
      <c r="O310" s="483"/>
      <c r="P310" s="483"/>
      <c r="Q310" s="483"/>
      <c r="R310" s="483"/>
      <c r="S310" s="481"/>
      <c r="T310" s="484"/>
      <c r="U310" s="341"/>
      <c r="V310" s="341"/>
      <c r="W310" s="341"/>
    </row>
    <row r="311" s="154" customFormat="1" spans="1:23">
      <c r="A311" s="212"/>
      <c r="B311" s="212"/>
      <c r="H311" s="341"/>
      <c r="I311" s="341"/>
      <c r="J311" s="341"/>
      <c r="K311" s="481"/>
      <c r="L311" s="482"/>
      <c r="M311" s="341"/>
      <c r="N311" s="481"/>
      <c r="O311" s="481"/>
      <c r="P311" s="485"/>
      <c r="Q311" s="481"/>
      <c r="R311" s="481"/>
      <c r="S311" s="481"/>
      <c r="T311" s="484"/>
      <c r="U311" s="341"/>
      <c r="V311" s="341"/>
      <c r="W311" s="341"/>
    </row>
    <row r="312" s="154" customFormat="1" spans="1:23">
      <c r="A312" s="212"/>
      <c r="B312" s="212"/>
      <c r="H312" s="341"/>
      <c r="I312" s="341"/>
      <c r="J312" s="341"/>
      <c r="K312" s="481"/>
      <c r="L312" s="482"/>
      <c r="M312" s="341"/>
      <c r="N312" s="481"/>
      <c r="O312" s="481"/>
      <c r="P312" s="481"/>
      <c r="Q312" s="481"/>
      <c r="R312" s="481"/>
      <c r="S312" s="481"/>
      <c r="T312" s="484"/>
      <c r="U312" s="341"/>
      <c r="V312" s="341"/>
      <c r="W312" s="341"/>
    </row>
    <row r="313" s="154" customFormat="1" spans="1:23">
      <c r="A313" s="212"/>
      <c r="B313" s="212"/>
      <c r="H313" s="341"/>
      <c r="I313" s="341"/>
      <c r="J313" s="341"/>
      <c r="K313" s="481"/>
      <c r="L313" s="482"/>
      <c r="M313" s="341"/>
      <c r="N313" s="481"/>
      <c r="O313" s="481"/>
      <c r="P313" s="481"/>
      <c r="Q313" s="481"/>
      <c r="R313" s="481"/>
      <c r="S313" s="481"/>
      <c r="T313" s="484"/>
      <c r="U313" s="341"/>
      <c r="V313" s="341"/>
      <c r="W313" s="341"/>
    </row>
    <row r="314" spans="1:23">
      <c r="A314" s="213"/>
      <c r="B314" s="213"/>
      <c r="C314" s="214"/>
      <c r="D314" s="215"/>
      <c r="E314" s="215"/>
      <c r="F314" s="342"/>
      <c r="G314" s="343"/>
      <c r="H314" s="213"/>
      <c r="I314" s="213"/>
      <c r="J314" s="213"/>
      <c r="K314" s="258"/>
      <c r="L314" s="486"/>
      <c r="M314" s="213"/>
      <c r="N314" s="258"/>
      <c r="O314" s="258"/>
      <c r="P314" s="258"/>
      <c r="Q314" s="258"/>
      <c r="R314" s="258"/>
      <c r="S314" s="481"/>
      <c r="T314" s="484"/>
      <c r="U314" s="213"/>
      <c r="V314" s="213"/>
      <c r="W314" s="213"/>
    </row>
    <row r="315" spans="1:23">
      <c r="S315" s="219"/>
      <c r="T315" s="484"/>
    </row>
    <row r="316" spans="1:23">
      <c r="S316" s="219"/>
      <c r="T316" s="219"/>
    </row>
    <row r="317" spans="1:23">
      <c r="S317" s="219"/>
      <c r="T317" s="219"/>
    </row>
    <row r="318" spans="1:23">
      <c r="S318" s="219"/>
      <c r="T318" s="219"/>
    </row>
    <row r="319" spans="1:23">
      <c r="S319" s="219"/>
      <c r="T319" s="219"/>
    </row>
    <row r="320" spans="1:23">
      <c r="S320" s="219"/>
      <c r="T320" s="219"/>
    </row>
    <row r="321" spans="19:20">
      <c r="S321" s="219"/>
      <c r="T321" s="219"/>
    </row>
    <row r="322" spans="19:20">
      <c r="S322" s="219"/>
      <c r="T322" s="219"/>
    </row>
    <row r="323" spans="19:20">
      <c r="S323" s="219"/>
      <c r="T323" s="219"/>
    </row>
    <row r="324" spans="19:20">
      <c r="S324" s="219"/>
      <c r="T324" s="219"/>
    </row>
  </sheetData>
  <mergeCells count="33">
    <mergeCell ref="F1:G1"/>
    <mergeCell ref="A5:G5"/>
    <mergeCell ref="A7:G7"/>
    <mergeCell ref="L8:M8"/>
    <mergeCell ref="Q11:R11"/>
    <mergeCell ref="A12:C12"/>
    <mergeCell ref="A13:C13"/>
    <mergeCell ref="A17:C17"/>
    <mergeCell ref="A21:C21"/>
    <mergeCell ref="A22:C22"/>
    <mergeCell ref="A35:C35"/>
    <mergeCell ref="A42:C42"/>
    <mergeCell ref="A47:C47"/>
    <mergeCell ref="A149:C149"/>
    <mergeCell ref="A150:C150"/>
    <mergeCell ref="A200:C200"/>
    <mergeCell ref="A203:C203"/>
    <mergeCell ref="A206:C206"/>
    <mergeCell ref="A207:C207"/>
    <mergeCell ref="A216:C216"/>
    <mergeCell ref="A226:C226"/>
    <mergeCell ref="A237:C237"/>
    <mergeCell ref="A241:C241"/>
    <mergeCell ref="A247:C247"/>
    <mergeCell ref="A290:C290"/>
    <mergeCell ref="A295:C295"/>
    <mergeCell ref="A9:A10"/>
    <mergeCell ref="B9:B10"/>
    <mergeCell ref="C9:C10"/>
    <mergeCell ref="D9:D10"/>
    <mergeCell ref="E9:E10"/>
    <mergeCell ref="F9:F10"/>
    <mergeCell ref="G9:G10"/>
  </mergeCells>
  <pageMargins left="0.7" right="0.7" top="0.75" bottom="0.75" header="0.3" footer="0.3"/>
  <pageSetup paperSize="9" scale="52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4"/>
  <sheetViews>
    <sheetView tabSelected="1" view="pageBreakPreview" zoomScale="70" zoomScaleNormal="70" workbookViewId="0">
      <selection activeCell="B9" sqref="B9:B10"/>
    </sheetView>
  </sheetViews>
  <sheetFormatPr defaultColWidth="9" defaultRowHeight="15.75" outlineLevelCol="7"/>
  <cols>
    <col min="1" max="1" width="11.7142857142857" style="152" customWidth="1"/>
    <col min="2" max="2" width="64.2857142857143" style="152" customWidth="1"/>
    <col min="3" max="3" width="12.8571428571429" style="155" customWidth="1"/>
    <col min="4" max="4" width="11.4285714285714" style="155" customWidth="1"/>
    <col min="5" max="5" width="20.7142857142857" style="217" customWidth="1"/>
    <col min="6" max="6" width="20.8571428571429" style="152" customWidth="1"/>
    <col min="7" max="7" width="20.4285714285714" style="152" customWidth="1"/>
    <col min="8" max="8" width="9.14285714285714" style="152"/>
    <col min="9" max="11" width="9.14285714285714" style="156"/>
    <col min="12" max="12" width="9" style="156" customWidth="1"/>
    <col min="13" max="16384" width="9.14285714285714" style="156"/>
  </cols>
  <sheetData>
    <row r="1" ht="23.25" customHeight="1" spans="1:8">
      <c r="C1" s="218"/>
      <c r="E1" s="219" t="s">
        <v>219</v>
      </c>
      <c r="F1" s="219"/>
      <c r="G1" s="218"/>
      <c r="H1" s="218"/>
    </row>
    <row r="2" ht="24" customHeight="1" spans="1:8">
      <c r="B2" s="220"/>
      <c r="C2" s="218"/>
      <c r="E2" s="221"/>
      <c r="F2" s="9" t="s">
        <v>221</v>
      </c>
      <c r="G2" s="218"/>
      <c r="H2" s="218"/>
    </row>
    <row r="3" ht="48.75" customHeight="1" spans="1:8">
      <c r="A3" s="222"/>
      <c r="B3" s="218"/>
      <c r="C3" s="218"/>
      <c r="E3" s="221"/>
      <c r="F3" s="9" t="s">
        <v>909</v>
      </c>
      <c r="G3" s="218"/>
      <c r="H3" s="218"/>
    </row>
    <row r="4" spans="1:8">
      <c r="A4" s="222"/>
      <c r="B4" s="218"/>
      <c r="C4" s="218"/>
      <c r="E4" s="221"/>
      <c r="F4" s="9"/>
      <c r="G4" s="218"/>
      <c r="H4" s="218"/>
    </row>
    <row r="5" spans="1:8">
      <c r="A5" s="223" t="s">
        <v>910</v>
      </c>
      <c r="B5" s="223"/>
      <c r="C5" s="223"/>
      <c r="D5" s="223"/>
      <c r="E5" s="223"/>
      <c r="F5" s="223"/>
      <c r="G5" s="223"/>
      <c r="H5" s="224"/>
    </row>
    <row r="6" spans="1:8">
      <c r="A6" s="224"/>
      <c r="B6" s="222"/>
      <c r="F6" s="9"/>
      <c r="G6" s="224"/>
      <c r="H6" s="224"/>
    </row>
    <row r="7" spans="1:8">
      <c r="A7" s="225" t="str">
        <f>Справка!B5</f>
        <v>Строительство причальных сооружений через протоку Озерная в Усть-Камчатском районе Камчатского края</v>
      </c>
      <c r="B7" s="225"/>
      <c r="C7" s="225"/>
      <c r="D7" s="225"/>
      <c r="E7" s="225"/>
      <c r="F7" s="225"/>
      <c r="G7" s="225"/>
      <c r="H7" s="226"/>
    </row>
    <row r="8" spans="1:8">
      <c r="A8" s="224"/>
      <c r="B8" s="222"/>
      <c r="F8" s="9"/>
      <c r="G8" s="224"/>
      <c r="H8" s="224"/>
    </row>
    <row r="9" ht="47.25" customHeight="1" spans="1:8">
      <c r="A9" s="170" t="s">
        <v>226</v>
      </c>
      <c r="B9" s="170" t="s">
        <v>228</v>
      </c>
      <c r="C9" s="170" t="s">
        <v>229</v>
      </c>
      <c r="D9" s="170" t="s">
        <v>230</v>
      </c>
      <c r="E9" s="227" t="s">
        <v>231</v>
      </c>
      <c r="F9" s="170" t="s">
        <v>232</v>
      </c>
      <c r="G9" s="228"/>
      <c r="H9" s="155"/>
    </row>
    <row r="10" ht="87.75" customHeight="1" spans="1:8">
      <c r="A10" s="170"/>
      <c r="B10" s="170"/>
      <c r="C10" s="170"/>
      <c r="D10" s="170"/>
      <c r="E10" s="227"/>
      <c r="F10" s="170"/>
      <c r="G10" s="167"/>
      <c r="H10" s="229"/>
    </row>
    <row r="11" customHeight="1" spans="1:8">
      <c r="A11" s="170" t="s">
        <v>240</v>
      </c>
      <c r="B11" s="170" t="s">
        <v>242</v>
      </c>
      <c r="C11" s="170" t="s">
        <v>243</v>
      </c>
      <c r="D11" s="170" t="s">
        <v>244</v>
      </c>
      <c r="E11" s="227" t="s">
        <v>245</v>
      </c>
      <c r="F11" s="170" t="s">
        <v>246</v>
      </c>
      <c r="G11" s="167"/>
      <c r="H11" s="229"/>
    </row>
    <row r="12" spans="1:8">
      <c r="A12" s="230" t="s">
        <v>178</v>
      </c>
      <c r="B12" s="231"/>
      <c r="C12" s="172"/>
      <c r="D12" s="172"/>
      <c r="E12" s="232"/>
      <c r="F12" s="176"/>
    </row>
    <row r="13" spans="1:8">
      <c r="A13" s="173" t="s">
        <v>247</v>
      </c>
      <c r="B13" s="173"/>
      <c r="C13" s="172"/>
      <c r="D13" s="172"/>
      <c r="E13" s="232"/>
      <c r="F13" s="176"/>
    </row>
    <row r="14" spans="1:8">
      <c r="A14" s="174" t="s">
        <v>248</v>
      </c>
      <c r="B14" s="175" t="s">
        <v>250</v>
      </c>
      <c r="C14" s="172" t="s">
        <v>251</v>
      </c>
      <c r="D14" s="172">
        <v>0.335</v>
      </c>
      <c r="E14" s="233">
        <v>36217.91</v>
      </c>
      <c r="F14" s="233">
        <f>E14*D14</f>
        <v>12133</v>
      </c>
      <c r="G14" s="234"/>
    </row>
    <row r="15" ht="16.5" spans="1:8">
      <c r="A15" s="174" t="s">
        <v>252</v>
      </c>
      <c r="B15" s="235" t="s">
        <v>254</v>
      </c>
      <c r="C15" s="236" t="s">
        <v>251</v>
      </c>
      <c r="D15" s="236">
        <v>0.9</v>
      </c>
      <c r="E15" s="237">
        <v>3326.67</v>
      </c>
      <c r="F15" s="237">
        <f>E15*D15</f>
        <v>2994</v>
      </c>
      <c r="G15" s="234"/>
    </row>
    <row r="16" ht="16.5" spans="1:8">
      <c r="A16" s="238"/>
      <c r="B16" s="239" t="s">
        <v>255</v>
      </c>
      <c r="C16" s="240"/>
      <c r="D16" s="240"/>
      <c r="E16" s="241"/>
      <c r="F16" s="242">
        <f>SUM(F14:F15)</f>
        <v>15127</v>
      </c>
      <c r="G16" s="234"/>
    </row>
    <row r="17" customHeight="1" spans="1:8">
      <c r="A17" s="243" t="s">
        <v>256</v>
      </c>
      <c r="B17" s="244"/>
      <c r="C17" s="245"/>
      <c r="D17" s="245"/>
      <c r="E17" s="246"/>
      <c r="F17" s="247"/>
      <c r="G17" s="234"/>
    </row>
    <row r="18" ht="31.5" spans="1:8">
      <c r="A18" s="174" t="s">
        <v>257</v>
      </c>
      <c r="B18" s="175" t="s">
        <v>259</v>
      </c>
      <c r="C18" s="172" t="s">
        <v>260</v>
      </c>
      <c r="D18" s="172">
        <v>1</v>
      </c>
      <c r="E18" s="233">
        <v>5650864</v>
      </c>
      <c r="F18" s="248">
        <f>E18*D18</f>
        <v>5650864</v>
      </c>
      <c r="G18" s="234"/>
    </row>
    <row r="19" ht="32.25" spans="1:8">
      <c r="A19" s="174" t="s">
        <v>261</v>
      </c>
      <c r="B19" s="235" t="s">
        <v>263</v>
      </c>
      <c r="C19" s="236" t="s">
        <v>260</v>
      </c>
      <c r="D19" s="236">
        <v>1</v>
      </c>
      <c r="E19" s="237">
        <v>6285005</v>
      </c>
      <c r="F19" s="249">
        <f>E19*D19</f>
        <v>6285005</v>
      </c>
      <c r="G19" s="234"/>
    </row>
    <row r="20" ht="16.5" spans="1:8">
      <c r="A20" s="250"/>
      <c r="B20" s="239" t="s">
        <v>264</v>
      </c>
      <c r="C20" s="251"/>
      <c r="D20" s="251"/>
      <c r="E20" s="252"/>
      <c r="F20" s="242">
        <f>SUM(F18:F19)</f>
        <v>11935869</v>
      </c>
      <c r="G20" s="234"/>
    </row>
    <row r="21" spans="1:8">
      <c r="A21" s="253" t="s">
        <v>265</v>
      </c>
      <c r="B21" s="254"/>
      <c r="C21" s="255"/>
      <c r="D21" s="255"/>
      <c r="E21" s="256"/>
      <c r="F21" s="257"/>
      <c r="G21" s="234"/>
      <c r="H21" s="258"/>
    </row>
    <row r="22" spans="1:8">
      <c r="A22" s="259" t="s">
        <v>266</v>
      </c>
      <c r="B22" s="260"/>
      <c r="C22" s="180"/>
      <c r="D22" s="180"/>
      <c r="E22" s="261"/>
      <c r="F22" s="262"/>
      <c r="G22" s="234"/>
      <c r="H22" s="263"/>
    </row>
    <row r="23" spans="1:8">
      <c r="A23" s="174" t="s">
        <v>267</v>
      </c>
      <c r="B23" s="181" t="s">
        <v>269</v>
      </c>
      <c r="C23" s="180" t="s">
        <v>270</v>
      </c>
      <c r="D23" s="182">
        <v>750</v>
      </c>
      <c r="E23" s="233">
        <v>871.52</v>
      </c>
      <c r="F23" s="264">
        <f>D23*E23</f>
        <v>653640</v>
      </c>
      <c r="G23" s="234"/>
      <c r="H23" s="263"/>
    </row>
    <row r="24" spans="1:8">
      <c r="A24" s="174" t="s">
        <v>271</v>
      </c>
      <c r="B24" s="181" t="s">
        <v>273</v>
      </c>
      <c r="C24" s="183" t="s">
        <v>274</v>
      </c>
      <c r="D24" s="180">
        <v>100</v>
      </c>
      <c r="E24" s="233">
        <v>140.15</v>
      </c>
      <c r="F24" s="264">
        <f t="shared" ref="F24:F33" si="0">D24*E24</f>
        <v>14015</v>
      </c>
      <c r="G24" s="234"/>
      <c r="H24" s="263"/>
    </row>
    <row r="25" spans="1:8">
      <c r="A25" s="174" t="s">
        <v>275</v>
      </c>
      <c r="B25" s="184" t="s">
        <v>277</v>
      </c>
      <c r="C25" s="183" t="s">
        <v>274</v>
      </c>
      <c r="D25" s="183">
        <v>100</v>
      </c>
      <c r="E25" s="233">
        <v>228.57</v>
      </c>
      <c r="F25" s="264">
        <f t="shared" si="0"/>
        <v>22857</v>
      </c>
      <c r="G25" s="234"/>
      <c r="H25" s="263"/>
    </row>
    <row r="26" spans="1:8">
      <c r="A26" s="174" t="s">
        <v>278</v>
      </c>
      <c r="B26" s="184" t="s">
        <v>280</v>
      </c>
      <c r="C26" s="183" t="s">
        <v>274</v>
      </c>
      <c r="D26" s="183">
        <v>200</v>
      </c>
      <c r="E26" s="233">
        <v>39.77</v>
      </c>
      <c r="F26" s="264">
        <f t="shared" si="0"/>
        <v>7954</v>
      </c>
      <c r="G26" s="234"/>
      <c r="H26" s="263"/>
    </row>
    <row r="27" spans="1:8">
      <c r="A27" s="174" t="s">
        <v>281</v>
      </c>
      <c r="B27" s="184" t="s">
        <v>283</v>
      </c>
      <c r="C27" s="183" t="s">
        <v>284</v>
      </c>
      <c r="D27" s="183">
        <v>6.57</v>
      </c>
      <c r="E27" s="233">
        <v>171729.98</v>
      </c>
      <c r="F27" s="264">
        <f t="shared" si="0"/>
        <v>1128265.97</v>
      </c>
      <c r="G27" s="234"/>
      <c r="H27" s="263"/>
    </row>
    <row r="28" spans="1:8">
      <c r="A28" s="174" t="s">
        <v>285</v>
      </c>
      <c r="B28" s="184" t="s">
        <v>287</v>
      </c>
      <c r="C28" s="183" t="s">
        <v>274</v>
      </c>
      <c r="D28" s="183">
        <v>12</v>
      </c>
      <c r="E28" s="233">
        <v>28581.75</v>
      </c>
      <c r="F28" s="264">
        <f t="shared" si="0"/>
        <v>342981</v>
      </c>
      <c r="G28" s="234"/>
      <c r="H28" s="263"/>
    </row>
    <row r="29" ht="22.5" customHeight="1" spans="1:8">
      <c r="A29" s="174" t="s">
        <v>288</v>
      </c>
      <c r="B29" s="185" t="s">
        <v>290</v>
      </c>
      <c r="C29" s="183" t="s">
        <v>274</v>
      </c>
      <c r="D29" s="183">
        <v>200</v>
      </c>
      <c r="E29" s="233">
        <v>140.13</v>
      </c>
      <c r="F29" s="264">
        <f t="shared" si="0"/>
        <v>28026</v>
      </c>
      <c r="G29" s="234"/>
      <c r="H29" s="263"/>
    </row>
    <row r="30" spans="1:8">
      <c r="A30" s="174" t="s">
        <v>291</v>
      </c>
      <c r="B30" s="184" t="s">
        <v>293</v>
      </c>
      <c r="C30" s="183" t="s">
        <v>284</v>
      </c>
      <c r="D30" s="183">
        <v>100</v>
      </c>
      <c r="E30" s="233">
        <v>8086.47</v>
      </c>
      <c r="F30" s="264">
        <f t="shared" si="0"/>
        <v>808647</v>
      </c>
      <c r="G30" s="234"/>
      <c r="H30" s="263"/>
    </row>
    <row r="31" spans="1:8">
      <c r="A31" s="174" t="s">
        <v>911</v>
      </c>
      <c r="B31" s="184" t="s">
        <v>296</v>
      </c>
      <c r="C31" s="183" t="s">
        <v>274</v>
      </c>
      <c r="D31" s="183">
        <v>12</v>
      </c>
      <c r="E31" s="233">
        <v>146671.75</v>
      </c>
      <c r="F31" s="264">
        <f t="shared" si="0"/>
        <v>1760061</v>
      </c>
      <c r="G31" s="234"/>
      <c r="H31" s="263"/>
    </row>
    <row r="32" spans="1:8">
      <c r="A32" s="174" t="s">
        <v>294</v>
      </c>
      <c r="B32" s="184" t="s">
        <v>299</v>
      </c>
      <c r="C32" s="183" t="s">
        <v>284</v>
      </c>
      <c r="D32" s="183">
        <v>6.57</v>
      </c>
      <c r="E32" s="233">
        <v>27220.55</v>
      </c>
      <c r="F32" s="264">
        <f t="shared" si="0"/>
        <v>178839.01</v>
      </c>
      <c r="G32" s="234"/>
      <c r="H32" s="263"/>
    </row>
    <row r="33" ht="16.5" spans="1:8">
      <c r="A33" s="174" t="s">
        <v>297</v>
      </c>
      <c r="B33" s="265" t="s">
        <v>302</v>
      </c>
      <c r="C33" s="266" t="s">
        <v>284</v>
      </c>
      <c r="D33" s="266">
        <v>150</v>
      </c>
      <c r="E33" s="237">
        <v>280.38</v>
      </c>
      <c r="F33" s="264">
        <f t="shared" si="0"/>
        <v>42057</v>
      </c>
      <c r="G33" s="234"/>
      <c r="H33" s="267"/>
    </row>
    <row r="34" ht="16.5" spans="1:8">
      <c r="A34" s="268"/>
      <c r="B34" s="239" t="s">
        <v>303</v>
      </c>
      <c r="C34" s="269"/>
      <c r="D34" s="269"/>
      <c r="E34" s="270"/>
      <c r="F34" s="271">
        <f>SUM(F23:F33)</f>
        <v>4987342.98</v>
      </c>
      <c r="G34" s="234"/>
      <c r="H34" s="272"/>
    </row>
    <row r="35" spans="1:8">
      <c r="A35" s="273" t="s">
        <v>304</v>
      </c>
      <c r="B35" s="274"/>
      <c r="C35" s="275"/>
      <c r="D35" s="275"/>
      <c r="E35" s="276"/>
      <c r="F35" s="277"/>
      <c r="G35" s="234"/>
      <c r="H35" s="263"/>
    </row>
    <row r="36" spans="1:8">
      <c r="A36" s="174" t="s">
        <v>300</v>
      </c>
      <c r="B36" s="184" t="s">
        <v>306</v>
      </c>
      <c r="C36" s="183" t="s">
        <v>274</v>
      </c>
      <c r="D36" s="183">
        <v>200</v>
      </c>
      <c r="E36" s="233">
        <v>157.66</v>
      </c>
      <c r="F36" s="278">
        <f t="shared" ref="F36:F39" si="1">D36*E36</f>
        <v>31532</v>
      </c>
      <c r="G36" s="234"/>
      <c r="H36" s="263"/>
    </row>
    <row r="37" spans="1:8">
      <c r="A37" s="174" t="s">
        <v>307</v>
      </c>
      <c r="B37" s="184" t="s">
        <v>309</v>
      </c>
      <c r="C37" s="183" t="s">
        <v>284</v>
      </c>
      <c r="D37" s="183">
        <v>100</v>
      </c>
      <c r="E37" s="233">
        <v>140.15</v>
      </c>
      <c r="F37" s="278">
        <f t="shared" si="1"/>
        <v>14015</v>
      </c>
      <c r="G37" s="234"/>
      <c r="H37" s="263"/>
    </row>
    <row r="38" spans="1:8">
      <c r="A38" s="174" t="s">
        <v>310</v>
      </c>
      <c r="B38" s="184" t="s">
        <v>312</v>
      </c>
      <c r="C38" s="183" t="s">
        <v>284</v>
      </c>
      <c r="D38" s="183">
        <v>50</v>
      </c>
      <c r="E38" s="233">
        <v>14942.1</v>
      </c>
      <c r="F38" s="278">
        <f t="shared" si="1"/>
        <v>747105</v>
      </c>
      <c r="G38" s="234"/>
      <c r="H38" s="263"/>
    </row>
    <row r="39" ht="16.5" spans="1:8">
      <c r="A39" s="174" t="s">
        <v>313</v>
      </c>
      <c r="B39" s="265" t="s">
        <v>302</v>
      </c>
      <c r="C39" s="180" t="s">
        <v>284</v>
      </c>
      <c r="D39" s="180">
        <v>87</v>
      </c>
      <c r="E39" s="233">
        <v>280.38</v>
      </c>
      <c r="F39" s="278">
        <f t="shared" si="1"/>
        <v>24393.06</v>
      </c>
      <c r="G39" s="234"/>
      <c r="H39" s="263"/>
    </row>
    <row r="40" ht="16.5" spans="1:8">
      <c r="A40" s="268"/>
      <c r="B40" s="239" t="s">
        <v>315</v>
      </c>
      <c r="C40" s="269"/>
      <c r="D40" s="269"/>
      <c r="E40" s="270"/>
      <c r="F40" s="271">
        <f>SUM(F36:F39)</f>
        <v>817045.06</v>
      </c>
      <c r="G40" s="234"/>
    </row>
    <row r="41" ht="16.5" spans="1:8">
      <c r="A41" s="268"/>
      <c r="B41" s="239" t="s">
        <v>316</v>
      </c>
      <c r="C41" s="269"/>
      <c r="D41" s="269"/>
      <c r="E41" s="270"/>
      <c r="F41" s="271">
        <f>F40+F34</f>
        <v>5804388.04</v>
      </c>
      <c r="G41" s="234"/>
    </row>
    <row r="42" customHeight="1" spans="1:8">
      <c r="A42" s="279" t="s">
        <v>317</v>
      </c>
      <c r="B42" s="280"/>
      <c r="C42" s="175"/>
      <c r="D42" s="175"/>
      <c r="E42" s="233"/>
      <c r="F42" s="276"/>
      <c r="G42" s="234"/>
    </row>
    <row r="43" ht="32.25" spans="1:8">
      <c r="A43" s="174" t="s">
        <v>318</v>
      </c>
      <c r="B43" s="175" t="s">
        <v>320</v>
      </c>
      <c r="C43" s="281" t="s">
        <v>321</v>
      </c>
      <c r="D43" s="281">
        <v>4</v>
      </c>
      <c r="E43" s="233">
        <v>7771.5</v>
      </c>
      <c r="F43" s="233">
        <f>E43*D43</f>
        <v>31086</v>
      </c>
      <c r="G43" s="234"/>
    </row>
    <row r="44" ht="16.5" spans="1:8">
      <c r="A44" s="268"/>
      <c r="B44" s="239" t="s">
        <v>322</v>
      </c>
      <c r="C44" s="269"/>
      <c r="D44" s="269"/>
      <c r="E44" s="270"/>
      <c r="F44" s="271">
        <f>F43</f>
        <v>31086</v>
      </c>
      <c r="G44" s="234"/>
    </row>
    <row r="45" ht="16.5" spans="1:8">
      <c r="A45" s="268"/>
      <c r="B45" s="239" t="s">
        <v>323</v>
      </c>
      <c r="C45" s="269"/>
      <c r="D45" s="269"/>
      <c r="E45" s="270"/>
      <c r="F45" s="271">
        <f>F44+F41+F20+F16</f>
        <v>17786470.04</v>
      </c>
      <c r="G45" s="234"/>
    </row>
    <row r="46" spans="1:8">
      <c r="A46" s="282" t="s">
        <v>324</v>
      </c>
      <c r="B46" s="282"/>
      <c r="C46" s="247"/>
      <c r="D46" s="247"/>
      <c r="E46" s="233"/>
      <c r="F46" s="247"/>
      <c r="G46" s="234"/>
    </row>
    <row r="47" customHeight="1" spans="1:8">
      <c r="A47" s="283" t="s">
        <v>325</v>
      </c>
      <c r="B47" s="284"/>
      <c r="C47" s="175"/>
      <c r="D47" s="175"/>
      <c r="E47" s="233"/>
      <c r="F47" s="176"/>
      <c r="G47" s="234"/>
    </row>
    <row r="48" customHeight="1" spans="1:8">
      <c r="A48" s="173"/>
      <c r="B48" s="188" t="s">
        <v>326</v>
      </c>
      <c r="C48" s="175"/>
      <c r="D48" s="175"/>
      <c r="E48" s="233"/>
      <c r="F48" s="176"/>
      <c r="G48" s="234"/>
    </row>
    <row r="49" spans="1:7">
      <c r="A49" s="174" t="s">
        <v>327</v>
      </c>
      <c r="B49" s="175" t="s">
        <v>329</v>
      </c>
      <c r="C49" s="172" t="s">
        <v>330</v>
      </c>
      <c r="D49" s="172">
        <v>23.81</v>
      </c>
      <c r="E49" s="233">
        <v>64335.95</v>
      </c>
      <c r="F49" s="233">
        <f>E49*D49</f>
        <v>1531838.97</v>
      </c>
      <c r="G49" s="234"/>
    </row>
    <row r="50" spans="1:7">
      <c r="A50" s="174" t="s">
        <v>331</v>
      </c>
      <c r="B50" s="175" t="s">
        <v>332</v>
      </c>
      <c r="C50" s="172" t="s">
        <v>330</v>
      </c>
      <c r="D50" s="172">
        <v>76.73</v>
      </c>
      <c r="E50" s="233">
        <v>64335.96</v>
      </c>
      <c r="F50" s="233">
        <f t="shared" ref="F50:F87" si="2">E50*D50</f>
        <v>4936498.21</v>
      </c>
      <c r="G50" s="234"/>
    </row>
    <row r="51" spans="1:7">
      <c r="A51" s="174" t="s">
        <v>333</v>
      </c>
      <c r="B51" s="175" t="s">
        <v>335</v>
      </c>
      <c r="C51" s="172" t="s">
        <v>330</v>
      </c>
      <c r="D51" s="172">
        <v>76.73</v>
      </c>
      <c r="E51" s="233">
        <v>77839.31</v>
      </c>
      <c r="F51" s="233">
        <f t="shared" si="2"/>
        <v>5972610.26</v>
      </c>
      <c r="G51" s="234"/>
    </row>
    <row r="52" spans="1:7">
      <c r="A52" s="174" t="s">
        <v>336</v>
      </c>
      <c r="B52" s="175" t="s">
        <v>338</v>
      </c>
      <c r="C52" s="172" t="s">
        <v>330</v>
      </c>
      <c r="D52" s="172">
        <v>179</v>
      </c>
      <c r="E52" s="233">
        <v>154224.96</v>
      </c>
      <c r="F52" s="233">
        <f t="shared" si="2"/>
        <v>27606267.84</v>
      </c>
      <c r="G52" s="234"/>
    </row>
    <row r="53" spans="1:7">
      <c r="A53" s="174" t="s">
        <v>339</v>
      </c>
      <c r="B53" s="175" t="s">
        <v>341</v>
      </c>
      <c r="C53" s="172" t="s">
        <v>321</v>
      </c>
      <c r="D53" s="172">
        <v>67</v>
      </c>
      <c r="E53" s="233">
        <v>30016.82</v>
      </c>
      <c r="F53" s="233">
        <f t="shared" si="2"/>
        <v>2011126.94</v>
      </c>
      <c r="G53" s="234"/>
    </row>
    <row r="54" spans="1:7">
      <c r="A54" s="174" t="s">
        <v>342</v>
      </c>
      <c r="B54" s="175" t="s">
        <v>344</v>
      </c>
      <c r="C54" s="172" t="s">
        <v>330</v>
      </c>
      <c r="D54" s="172">
        <v>19.27</v>
      </c>
      <c r="E54" s="233">
        <v>173941.62</v>
      </c>
      <c r="F54" s="233">
        <f t="shared" si="2"/>
        <v>3351855.02</v>
      </c>
      <c r="G54" s="234"/>
    </row>
    <row r="55" spans="1:7">
      <c r="A55" s="174" t="s">
        <v>345</v>
      </c>
      <c r="B55" s="175" t="s">
        <v>347</v>
      </c>
      <c r="C55" s="172" t="s">
        <v>274</v>
      </c>
      <c r="D55" s="172">
        <v>155.44</v>
      </c>
      <c r="E55" s="233">
        <v>45412.91</v>
      </c>
      <c r="F55" s="233">
        <f t="shared" si="2"/>
        <v>7058982.73</v>
      </c>
      <c r="G55" s="234"/>
    </row>
    <row r="56" spans="1:7">
      <c r="A56" s="174" t="s">
        <v>348</v>
      </c>
      <c r="B56" s="175" t="s">
        <v>350</v>
      </c>
      <c r="C56" s="172" t="s">
        <v>330</v>
      </c>
      <c r="D56" s="172">
        <v>59.7</v>
      </c>
      <c r="E56" s="233">
        <v>236099.7</v>
      </c>
      <c r="F56" s="233">
        <f t="shared" si="2"/>
        <v>14095152.09</v>
      </c>
      <c r="G56" s="234"/>
    </row>
    <row r="57" ht="31.5" spans="1:7">
      <c r="A57" s="174" t="s">
        <v>351</v>
      </c>
      <c r="B57" s="175" t="s">
        <v>353</v>
      </c>
      <c r="C57" s="172" t="s">
        <v>354</v>
      </c>
      <c r="D57" s="172">
        <f>201+165</f>
        <v>366</v>
      </c>
      <c r="E57" s="233">
        <v>668.95</v>
      </c>
      <c r="F57" s="233">
        <f t="shared" si="2"/>
        <v>244835.7</v>
      </c>
      <c r="G57" s="234"/>
    </row>
    <row r="58" ht="31.5" spans="1:7">
      <c r="A58" s="174" t="s">
        <v>912</v>
      </c>
      <c r="B58" s="175" t="s">
        <v>357</v>
      </c>
      <c r="C58" s="172" t="s">
        <v>354</v>
      </c>
      <c r="D58" s="172">
        <f>126+113</f>
        <v>239</v>
      </c>
      <c r="E58" s="233">
        <v>20854.92</v>
      </c>
      <c r="F58" s="233">
        <f t="shared" si="2"/>
        <v>4984325.88</v>
      </c>
      <c r="G58" s="234"/>
    </row>
    <row r="59" ht="18" spans="1:7">
      <c r="A59" s="174" t="s">
        <v>355</v>
      </c>
      <c r="B59" s="175" t="s">
        <v>360</v>
      </c>
      <c r="C59" s="172" t="s">
        <v>354</v>
      </c>
      <c r="D59" s="172">
        <f>126+113</f>
        <v>239</v>
      </c>
      <c r="E59" s="233">
        <v>6436.7</v>
      </c>
      <c r="F59" s="233">
        <f t="shared" si="2"/>
        <v>1538371.3</v>
      </c>
      <c r="G59" s="234"/>
    </row>
    <row r="60" ht="31.5" spans="1:7">
      <c r="A60" s="174" t="s">
        <v>913</v>
      </c>
      <c r="B60" s="175" t="s">
        <v>363</v>
      </c>
      <c r="C60" s="172" t="s">
        <v>354</v>
      </c>
      <c r="D60" s="172">
        <v>108.2</v>
      </c>
      <c r="E60" s="233">
        <v>1524.43</v>
      </c>
      <c r="F60" s="233">
        <f t="shared" si="2"/>
        <v>164943.33</v>
      </c>
      <c r="G60" s="234"/>
    </row>
    <row r="61" spans="1:7">
      <c r="A61" s="174" t="s">
        <v>358</v>
      </c>
      <c r="B61" s="176" t="s">
        <v>366</v>
      </c>
      <c r="C61" s="172" t="s">
        <v>330</v>
      </c>
      <c r="D61" s="172">
        <f>1.67+0.9+0.24</f>
        <v>2.81</v>
      </c>
      <c r="E61" s="233">
        <v>321893.59</v>
      </c>
      <c r="F61" s="233">
        <f t="shared" si="2"/>
        <v>904520.99</v>
      </c>
      <c r="G61" s="234"/>
    </row>
    <row r="62" ht="31.5" spans="1:7">
      <c r="A62" s="174" t="s">
        <v>914</v>
      </c>
      <c r="B62" s="175" t="s">
        <v>369</v>
      </c>
      <c r="C62" s="172" t="s">
        <v>330</v>
      </c>
      <c r="D62" s="172">
        <v>4.6328</v>
      </c>
      <c r="E62" s="233">
        <v>289602.83</v>
      </c>
      <c r="F62" s="233">
        <f t="shared" si="2"/>
        <v>1341671.99</v>
      </c>
      <c r="G62" s="234"/>
    </row>
    <row r="63" spans="1:7">
      <c r="B63" s="173" t="s">
        <v>370</v>
      </c>
      <c r="C63" s="172"/>
      <c r="D63" s="172"/>
      <c r="E63" s="233"/>
      <c r="F63" s="233"/>
      <c r="G63" s="234"/>
    </row>
    <row r="64" ht="31.5" spans="1:7">
      <c r="A64" s="174" t="s">
        <v>361</v>
      </c>
      <c r="B64" s="175" t="s">
        <v>373</v>
      </c>
      <c r="C64" s="236" t="s">
        <v>330</v>
      </c>
      <c r="D64" s="172">
        <v>6.0149</v>
      </c>
      <c r="E64" s="233">
        <v>289969.74</v>
      </c>
      <c r="F64" s="233">
        <f>E64*D64</f>
        <v>1744138.99</v>
      </c>
      <c r="G64" s="234"/>
    </row>
    <row r="65" ht="18" spans="1:8">
      <c r="A65" s="174" t="s">
        <v>915</v>
      </c>
      <c r="B65" s="176" t="s">
        <v>376</v>
      </c>
      <c r="C65" s="172" t="s">
        <v>377</v>
      </c>
      <c r="D65" s="172" t="s">
        <v>378</v>
      </c>
      <c r="E65" s="233">
        <v>50045.13</v>
      </c>
      <c r="F65" s="233">
        <f t="shared" si="2"/>
        <v>800722.08</v>
      </c>
      <c r="G65" s="234"/>
    </row>
    <row r="66" spans="1:8">
      <c r="A66" s="174" t="s">
        <v>364</v>
      </c>
      <c r="B66" s="176" t="s">
        <v>381</v>
      </c>
      <c r="C66" s="172" t="s">
        <v>270</v>
      </c>
      <c r="D66" s="172">
        <v>5.2</v>
      </c>
      <c r="E66" s="233">
        <v>3214.23</v>
      </c>
      <c r="F66" s="233">
        <f t="shared" si="2"/>
        <v>16714</v>
      </c>
      <c r="G66" s="234"/>
    </row>
    <row r="67" spans="1:8">
      <c r="A67" s="174" t="s">
        <v>367</v>
      </c>
      <c r="B67" s="176" t="s">
        <v>384</v>
      </c>
      <c r="C67" s="172" t="s">
        <v>284</v>
      </c>
      <c r="D67" s="172">
        <f>2.5+1.4+0.14</f>
        <v>4.04</v>
      </c>
      <c r="E67" s="233">
        <v>154077.72</v>
      </c>
      <c r="F67" s="233">
        <f t="shared" si="2"/>
        <v>622473.99</v>
      </c>
      <c r="G67" s="234"/>
    </row>
    <row r="68" spans="1:8">
      <c r="A68" s="174" t="s">
        <v>371</v>
      </c>
      <c r="B68" s="175" t="s">
        <v>387</v>
      </c>
      <c r="C68" s="172" t="s">
        <v>284</v>
      </c>
      <c r="D68" s="172" t="s">
        <v>388</v>
      </c>
      <c r="E68" s="233">
        <v>168317.39</v>
      </c>
      <c r="F68" s="233">
        <f t="shared" si="2"/>
        <v>77426</v>
      </c>
      <c r="G68" s="234"/>
    </row>
    <row r="69" s="153" customFormat="1" ht="18" spans="1:8">
      <c r="A69" s="174" t="s">
        <v>374</v>
      </c>
      <c r="B69" s="175" t="s">
        <v>391</v>
      </c>
      <c r="C69" s="172" t="s">
        <v>377</v>
      </c>
      <c r="D69" s="172">
        <v>90</v>
      </c>
      <c r="E69" s="233">
        <v>84624.03</v>
      </c>
      <c r="F69" s="233">
        <f t="shared" si="2"/>
        <v>7616162.7</v>
      </c>
      <c r="G69" s="234"/>
      <c r="H69" s="152"/>
    </row>
    <row r="70" ht="18" spans="1:8">
      <c r="A70" s="174" t="s">
        <v>379</v>
      </c>
      <c r="B70" s="175" t="s">
        <v>394</v>
      </c>
      <c r="C70" s="172" t="s">
        <v>377</v>
      </c>
      <c r="D70" s="172" t="s">
        <v>395</v>
      </c>
      <c r="E70" s="233">
        <v>64300.49</v>
      </c>
      <c r="F70" s="233">
        <f t="shared" si="2"/>
        <v>520833.97</v>
      </c>
      <c r="G70" s="234"/>
    </row>
    <row r="71" spans="1:8">
      <c r="A71" s="156"/>
      <c r="B71" s="187" t="s">
        <v>396</v>
      </c>
      <c r="C71" s="172"/>
      <c r="D71" s="172"/>
      <c r="E71" s="233"/>
      <c r="F71" s="233"/>
      <c r="G71" s="234"/>
    </row>
    <row r="72" ht="18" spans="1:8">
      <c r="A72" s="174" t="s">
        <v>382</v>
      </c>
      <c r="B72" s="175" t="s">
        <v>399</v>
      </c>
      <c r="C72" s="172" t="s">
        <v>377</v>
      </c>
      <c r="D72" s="172" t="s">
        <v>400</v>
      </c>
      <c r="E72" s="233">
        <v>86022.19</v>
      </c>
      <c r="F72" s="233">
        <f t="shared" si="2"/>
        <v>20387259.03</v>
      </c>
      <c r="G72" s="234"/>
    </row>
    <row r="73" spans="1:8">
      <c r="A73" s="174" t="s">
        <v>385</v>
      </c>
      <c r="B73" s="175" t="s">
        <v>381</v>
      </c>
      <c r="C73" s="172" t="s">
        <v>270</v>
      </c>
      <c r="D73" s="172">
        <v>29.2</v>
      </c>
      <c r="E73" s="233">
        <v>3214.86</v>
      </c>
      <c r="F73" s="233">
        <f t="shared" si="2"/>
        <v>93873.91</v>
      </c>
      <c r="G73" s="234"/>
    </row>
    <row r="74" ht="18" spans="1:8">
      <c r="A74" s="174" t="s">
        <v>389</v>
      </c>
      <c r="B74" s="175" t="s">
        <v>405</v>
      </c>
      <c r="C74" s="172" t="s">
        <v>377</v>
      </c>
      <c r="D74" s="172" t="s">
        <v>406</v>
      </c>
      <c r="E74" s="233">
        <v>63307.62</v>
      </c>
      <c r="F74" s="233">
        <f t="shared" si="2"/>
        <v>265892</v>
      </c>
      <c r="G74" s="234"/>
    </row>
    <row r="75" spans="1:8">
      <c r="A75" s="156"/>
      <c r="B75" s="176" t="s">
        <v>407</v>
      </c>
      <c r="C75" s="172"/>
      <c r="D75" s="172"/>
      <c r="E75" s="233"/>
      <c r="F75" s="233"/>
      <c r="G75" s="234"/>
    </row>
    <row r="76" spans="1:8">
      <c r="A76" s="174" t="s">
        <v>392</v>
      </c>
      <c r="B76" s="175" t="s">
        <v>387</v>
      </c>
      <c r="C76" s="172" t="s">
        <v>284</v>
      </c>
      <c r="D76" s="172" t="s">
        <v>388</v>
      </c>
      <c r="E76" s="233">
        <v>174604.35</v>
      </c>
      <c r="F76" s="233">
        <f t="shared" si="2"/>
        <v>80318</v>
      </c>
      <c r="G76" s="234"/>
    </row>
    <row r="77" ht="18" spans="1:8">
      <c r="A77" s="174" t="s">
        <v>397</v>
      </c>
      <c r="B77" s="176" t="s">
        <v>412</v>
      </c>
      <c r="C77" s="172" t="s">
        <v>377</v>
      </c>
      <c r="D77" s="172" t="s">
        <v>413</v>
      </c>
      <c r="E77" s="233">
        <v>46224.44</v>
      </c>
      <c r="F77" s="233">
        <f t="shared" si="2"/>
        <v>2542344.2</v>
      </c>
      <c r="G77" s="234"/>
    </row>
    <row r="78" ht="18" spans="1:8">
      <c r="A78" s="174" t="s">
        <v>401</v>
      </c>
      <c r="B78" s="176" t="s">
        <v>416</v>
      </c>
      <c r="C78" s="172" t="s">
        <v>377</v>
      </c>
      <c r="D78" s="172" t="s">
        <v>417</v>
      </c>
      <c r="E78" s="233">
        <v>15126.64</v>
      </c>
      <c r="F78" s="233">
        <f t="shared" si="2"/>
        <v>166393.04</v>
      </c>
      <c r="G78" s="234"/>
    </row>
    <row r="79" ht="18" spans="1:8">
      <c r="A79" s="174" t="s">
        <v>403</v>
      </c>
      <c r="B79" s="175" t="s">
        <v>420</v>
      </c>
      <c r="C79" s="172" t="s">
        <v>377</v>
      </c>
      <c r="D79" s="172">
        <f>352+470</f>
        <v>822</v>
      </c>
      <c r="E79" s="233">
        <v>8878.68</v>
      </c>
      <c r="F79" s="233">
        <f t="shared" si="2"/>
        <v>7298274.96</v>
      </c>
      <c r="G79" s="234"/>
    </row>
    <row r="80" ht="18" spans="1:8">
      <c r="A80" s="174" t="s">
        <v>408</v>
      </c>
      <c r="B80" s="176" t="s">
        <v>423</v>
      </c>
      <c r="C80" s="172" t="s">
        <v>377</v>
      </c>
      <c r="D80" s="172" t="s">
        <v>424</v>
      </c>
      <c r="E80" s="233">
        <v>9884.15</v>
      </c>
      <c r="F80" s="233">
        <f t="shared" si="2"/>
        <v>3242001.2</v>
      </c>
      <c r="G80" s="234"/>
    </row>
    <row r="81" spans="1:8">
      <c r="A81" s="156"/>
      <c r="B81" s="176" t="s">
        <v>425</v>
      </c>
      <c r="C81" s="172"/>
      <c r="D81" s="172"/>
      <c r="E81" s="233"/>
      <c r="F81" s="233"/>
      <c r="G81" s="234"/>
    </row>
    <row r="82" spans="1:8">
      <c r="A82" s="174" t="s">
        <v>410</v>
      </c>
      <c r="B82" s="175" t="s">
        <v>428</v>
      </c>
      <c r="C82" s="190" t="s">
        <v>321</v>
      </c>
      <c r="D82" s="190">
        <v>6</v>
      </c>
      <c r="E82" s="233">
        <v>35295.67</v>
      </c>
      <c r="F82" s="233">
        <f t="shared" si="2"/>
        <v>211774.02</v>
      </c>
      <c r="G82" s="234"/>
    </row>
    <row r="83" spans="1:8">
      <c r="A83" s="174" t="s">
        <v>414</v>
      </c>
      <c r="B83" s="176" t="s">
        <v>431</v>
      </c>
      <c r="C83" s="172" t="s">
        <v>270</v>
      </c>
      <c r="D83" s="172">
        <v>75.6</v>
      </c>
      <c r="E83" s="233">
        <v>5131.24</v>
      </c>
      <c r="F83" s="233">
        <f t="shared" si="2"/>
        <v>387921.74</v>
      </c>
      <c r="G83" s="234"/>
    </row>
    <row r="84" spans="1:8">
      <c r="A84" s="174" t="s">
        <v>418</v>
      </c>
      <c r="B84" s="175" t="s">
        <v>434</v>
      </c>
      <c r="C84" s="190" t="s">
        <v>330</v>
      </c>
      <c r="D84" s="190">
        <v>4.6</v>
      </c>
      <c r="E84" s="233">
        <v>274517.17</v>
      </c>
      <c r="F84" s="233">
        <f t="shared" si="2"/>
        <v>1262778.98</v>
      </c>
      <c r="G84" s="234"/>
    </row>
    <row r="85" spans="1:8">
      <c r="A85" s="174" t="s">
        <v>421</v>
      </c>
      <c r="B85" s="176" t="s">
        <v>437</v>
      </c>
      <c r="C85" s="190" t="s">
        <v>330</v>
      </c>
      <c r="D85" s="190">
        <v>0.072</v>
      </c>
      <c r="E85" s="233">
        <v>315597.22</v>
      </c>
      <c r="F85" s="233">
        <f t="shared" si="2"/>
        <v>22723</v>
      </c>
      <c r="G85" s="234"/>
    </row>
    <row r="86" spans="1:8">
      <c r="A86" s="174" t="s">
        <v>426</v>
      </c>
      <c r="B86" s="176" t="s">
        <v>440</v>
      </c>
      <c r="C86" s="190" t="s">
        <v>321</v>
      </c>
      <c r="D86" s="190">
        <v>4</v>
      </c>
      <c r="E86" s="233">
        <v>397589.5</v>
      </c>
      <c r="F86" s="233">
        <f t="shared" si="2"/>
        <v>1590358</v>
      </c>
      <c r="G86" s="234"/>
    </row>
    <row r="87" ht="16.5" spans="1:8">
      <c r="A87" s="174" t="s">
        <v>429</v>
      </c>
      <c r="B87" s="235" t="s">
        <v>443</v>
      </c>
      <c r="C87" s="236" t="s">
        <v>444</v>
      </c>
      <c r="D87" s="236" t="s">
        <v>244</v>
      </c>
      <c r="E87" s="237">
        <v>7429.8</v>
      </c>
      <c r="F87" s="237">
        <f t="shared" si="2"/>
        <v>37149</v>
      </c>
      <c r="G87" s="234"/>
      <c r="H87" s="285"/>
    </row>
    <row r="88" ht="16.5" spans="1:8">
      <c r="A88" s="238"/>
      <c r="B88" s="239" t="s">
        <v>445</v>
      </c>
      <c r="C88" s="240"/>
      <c r="D88" s="240"/>
      <c r="E88" s="270"/>
      <c r="F88" s="242">
        <f>SUM(F49:F87)</f>
        <v>124730534.06</v>
      </c>
      <c r="G88" s="234"/>
      <c r="H88" s="286"/>
    </row>
    <row r="89" spans="1:8">
      <c r="A89" s="282" t="s">
        <v>446</v>
      </c>
      <c r="B89" s="247"/>
      <c r="C89" s="247"/>
      <c r="D89" s="247"/>
      <c r="E89" s="276"/>
      <c r="F89" s="247"/>
      <c r="G89" s="234"/>
      <c r="H89" s="285"/>
    </row>
    <row r="90" ht="18.75" spans="1:8">
      <c r="A90" s="174" t="s">
        <v>447</v>
      </c>
      <c r="B90" s="235" t="s">
        <v>449</v>
      </c>
      <c r="C90" s="236" t="s">
        <v>377</v>
      </c>
      <c r="D90" s="236" t="s">
        <v>450</v>
      </c>
      <c r="E90" s="237">
        <v>2893.68</v>
      </c>
      <c r="F90" s="237">
        <f t="shared" ref="F90" si="3">E90*D90</f>
        <v>3614206.32</v>
      </c>
      <c r="G90" s="234"/>
    </row>
    <row r="91" ht="16.5" spans="1:8">
      <c r="A91" s="238"/>
      <c r="B91" s="239" t="s">
        <v>451</v>
      </c>
      <c r="C91" s="240"/>
      <c r="D91" s="240"/>
      <c r="E91" s="270"/>
      <c r="F91" s="242">
        <f>SUM(F90)</f>
        <v>3614206.32</v>
      </c>
      <c r="G91" s="234"/>
    </row>
    <row r="92" spans="1:8">
      <c r="A92" s="282" t="s">
        <v>452</v>
      </c>
      <c r="B92" s="247"/>
      <c r="C92" s="247"/>
      <c r="D92" s="247"/>
      <c r="E92" s="276"/>
      <c r="F92" s="247"/>
      <c r="G92" s="234"/>
    </row>
    <row r="93" ht="31.5" spans="1:8">
      <c r="A93" s="174" t="s">
        <v>453</v>
      </c>
      <c r="B93" s="175" t="s">
        <v>455</v>
      </c>
      <c r="C93" s="190" t="s">
        <v>321</v>
      </c>
      <c r="D93" s="190">
        <v>1</v>
      </c>
      <c r="E93" s="233">
        <v>194234</v>
      </c>
      <c r="F93" s="237">
        <f t="shared" ref="F93:F95" si="4">E93*D93</f>
        <v>194234</v>
      </c>
      <c r="G93" s="234"/>
    </row>
    <row r="94" ht="31.5" spans="1:8">
      <c r="A94" s="174" t="s">
        <v>456</v>
      </c>
      <c r="B94" s="175" t="s">
        <v>458</v>
      </c>
      <c r="C94" s="190" t="s">
        <v>321</v>
      </c>
      <c r="D94" s="190">
        <v>1</v>
      </c>
      <c r="E94" s="233">
        <v>1795</v>
      </c>
      <c r="F94" s="237">
        <f t="shared" si="4"/>
        <v>1795</v>
      </c>
      <c r="G94" s="234"/>
    </row>
    <row r="95" ht="32.25" spans="1:8">
      <c r="A95" s="174" t="s">
        <v>459</v>
      </c>
      <c r="B95" s="235" t="s">
        <v>461</v>
      </c>
      <c r="C95" s="236" t="s">
        <v>321</v>
      </c>
      <c r="D95" s="236">
        <v>1</v>
      </c>
      <c r="E95" s="237">
        <v>557974</v>
      </c>
      <c r="F95" s="237">
        <f t="shared" si="4"/>
        <v>557974</v>
      </c>
      <c r="G95" s="234"/>
    </row>
    <row r="96" ht="16.5" spans="1:8">
      <c r="A96" s="238"/>
      <c r="B96" s="239" t="s">
        <v>462</v>
      </c>
      <c r="C96" s="240"/>
      <c r="D96" s="240"/>
      <c r="E96" s="270"/>
      <c r="F96" s="242">
        <f>SUM(F93:F95)</f>
        <v>754003</v>
      </c>
      <c r="G96" s="234"/>
    </row>
    <row r="97" spans="1:7">
      <c r="A97" s="282" t="s">
        <v>463</v>
      </c>
      <c r="B97" s="247"/>
      <c r="C97" s="247"/>
      <c r="D97" s="247"/>
      <c r="E97" s="276"/>
      <c r="F97" s="247"/>
      <c r="G97" s="234"/>
    </row>
    <row r="98" spans="1:7">
      <c r="A98" s="282" t="s">
        <v>464</v>
      </c>
      <c r="B98" s="247"/>
      <c r="C98" s="247"/>
      <c r="D98" s="247"/>
      <c r="E98" s="233"/>
      <c r="F98" s="176"/>
      <c r="G98" s="234"/>
    </row>
    <row r="99" spans="1:7">
      <c r="A99" s="176"/>
      <c r="B99" s="188" t="s">
        <v>465</v>
      </c>
      <c r="C99" s="172"/>
      <c r="D99" s="172"/>
      <c r="E99" s="233"/>
      <c r="F99" s="176"/>
      <c r="G99" s="234"/>
    </row>
    <row r="100" ht="31.5" spans="1:7">
      <c r="A100" s="174" t="s">
        <v>466</v>
      </c>
      <c r="B100" s="175" t="s">
        <v>468</v>
      </c>
      <c r="C100" s="172" t="s">
        <v>354</v>
      </c>
      <c r="D100" s="172" t="s">
        <v>469</v>
      </c>
      <c r="E100" s="233">
        <v>426.41</v>
      </c>
      <c r="F100" s="237">
        <f t="shared" ref="F100:F103" si="5">E100*D100</f>
        <v>55433.3</v>
      </c>
      <c r="G100" s="234"/>
    </row>
    <row r="101" ht="47.25" spans="1:7">
      <c r="A101" s="174" t="s">
        <v>470</v>
      </c>
      <c r="B101" s="175" t="s">
        <v>472</v>
      </c>
      <c r="C101" s="172" t="s">
        <v>377</v>
      </c>
      <c r="D101" s="172">
        <v>505</v>
      </c>
      <c r="E101" s="233">
        <v>449.55</v>
      </c>
      <c r="F101" s="237">
        <f t="shared" si="5"/>
        <v>227022.75</v>
      </c>
      <c r="G101" s="234"/>
    </row>
    <row r="102" ht="78.75" spans="1:7">
      <c r="A102" s="174" t="s">
        <v>473</v>
      </c>
      <c r="B102" s="175" t="s">
        <v>475</v>
      </c>
      <c r="C102" s="172" t="s">
        <v>377</v>
      </c>
      <c r="D102" s="172">
        <v>505</v>
      </c>
      <c r="E102" s="233">
        <v>186.28</v>
      </c>
      <c r="F102" s="237">
        <f t="shared" si="5"/>
        <v>94071.4</v>
      </c>
      <c r="G102" s="234"/>
    </row>
    <row r="103" ht="18" spans="1:7">
      <c r="A103" s="287" t="s">
        <v>477</v>
      </c>
      <c r="B103" s="235" t="s">
        <v>479</v>
      </c>
      <c r="C103" s="236" t="s">
        <v>377</v>
      </c>
      <c r="D103" s="236">
        <v>505</v>
      </c>
      <c r="E103" s="233">
        <v>70.57</v>
      </c>
      <c r="F103" s="237">
        <f t="shared" si="5"/>
        <v>35637.85</v>
      </c>
      <c r="G103" s="234"/>
    </row>
    <row r="104" ht="31.5" spans="1:7">
      <c r="A104" s="189"/>
      <c r="B104" s="192" t="s">
        <v>480</v>
      </c>
      <c r="C104" s="191"/>
      <c r="D104" s="191"/>
      <c r="E104" s="288"/>
      <c r="F104" s="176"/>
      <c r="G104" s="234"/>
    </row>
    <row r="105" ht="18" spans="1:7">
      <c r="A105" s="289" t="s">
        <v>481</v>
      </c>
      <c r="B105" s="245" t="s">
        <v>483</v>
      </c>
      <c r="C105" s="290" t="s">
        <v>354</v>
      </c>
      <c r="D105" s="290" t="s">
        <v>484</v>
      </c>
      <c r="E105" s="233">
        <v>3686.54</v>
      </c>
      <c r="F105" s="237">
        <f t="shared" ref="F105:F107" si="6">E105*D105</f>
        <v>704129.14</v>
      </c>
      <c r="G105" s="234"/>
    </row>
    <row r="106" ht="31.5" spans="1:7">
      <c r="A106" s="174" t="s">
        <v>485</v>
      </c>
      <c r="B106" s="175" t="s">
        <v>487</v>
      </c>
      <c r="C106" s="172" t="s">
        <v>354</v>
      </c>
      <c r="D106" s="172" t="s">
        <v>484</v>
      </c>
      <c r="E106" s="233">
        <v>3355.42</v>
      </c>
      <c r="F106" s="237">
        <f t="shared" si="6"/>
        <v>640885.22</v>
      </c>
      <c r="G106" s="234"/>
    </row>
    <row r="107" ht="31.5" spans="1:7">
      <c r="A107" s="174" t="s">
        <v>488</v>
      </c>
      <c r="B107" s="175" t="s">
        <v>490</v>
      </c>
      <c r="C107" s="172" t="s">
        <v>377</v>
      </c>
      <c r="D107" s="172">
        <v>71.9</v>
      </c>
      <c r="E107" s="233">
        <v>4782.11</v>
      </c>
      <c r="F107" s="233">
        <f t="shared" si="6"/>
        <v>343833.71</v>
      </c>
      <c r="G107" s="234"/>
    </row>
    <row r="108" ht="31.5" spans="1:7">
      <c r="A108" s="156"/>
      <c r="B108" s="192" t="s">
        <v>491</v>
      </c>
      <c r="C108" s="191"/>
      <c r="D108" s="191"/>
      <c r="E108" s="233"/>
      <c r="F108" s="176"/>
      <c r="G108" s="234"/>
    </row>
    <row r="109" ht="18" spans="1:7">
      <c r="A109" s="174" t="s">
        <v>492</v>
      </c>
      <c r="B109" s="175" t="s">
        <v>494</v>
      </c>
      <c r="C109" s="172" t="s">
        <v>354</v>
      </c>
      <c r="D109" s="172" t="s">
        <v>495</v>
      </c>
      <c r="E109" s="233">
        <v>3179.54</v>
      </c>
      <c r="F109" s="237">
        <f t="shared" ref="F109:F111" si="7">E109*D109</f>
        <v>146258.84</v>
      </c>
      <c r="G109" s="234"/>
    </row>
    <row r="110" ht="31.5" spans="1:7">
      <c r="A110" s="174" t="s">
        <v>496</v>
      </c>
      <c r="B110" s="175" t="s">
        <v>498</v>
      </c>
      <c r="C110" s="172" t="s">
        <v>354</v>
      </c>
      <c r="D110" s="172" t="s">
        <v>495</v>
      </c>
      <c r="E110" s="233">
        <v>3363.02</v>
      </c>
      <c r="F110" s="237">
        <f t="shared" si="7"/>
        <v>154698.92</v>
      </c>
      <c r="G110" s="234"/>
    </row>
    <row r="111" ht="31.5" spans="1:7">
      <c r="A111" s="174" t="s">
        <v>499</v>
      </c>
      <c r="B111" s="175" t="s">
        <v>490</v>
      </c>
      <c r="C111" s="172" t="s">
        <v>377</v>
      </c>
      <c r="D111" s="172">
        <v>16.27</v>
      </c>
      <c r="E111" s="233">
        <v>4871.73</v>
      </c>
      <c r="F111" s="237">
        <f t="shared" si="7"/>
        <v>79263.05</v>
      </c>
      <c r="G111" s="234"/>
    </row>
    <row r="112" spans="1:7">
      <c r="A112" s="189"/>
      <c r="B112" s="193" t="s">
        <v>501</v>
      </c>
      <c r="C112" s="193"/>
      <c r="D112" s="193"/>
      <c r="E112" s="233"/>
      <c r="F112" s="176"/>
      <c r="G112" s="234"/>
    </row>
    <row r="113" spans="1:7">
      <c r="A113" s="176"/>
      <c r="B113" s="176" t="s">
        <v>502</v>
      </c>
      <c r="C113" s="172" t="s">
        <v>270</v>
      </c>
      <c r="D113" s="172" t="s">
        <v>503</v>
      </c>
      <c r="E113" s="233"/>
      <c r="F113" s="176"/>
      <c r="G113" s="234"/>
    </row>
    <row r="114" ht="31.5" spans="1:7">
      <c r="A114" s="174" t="s">
        <v>504</v>
      </c>
      <c r="B114" s="175" t="s">
        <v>506</v>
      </c>
      <c r="C114" s="172" t="s">
        <v>377</v>
      </c>
      <c r="D114" s="172">
        <v>4.39</v>
      </c>
      <c r="E114" s="233">
        <v>4872.89</v>
      </c>
      <c r="F114" s="237">
        <f t="shared" ref="F114:F116" si="8">E114*D114</f>
        <v>21391.99</v>
      </c>
      <c r="G114" s="234"/>
    </row>
    <row r="115" spans="1:7">
      <c r="A115" s="174" t="s">
        <v>507</v>
      </c>
      <c r="B115" s="175" t="s">
        <v>509</v>
      </c>
      <c r="C115" s="172" t="s">
        <v>510</v>
      </c>
      <c r="D115" s="172" t="s">
        <v>511</v>
      </c>
      <c r="E115" s="233">
        <v>586.03</v>
      </c>
      <c r="F115" s="237">
        <f t="shared" si="8"/>
        <v>21097.08</v>
      </c>
      <c r="G115" s="234"/>
    </row>
    <row r="116" ht="18.75" spans="1:7">
      <c r="A116" s="174" t="s">
        <v>512</v>
      </c>
      <c r="B116" s="235" t="s">
        <v>514</v>
      </c>
      <c r="C116" s="236" t="s">
        <v>354</v>
      </c>
      <c r="D116" s="236" t="s">
        <v>511</v>
      </c>
      <c r="E116" s="237">
        <v>2008.44</v>
      </c>
      <c r="F116" s="237">
        <f t="shared" si="8"/>
        <v>72303.84</v>
      </c>
      <c r="G116" s="234"/>
    </row>
    <row r="117" ht="16.5" spans="1:7">
      <c r="A117" s="238"/>
      <c r="B117" s="239" t="s">
        <v>515</v>
      </c>
      <c r="C117" s="240"/>
      <c r="D117" s="240"/>
      <c r="E117" s="270"/>
      <c r="F117" s="242">
        <f>SUM(F100:F116)</f>
        <v>2596027.09</v>
      </c>
      <c r="G117" s="234"/>
    </row>
    <row r="118" spans="1:7">
      <c r="A118" s="282" t="s">
        <v>516</v>
      </c>
      <c r="B118" s="247"/>
      <c r="C118" s="247"/>
      <c r="D118" s="247"/>
      <c r="E118" s="276"/>
      <c r="F118" s="247"/>
      <c r="G118" s="234"/>
    </row>
    <row r="119" spans="1:7">
      <c r="A119" s="174" t="s">
        <v>517</v>
      </c>
      <c r="B119" s="175" t="s">
        <v>519</v>
      </c>
      <c r="C119" s="172" t="s">
        <v>321</v>
      </c>
      <c r="D119" s="172" t="s">
        <v>520</v>
      </c>
      <c r="E119" s="233">
        <v>179022.65</v>
      </c>
      <c r="F119" s="237">
        <f t="shared" ref="F119:F121" si="9">E119*D119</f>
        <v>3043385.05</v>
      </c>
      <c r="G119" s="234"/>
    </row>
    <row r="120" ht="18" spans="1:7">
      <c r="A120" s="174" t="s">
        <v>521</v>
      </c>
      <c r="B120" s="175" t="s">
        <v>523</v>
      </c>
      <c r="C120" s="172" t="s">
        <v>377</v>
      </c>
      <c r="D120" s="172" t="s">
        <v>520</v>
      </c>
      <c r="E120" s="233">
        <v>19223.71</v>
      </c>
      <c r="F120" s="237">
        <f t="shared" si="9"/>
        <v>326803.07</v>
      </c>
      <c r="G120" s="234"/>
    </row>
    <row r="121" ht="16.5" spans="1:7">
      <c r="A121" s="174" t="s">
        <v>524</v>
      </c>
      <c r="B121" s="235" t="s">
        <v>526</v>
      </c>
      <c r="C121" s="236" t="s">
        <v>321</v>
      </c>
      <c r="D121" s="236" t="s">
        <v>417</v>
      </c>
      <c r="E121" s="237">
        <v>199354.82</v>
      </c>
      <c r="F121" s="237">
        <f t="shared" si="9"/>
        <v>2192903.02</v>
      </c>
      <c r="G121" s="234"/>
    </row>
    <row r="122" ht="16.5" spans="1:7">
      <c r="A122" s="238"/>
      <c r="B122" s="239" t="s">
        <v>527</v>
      </c>
      <c r="C122" s="240"/>
      <c r="D122" s="240"/>
      <c r="E122" s="270"/>
      <c r="F122" s="242">
        <f>SUM(F119:F121)</f>
        <v>5563091.14</v>
      </c>
      <c r="G122" s="234"/>
    </row>
    <row r="123" ht="16.5" spans="1:7">
      <c r="A123" s="238"/>
      <c r="B123" s="239" t="s">
        <v>528</v>
      </c>
      <c r="C123" s="240"/>
      <c r="D123" s="240"/>
      <c r="E123" s="270"/>
      <c r="F123" s="242">
        <f>F122+F117</f>
        <v>8159118.23</v>
      </c>
      <c r="G123" s="234"/>
    </row>
    <row r="124" spans="1:7">
      <c r="A124" s="282" t="s">
        <v>529</v>
      </c>
      <c r="B124" s="247"/>
      <c r="C124" s="290"/>
      <c r="D124" s="290"/>
      <c r="E124" s="276"/>
      <c r="F124" s="247"/>
      <c r="G124" s="234"/>
    </row>
    <row r="125" spans="1:7">
      <c r="A125" s="176"/>
      <c r="B125" s="187" t="s">
        <v>530</v>
      </c>
      <c r="C125" s="172"/>
      <c r="D125" s="172"/>
      <c r="E125" s="233"/>
      <c r="F125" s="176"/>
      <c r="G125" s="234"/>
    </row>
    <row r="126" spans="1:7">
      <c r="A126" s="174" t="s">
        <v>531</v>
      </c>
      <c r="B126" s="175" t="s">
        <v>533</v>
      </c>
      <c r="C126" s="172" t="s">
        <v>534</v>
      </c>
      <c r="D126" s="172">
        <f>124+24+24</f>
        <v>172</v>
      </c>
      <c r="E126" s="233">
        <v>10698.09</v>
      </c>
      <c r="F126" s="237">
        <f>E126*D126</f>
        <v>1840071.48</v>
      </c>
      <c r="G126" s="234"/>
    </row>
    <row r="127" spans="1:7">
      <c r="A127" s="156"/>
      <c r="B127" s="187" t="s">
        <v>535</v>
      </c>
      <c r="C127" s="172"/>
      <c r="D127" s="172"/>
      <c r="E127" s="233"/>
      <c r="F127" s="176"/>
      <c r="G127" s="234"/>
    </row>
    <row r="128" ht="18" spans="1:7">
      <c r="A128" s="174" t="s">
        <v>536</v>
      </c>
      <c r="B128" s="175" t="s">
        <v>538</v>
      </c>
      <c r="C128" s="172" t="s">
        <v>377</v>
      </c>
      <c r="D128" s="172" t="s">
        <v>539</v>
      </c>
      <c r="E128" s="233">
        <v>907.8</v>
      </c>
      <c r="F128" s="237">
        <f>E128*D128</f>
        <v>9078</v>
      </c>
      <c r="G128" s="234"/>
    </row>
    <row r="129" spans="1:7">
      <c r="A129" s="174" t="s">
        <v>540</v>
      </c>
      <c r="B129" s="175" t="s">
        <v>542</v>
      </c>
      <c r="C129" s="172" t="s">
        <v>444</v>
      </c>
      <c r="D129" s="172">
        <v>11</v>
      </c>
      <c r="E129" s="233">
        <v>21471.09</v>
      </c>
      <c r="F129" s="237">
        <f t="shared" ref="F129" si="10">E129*D129</f>
        <v>236181.99</v>
      </c>
      <c r="G129" s="234"/>
    </row>
    <row r="130" spans="1:7">
      <c r="A130" s="156"/>
      <c r="B130" s="194" t="s">
        <v>543</v>
      </c>
      <c r="C130" s="172"/>
      <c r="D130" s="172"/>
      <c r="E130" s="233"/>
      <c r="F130" s="176"/>
      <c r="G130" s="234"/>
    </row>
    <row r="131" spans="1:7">
      <c r="A131" s="193"/>
      <c r="B131" s="193" t="s">
        <v>544</v>
      </c>
      <c r="C131" s="172"/>
      <c r="D131" s="172"/>
      <c r="E131" s="233"/>
      <c r="F131" s="176"/>
      <c r="G131" s="234"/>
    </row>
    <row r="132" spans="1:7">
      <c r="A132" s="174" t="s">
        <v>545</v>
      </c>
      <c r="B132" s="193" t="s">
        <v>547</v>
      </c>
      <c r="C132" s="172" t="s">
        <v>444</v>
      </c>
      <c r="D132" s="172">
        <v>1</v>
      </c>
      <c r="E132" s="233">
        <v>3418</v>
      </c>
      <c r="F132" s="237">
        <f t="shared" ref="F132" si="11">E132*D132</f>
        <v>3418</v>
      </c>
      <c r="G132" s="234"/>
    </row>
    <row r="133" spans="1:7">
      <c r="A133" s="156"/>
      <c r="B133" s="176" t="s">
        <v>548</v>
      </c>
      <c r="C133" s="172"/>
      <c r="D133" s="172"/>
      <c r="E133" s="233"/>
      <c r="F133" s="176"/>
      <c r="G133" s="234"/>
    </row>
    <row r="134" spans="1:7">
      <c r="A134" s="174" t="s">
        <v>549</v>
      </c>
      <c r="B134" s="176" t="s">
        <v>551</v>
      </c>
      <c r="C134" s="172" t="s">
        <v>444</v>
      </c>
      <c r="D134" s="172">
        <v>1</v>
      </c>
      <c r="E134" s="233">
        <v>3226</v>
      </c>
      <c r="F134" s="237">
        <f t="shared" ref="F134" si="12">E134*D134</f>
        <v>3226</v>
      </c>
      <c r="G134" s="234"/>
    </row>
    <row r="135" spans="1:7">
      <c r="A135" s="156"/>
      <c r="B135" s="176" t="s">
        <v>552</v>
      </c>
      <c r="C135" s="172"/>
      <c r="D135" s="172"/>
      <c r="E135" s="233"/>
      <c r="F135" s="176"/>
      <c r="G135" s="234"/>
    </row>
    <row r="136" spans="1:7">
      <c r="A136" s="174" t="s">
        <v>553</v>
      </c>
      <c r="B136" s="176" t="s">
        <v>555</v>
      </c>
      <c r="C136" s="172" t="s">
        <v>444</v>
      </c>
      <c r="D136" s="172">
        <v>2</v>
      </c>
      <c r="E136" s="233">
        <v>3801.5</v>
      </c>
      <c r="F136" s="237">
        <f t="shared" ref="F136" si="13">E136*D136</f>
        <v>7603</v>
      </c>
      <c r="G136" s="234"/>
    </row>
    <row r="137" spans="1:7">
      <c r="A137" s="156"/>
      <c r="B137" s="176" t="s">
        <v>556</v>
      </c>
      <c r="C137" s="172"/>
      <c r="D137" s="172"/>
      <c r="E137" s="233"/>
      <c r="F137" s="176"/>
      <c r="G137" s="234"/>
    </row>
    <row r="138" spans="1:7">
      <c r="A138" s="174" t="s">
        <v>557</v>
      </c>
      <c r="B138" s="176" t="s">
        <v>559</v>
      </c>
      <c r="C138" s="172" t="s">
        <v>444</v>
      </c>
      <c r="D138" s="172">
        <v>2</v>
      </c>
      <c r="E138" s="233">
        <v>3801.5</v>
      </c>
      <c r="F138" s="237">
        <f t="shared" ref="F138" si="14">E138*D138</f>
        <v>7603</v>
      </c>
      <c r="G138" s="234"/>
    </row>
    <row r="139" spans="1:7">
      <c r="A139" s="156"/>
      <c r="B139" s="193" t="s">
        <v>560</v>
      </c>
      <c r="C139" s="172"/>
      <c r="D139" s="172"/>
      <c r="E139" s="233"/>
      <c r="F139" s="176"/>
      <c r="G139" s="234"/>
    </row>
    <row r="140" spans="1:7">
      <c r="A140" s="174" t="s">
        <v>561</v>
      </c>
      <c r="B140" s="176" t="s">
        <v>563</v>
      </c>
      <c r="C140" s="172" t="s">
        <v>444</v>
      </c>
      <c r="D140" s="172">
        <v>2</v>
      </c>
      <c r="E140" s="233">
        <v>3938</v>
      </c>
      <c r="F140" s="237">
        <f t="shared" ref="F140:F142" si="15">E140*D140</f>
        <v>7876</v>
      </c>
      <c r="G140" s="234"/>
    </row>
    <row r="141" spans="1:7">
      <c r="A141" s="174" t="s">
        <v>564</v>
      </c>
      <c r="B141" s="175" t="s">
        <v>566</v>
      </c>
      <c r="C141" s="172" t="s">
        <v>444</v>
      </c>
      <c r="D141" s="172">
        <v>4</v>
      </c>
      <c r="E141" s="233">
        <v>6067.75</v>
      </c>
      <c r="F141" s="237">
        <f t="shared" si="15"/>
        <v>24271</v>
      </c>
      <c r="G141" s="234"/>
    </row>
    <row r="142" spans="1:7">
      <c r="A142" s="174" t="s">
        <v>567</v>
      </c>
      <c r="B142" s="176" t="s">
        <v>569</v>
      </c>
      <c r="C142" s="172" t="s">
        <v>444</v>
      </c>
      <c r="D142" s="172">
        <v>2</v>
      </c>
      <c r="E142" s="233">
        <v>3801.5</v>
      </c>
      <c r="F142" s="237">
        <f t="shared" si="15"/>
        <v>7603</v>
      </c>
      <c r="G142" s="234"/>
    </row>
    <row r="143" ht="31.5" spans="1:7">
      <c r="A143" s="156"/>
      <c r="B143" s="192" t="s">
        <v>570</v>
      </c>
      <c r="C143" s="193"/>
      <c r="D143" s="172"/>
      <c r="E143" s="233"/>
      <c r="F143" s="193"/>
      <c r="G143" s="234"/>
    </row>
    <row r="144" spans="1:7">
      <c r="A144" s="174" t="s">
        <v>571</v>
      </c>
      <c r="B144" s="176" t="s">
        <v>573</v>
      </c>
      <c r="C144" s="172" t="s">
        <v>574</v>
      </c>
      <c r="D144" s="172">
        <f>998+186+38</f>
        <v>1222</v>
      </c>
      <c r="E144" s="233">
        <v>44.8</v>
      </c>
      <c r="F144" s="237">
        <f t="shared" ref="F144" si="16">E144*D144</f>
        <v>54745.6</v>
      </c>
      <c r="G144" s="234"/>
    </row>
    <row r="145" ht="31.5" spans="1:7">
      <c r="A145" s="156"/>
      <c r="B145" s="192" t="s">
        <v>575</v>
      </c>
      <c r="C145" s="193"/>
      <c r="D145" s="172"/>
      <c r="E145" s="233"/>
      <c r="F145" s="237"/>
      <c r="G145" s="234"/>
    </row>
    <row r="146" ht="16.5" spans="1:7">
      <c r="A146" s="174" t="s">
        <v>576</v>
      </c>
      <c r="B146" s="291" t="s">
        <v>577</v>
      </c>
      <c r="C146" s="236" t="s">
        <v>578</v>
      </c>
      <c r="D146" s="236">
        <v>91</v>
      </c>
      <c r="E146" s="237">
        <v>506.91</v>
      </c>
      <c r="F146" s="237">
        <f t="shared" ref="F146" si="17">E146*D146</f>
        <v>46128.81</v>
      </c>
      <c r="G146" s="234"/>
    </row>
    <row r="147" ht="16.5" spans="1:7">
      <c r="A147" s="238"/>
      <c r="B147" s="239" t="s">
        <v>579</v>
      </c>
      <c r="C147" s="240"/>
      <c r="D147" s="240"/>
      <c r="E147" s="270"/>
      <c r="F147" s="242">
        <f>SUM(F126:F146)</f>
        <v>2247805.88</v>
      </c>
      <c r="G147" s="234"/>
    </row>
    <row r="148" ht="16.5" spans="1:7">
      <c r="A148" s="250"/>
      <c r="B148" s="239" t="s">
        <v>580</v>
      </c>
      <c r="C148" s="251"/>
      <c r="D148" s="251"/>
      <c r="E148" s="270"/>
      <c r="F148" s="242">
        <f>F147+F123+F96+F91+F88</f>
        <v>139505667.49</v>
      </c>
      <c r="G148" s="234"/>
    </row>
    <row r="149" spans="1:7">
      <c r="A149" s="292" t="s">
        <v>581</v>
      </c>
      <c r="B149" s="254"/>
      <c r="C149" s="293"/>
      <c r="D149" s="293"/>
      <c r="E149" s="276"/>
      <c r="F149" s="294"/>
      <c r="G149" s="234"/>
    </row>
    <row r="150" spans="1:7">
      <c r="A150" s="295" t="s">
        <v>582</v>
      </c>
      <c r="B150" s="296"/>
      <c r="C150" s="180"/>
      <c r="D150" s="180"/>
      <c r="E150" s="233"/>
      <c r="F150" s="297"/>
      <c r="G150" s="234"/>
    </row>
    <row r="151" spans="1:7">
      <c r="A151" s="186"/>
      <c r="B151" s="197" t="s">
        <v>326</v>
      </c>
      <c r="C151" s="180"/>
      <c r="D151" s="180"/>
      <c r="E151" s="233"/>
      <c r="F151" s="297"/>
      <c r="G151" s="234"/>
    </row>
    <row r="152" spans="1:7">
      <c r="A152" s="186"/>
      <c r="B152" s="198" t="s">
        <v>583</v>
      </c>
      <c r="C152" s="180"/>
      <c r="D152" s="180"/>
      <c r="E152" s="233"/>
      <c r="F152" s="297"/>
      <c r="G152" s="234"/>
    </row>
    <row r="153" spans="1:7">
      <c r="A153" s="174" t="s">
        <v>584</v>
      </c>
      <c r="B153" s="181" t="s">
        <v>329</v>
      </c>
      <c r="C153" s="180" t="s">
        <v>330</v>
      </c>
      <c r="D153" s="180">
        <v>19.71</v>
      </c>
      <c r="E153" s="233">
        <v>64336.02</v>
      </c>
      <c r="F153" s="237">
        <f t="shared" ref="F153:F214" si="18">E153*D153</f>
        <v>1268062.95</v>
      </c>
      <c r="G153" s="234"/>
    </row>
    <row r="154" spans="1:7">
      <c r="A154" s="174" t="s">
        <v>586</v>
      </c>
      <c r="B154" s="181" t="s">
        <v>587</v>
      </c>
      <c r="C154" s="180" t="s">
        <v>330</v>
      </c>
      <c r="D154" s="180">
        <v>63.51</v>
      </c>
      <c r="E154" s="233">
        <v>64336.01</v>
      </c>
      <c r="F154" s="237">
        <f t="shared" si="18"/>
        <v>4085980</v>
      </c>
      <c r="G154" s="234"/>
    </row>
    <row r="155" spans="1:7">
      <c r="A155" s="174" t="s">
        <v>588</v>
      </c>
      <c r="B155" s="181" t="s">
        <v>335</v>
      </c>
      <c r="C155" s="180" t="s">
        <v>330</v>
      </c>
      <c r="D155" s="180">
        <v>63.51</v>
      </c>
      <c r="E155" s="233">
        <v>77839.33</v>
      </c>
      <c r="F155" s="237">
        <f t="shared" si="18"/>
        <v>4943575.85</v>
      </c>
      <c r="G155" s="234"/>
    </row>
    <row r="156" spans="1:7">
      <c r="A156" s="174" t="s">
        <v>590</v>
      </c>
      <c r="B156" s="181" t="s">
        <v>338</v>
      </c>
      <c r="C156" s="180" t="s">
        <v>330</v>
      </c>
      <c r="D156" s="199">
        <f>146.73*1.01</f>
        <v>148.2</v>
      </c>
      <c r="E156" s="233">
        <v>154224.85</v>
      </c>
      <c r="F156" s="237">
        <f t="shared" si="18"/>
        <v>22856122.77</v>
      </c>
      <c r="G156" s="234"/>
    </row>
    <row r="157" spans="1:7">
      <c r="A157" s="174" t="s">
        <v>592</v>
      </c>
      <c r="B157" s="181" t="s">
        <v>350</v>
      </c>
      <c r="C157" s="180" t="s">
        <v>284</v>
      </c>
      <c r="D157" s="180">
        <v>59.7</v>
      </c>
      <c r="E157" s="233">
        <v>236099.7</v>
      </c>
      <c r="F157" s="237">
        <f t="shared" si="18"/>
        <v>14095152.09</v>
      </c>
      <c r="G157" s="234"/>
    </row>
    <row r="158" spans="1:7">
      <c r="A158" s="174" t="s">
        <v>594</v>
      </c>
      <c r="B158" s="181" t="s">
        <v>596</v>
      </c>
      <c r="C158" s="180" t="s">
        <v>444</v>
      </c>
      <c r="D158" s="180">
        <v>67</v>
      </c>
      <c r="E158" s="233">
        <v>30016.82</v>
      </c>
      <c r="F158" s="237">
        <f t="shared" si="18"/>
        <v>2011126.94</v>
      </c>
      <c r="G158" s="234"/>
    </row>
    <row r="159" spans="1:7">
      <c r="A159" s="174" t="s">
        <v>597</v>
      </c>
      <c r="B159" s="181" t="s">
        <v>344</v>
      </c>
      <c r="C159" s="180" t="s">
        <v>330</v>
      </c>
      <c r="D159" s="180">
        <v>19.2734</v>
      </c>
      <c r="E159" s="233">
        <v>173940.66</v>
      </c>
      <c r="F159" s="237">
        <f t="shared" si="18"/>
        <v>3352427.92</v>
      </c>
      <c r="G159" s="234"/>
    </row>
    <row r="160" spans="1:7">
      <c r="A160" s="174" t="s">
        <v>599</v>
      </c>
      <c r="B160" s="181" t="s">
        <v>601</v>
      </c>
      <c r="C160" s="180" t="s">
        <v>274</v>
      </c>
      <c r="D160" s="180">
        <v>155.44</v>
      </c>
      <c r="E160" s="233">
        <v>45430.91</v>
      </c>
      <c r="F160" s="237">
        <f t="shared" si="18"/>
        <v>7061780.65</v>
      </c>
      <c r="G160" s="234"/>
    </row>
    <row r="161" spans="1:7">
      <c r="A161" s="174" t="s">
        <v>602</v>
      </c>
      <c r="B161" s="181" t="s">
        <v>604</v>
      </c>
      <c r="C161" s="180" t="s">
        <v>284</v>
      </c>
      <c r="D161" s="180">
        <v>2.81</v>
      </c>
      <c r="E161" s="233">
        <v>321893.59</v>
      </c>
      <c r="F161" s="237">
        <f t="shared" si="18"/>
        <v>904520.99</v>
      </c>
      <c r="G161" s="234"/>
    </row>
    <row r="162" spans="1:7">
      <c r="A162" s="174" t="s">
        <v>605</v>
      </c>
      <c r="B162" s="181" t="s">
        <v>607</v>
      </c>
      <c r="C162" s="180" t="s">
        <v>284</v>
      </c>
      <c r="D162" s="180">
        <v>4.6328</v>
      </c>
      <c r="E162" s="233">
        <v>289630.25</v>
      </c>
      <c r="F162" s="237">
        <f t="shared" si="18"/>
        <v>1341799.02</v>
      </c>
      <c r="G162" s="234"/>
    </row>
    <row r="163" spans="1:7">
      <c r="A163" s="156"/>
      <c r="B163" s="200" t="s">
        <v>608</v>
      </c>
      <c r="C163" s="180"/>
      <c r="D163" s="180"/>
      <c r="E163" s="233"/>
      <c r="F163" s="237"/>
      <c r="G163" s="234"/>
    </row>
    <row r="164" spans="1:7">
      <c r="A164" s="174" t="s">
        <v>609</v>
      </c>
      <c r="B164" s="181" t="s">
        <v>611</v>
      </c>
      <c r="C164" s="180" t="s">
        <v>274</v>
      </c>
      <c r="D164" s="180">
        <v>237</v>
      </c>
      <c r="E164" s="233">
        <v>86337.76</v>
      </c>
      <c r="F164" s="237">
        <f t="shared" si="18"/>
        <v>20462049.12</v>
      </c>
      <c r="G164" s="234"/>
    </row>
    <row r="165" ht="31.5" spans="1:7">
      <c r="A165" s="174" t="s">
        <v>612</v>
      </c>
      <c r="B165" s="181" t="s">
        <v>614</v>
      </c>
      <c r="C165" s="180" t="s">
        <v>284</v>
      </c>
      <c r="D165" s="180">
        <v>0.08979</v>
      </c>
      <c r="E165" s="233">
        <v>311660.54</v>
      </c>
      <c r="F165" s="237">
        <f t="shared" si="18"/>
        <v>27984</v>
      </c>
      <c r="G165" s="234"/>
    </row>
    <row r="166" ht="31.5" spans="1:7">
      <c r="A166" s="174" t="s">
        <v>615</v>
      </c>
      <c r="B166" s="181" t="s">
        <v>617</v>
      </c>
      <c r="C166" s="180" t="s">
        <v>284</v>
      </c>
      <c r="D166" s="180">
        <v>0.5448</v>
      </c>
      <c r="E166" s="233">
        <v>147788.18</v>
      </c>
      <c r="F166" s="237">
        <f t="shared" si="18"/>
        <v>80515</v>
      </c>
      <c r="G166" s="234"/>
    </row>
    <row r="167" ht="31.5" spans="1:7">
      <c r="A167" s="174" t="s">
        <v>618</v>
      </c>
      <c r="B167" s="181" t="s">
        <v>620</v>
      </c>
      <c r="C167" s="180" t="s">
        <v>274</v>
      </c>
      <c r="D167" s="180">
        <v>4.2</v>
      </c>
      <c r="E167" s="233">
        <v>44125.95</v>
      </c>
      <c r="F167" s="237">
        <f t="shared" si="18"/>
        <v>185328.99</v>
      </c>
      <c r="G167" s="234"/>
    </row>
    <row r="168" spans="1:7">
      <c r="A168" s="156"/>
      <c r="B168" s="200" t="s">
        <v>621</v>
      </c>
      <c r="C168" s="180"/>
      <c r="D168" s="180"/>
      <c r="E168" s="233"/>
      <c r="F168" s="237"/>
      <c r="G168" s="234"/>
    </row>
    <row r="169" ht="31.5" spans="1:7">
      <c r="A169" s="174" t="s">
        <v>622</v>
      </c>
      <c r="B169" s="181" t="s">
        <v>624</v>
      </c>
      <c r="C169" s="180" t="s">
        <v>284</v>
      </c>
      <c r="D169" s="180">
        <v>4.6</v>
      </c>
      <c r="E169" s="233">
        <v>274517.17</v>
      </c>
      <c r="F169" s="237">
        <f t="shared" si="18"/>
        <v>1262778.98</v>
      </c>
      <c r="G169" s="234"/>
    </row>
    <row r="170" spans="1:7">
      <c r="A170" s="174" t="s">
        <v>625</v>
      </c>
      <c r="B170" s="181" t="s">
        <v>627</v>
      </c>
      <c r="C170" s="180" t="s">
        <v>321</v>
      </c>
      <c r="D170" s="180">
        <v>4</v>
      </c>
      <c r="E170" s="233">
        <v>5680.75</v>
      </c>
      <c r="F170" s="237">
        <f t="shared" si="18"/>
        <v>22723</v>
      </c>
      <c r="G170" s="234"/>
    </row>
    <row r="171" spans="1:7">
      <c r="A171" s="174" t="s">
        <v>628</v>
      </c>
      <c r="B171" s="181" t="s">
        <v>630</v>
      </c>
      <c r="C171" s="180" t="s">
        <v>534</v>
      </c>
      <c r="D171" s="180">
        <v>75.6</v>
      </c>
      <c r="E171" s="233">
        <v>4760.78</v>
      </c>
      <c r="F171" s="237">
        <f t="shared" si="18"/>
        <v>359914.97</v>
      </c>
      <c r="G171" s="234"/>
    </row>
    <row r="172" spans="1:7">
      <c r="A172" s="174" t="s">
        <v>631</v>
      </c>
      <c r="B172" s="181" t="s">
        <v>440</v>
      </c>
      <c r="C172" s="180" t="s">
        <v>444</v>
      </c>
      <c r="D172" s="180">
        <v>4</v>
      </c>
      <c r="E172" s="233">
        <v>198796.75</v>
      </c>
      <c r="F172" s="237">
        <f t="shared" si="18"/>
        <v>795187</v>
      </c>
      <c r="G172" s="234"/>
    </row>
    <row r="173" spans="1:7">
      <c r="A173" s="174" t="s">
        <v>633</v>
      </c>
      <c r="B173" s="181" t="s">
        <v>635</v>
      </c>
      <c r="C173" s="180" t="s">
        <v>636</v>
      </c>
      <c r="D173" s="180">
        <v>6</v>
      </c>
      <c r="E173" s="233">
        <v>35295.67</v>
      </c>
      <c r="F173" s="237">
        <f t="shared" si="18"/>
        <v>211774.02</v>
      </c>
      <c r="G173" s="234"/>
    </row>
    <row r="174" spans="1:7">
      <c r="A174" s="156"/>
      <c r="B174" s="200" t="s">
        <v>637</v>
      </c>
      <c r="C174" s="180"/>
      <c r="D174" s="180"/>
      <c r="E174" s="233"/>
      <c r="F174" s="237">
        <f t="shared" si="18"/>
        <v>0</v>
      </c>
      <c r="G174" s="234"/>
    </row>
    <row r="175" spans="1:7">
      <c r="A175" s="174" t="s">
        <v>638</v>
      </c>
      <c r="B175" s="181" t="s">
        <v>640</v>
      </c>
      <c r="C175" s="180" t="s">
        <v>274</v>
      </c>
      <c r="D175" s="180">
        <v>11</v>
      </c>
      <c r="E175" s="233">
        <v>15126.64</v>
      </c>
      <c r="F175" s="237">
        <f t="shared" si="18"/>
        <v>166393.04</v>
      </c>
      <c r="G175" s="234"/>
    </row>
    <row r="176" spans="1:7">
      <c r="A176" s="174" t="s">
        <v>641</v>
      </c>
      <c r="B176" s="181" t="s">
        <v>643</v>
      </c>
      <c r="C176" s="180" t="s">
        <v>274</v>
      </c>
      <c r="D176" s="180">
        <v>55</v>
      </c>
      <c r="E176" s="233">
        <v>46213.27</v>
      </c>
      <c r="F176" s="237">
        <f t="shared" si="18"/>
        <v>2541729.85</v>
      </c>
      <c r="G176" s="234"/>
    </row>
    <row r="177" spans="1:8">
      <c r="A177" s="156"/>
      <c r="B177" s="200" t="s">
        <v>644</v>
      </c>
      <c r="C177" s="180"/>
      <c r="D177" s="180"/>
      <c r="E177" s="233"/>
      <c r="F177" s="237">
        <f t="shared" si="18"/>
        <v>0</v>
      </c>
      <c r="G177" s="234"/>
    </row>
    <row r="178" ht="31.5" spans="1:8">
      <c r="A178" s="174" t="s">
        <v>645</v>
      </c>
      <c r="B178" s="181" t="s">
        <v>647</v>
      </c>
      <c r="C178" s="180" t="s">
        <v>274</v>
      </c>
      <c r="D178" s="180">
        <v>822</v>
      </c>
      <c r="E178" s="233">
        <v>8878.68</v>
      </c>
      <c r="F178" s="237">
        <f t="shared" si="18"/>
        <v>7298274.96</v>
      </c>
      <c r="G178" s="234"/>
    </row>
    <row r="179" spans="1:8">
      <c r="A179" s="156"/>
      <c r="B179" s="200" t="s">
        <v>381</v>
      </c>
      <c r="C179" s="180"/>
      <c r="D179" s="180"/>
      <c r="E179" s="233"/>
      <c r="F179" s="237">
        <f t="shared" si="18"/>
        <v>0</v>
      </c>
      <c r="G179" s="234"/>
    </row>
    <row r="180" spans="1:8">
      <c r="A180" s="174" t="s">
        <v>648</v>
      </c>
      <c r="B180" s="181" t="s">
        <v>381</v>
      </c>
      <c r="C180" s="180" t="s">
        <v>534</v>
      </c>
      <c r="D180" s="183">
        <v>29.2</v>
      </c>
      <c r="E180" s="233">
        <v>3214.86</v>
      </c>
      <c r="F180" s="237">
        <f t="shared" si="18"/>
        <v>93873.91</v>
      </c>
      <c r="G180" s="234"/>
    </row>
    <row r="181" ht="31.5" spans="1:8">
      <c r="A181" s="156"/>
      <c r="B181" s="200" t="s">
        <v>650</v>
      </c>
      <c r="C181" s="180"/>
      <c r="D181" s="180"/>
      <c r="E181" s="233"/>
      <c r="F181" s="237"/>
      <c r="G181" s="234"/>
    </row>
    <row r="182" spans="1:8">
      <c r="A182" s="174" t="s">
        <v>651</v>
      </c>
      <c r="B182" s="181" t="s">
        <v>653</v>
      </c>
      <c r="C182" s="180" t="s">
        <v>284</v>
      </c>
      <c r="D182" s="180">
        <v>29.32</v>
      </c>
      <c r="E182" s="233">
        <v>8350.48</v>
      </c>
      <c r="F182" s="237">
        <f t="shared" si="18"/>
        <v>244836.07</v>
      </c>
      <c r="G182" s="234"/>
    </row>
    <row r="183" spans="1:8">
      <c r="A183" s="174" t="s">
        <v>654</v>
      </c>
      <c r="B183" s="181" t="s">
        <v>656</v>
      </c>
      <c r="C183" s="180" t="s">
        <v>578</v>
      </c>
      <c r="D183" s="180">
        <v>239</v>
      </c>
      <c r="E183" s="233">
        <v>20854.92</v>
      </c>
      <c r="F183" s="237">
        <f t="shared" si="18"/>
        <v>4984325.88</v>
      </c>
      <c r="G183" s="234"/>
    </row>
    <row r="184" spans="1:8">
      <c r="A184" s="174" t="s">
        <v>657</v>
      </c>
      <c r="B184" s="181" t="s">
        <v>659</v>
      </c>
      <c r="C184" s="180" t="s">
        <v>578</v>
      </c>
      <c r="D184" s="180">
        <v>239</v>
      </c>
      <c r="E184" s="233">
        <v>6436.7</v>
      </c>
      <c r="F184" s="237">
        <f t="shared" si="18"/>
        <v>1538371.3</v>
      </c>
      <c r="G184" s="234"/>
    </row>
    <row r="185" ht="24" customHeight="1" spans="1:8">
      <c r="A185" s="174" t="s">
        <v>660</v>
      </c>
      <c r="B185" s="181" t="s">
        <v>662</v>
      </c>
      <c r="C185" s="180" t="s">
        <v>578</v>
      </c>
      <c r="D185" s="180">
        <v>108.2</v>
      </c>
      <c r="E185" s="233">
        <v>1524.43</v>
      </c>
      <c r="F185" s="237">
        <f t="shared" si="18"/>
        <v>164943.33</v>
      </c>
      <c r="G185" s="234"/>
    </row>
    <row r="186" spans="1:8">
      <c r="A186" s="156"/>
      <c r="B186" s="201" t="s">
        <v>663</v>
      </c>
      <c r="C186" s="190"/>
      <c r="D186" s="190"/>
      <c r="E186" s="233"/>
      <c r="F186" s="237"/>
      <c r="G186" s="234"/>
    </row>
    <row r="187" spans="1:8">
      <c r="A187" s="174" t="s">
        <v>664</v>
      </c>
      <c r="B187" s="181" t="s">
        <v>666</v>
      </c>
      <c r="C187" s="180" t="s">
        <v>284</v>
      </c>
      <c r="D187" s="183">
        <v>6.0149</v>
      </c>
      <c r="E187" s="233">
        <v>289629.92</v>
      </c>
      <c r="F187" s="237">
        <f t="shared" si="18"/>
        <v>1742095.01</v>
      </c>
      <c r="G187" s="234"/>
    </row>
    <row r="188" s="153" customFormat="1" spans="1:8">
      <c r="A188" s="174" t="s">
        <v>667</v>
      </c>
      <c r="B188" s="175" t="s">
        <v>669</v>
      </c>
      <c r="C188" s="190" t="s">
        <v>274</v>
      </c>
      <c r="D188" s="172">
        <v>90</v>
      </c>
      <c r="E188" s="233">
        <v>78818.9</v>
      </c>
      <c r="F188" s="237">
        <f t="shared" si="18"/>
        <v>7093701</v>
      </c>
      <c r="G188" s="234"/>
      <c r="H188" s="152"/>
    </row>
    <row r="189" spans="1:8">
      <c r="A189" s="174" t="s">
        <v>670</v>
      </c>
      <c r="B189" s="181" t="s">
        <v>672</v>
      </c>
      <c r="C189" s="180" t="s">
        <v>284</v>
      </c>
      <c r="D189" s="180">
        <v>0.7914</v>
      </c>
      <c r="E189" s="233">
        <v>311651.5</v>
      </c>
      <c r="F189" s="237">
        <f t="shared" si="18"/>
        <v>246641</v>
      </c>
      <c r="G189" s="234"/>
    </row>
    <row r="190" spans="1:8">
      <c r="A190" s="174" t="s">
        <v>673</v>
      </c>
      <c r="B190" s="181" t="s">
        <v>675</v>
      </c>
      <c r="C190" s="180" t="s">
        <v>274</v>
      </c>
      <c r="D190" s="180">
        <v>16</v>
      </c>
      <c r="E190" s="233">
        <v>87350.94</v>
      </c>
      <c r="F190" s="237">
        <f t="shared" si="18"/>
        <v>1397615.04</v>
      </c>
      <c r="G190" s="234"/>
    </row>
    <row r="191" spans="1:8">
      <c r="A191" s="174" t="s">
        <v>676</v>
      </c>
      <c r="B191" s="181" t="s">
        <v>678</v>
      </c>
      <c r="C191" s="180" t="s">
        <v>274</v>
      </c>
      <c r="D191" s="183">
        <v>8.1</v>
      </c>
      <c r="E191" s="233">
        <v>64290.62</v>
      </c>
      <c r="F191" s="237">
        <f t="shared" si="18"/>
        <v>520754.02</v>
      </c>
      <c r="G191" s="234"/>
    </row>
    <row r="192" spans="1:8">
      <c r="A192" s="174" t="s">
        <v>679</v>
      </c>
      <c r="B192" s="202" t="s">
        <v>681</v>
      </c>
      <c r="C192" s="180" t="s">
        <v>321</v>
      </c>
      <c r="D192" s="183">
        <v>4</v>
      </c>
      <c r="E192" s="233">
        <v>198796.75</v>
      </c>
      <c r="F192" s="237">
        <f t="shared" si="18"/>
        <v>795187</v>
      </c>
      <c r="G192" s="234"/>
    </row>
    <row r="193" spans="1:8">
      <c r="A193" s="174" t="s">
        <v>682</v>
      </c>
      <c r="B193" s="202" t="s">
        <v>684</v>
      </c>
      <c r="C193" s="180" t="s">
        <v>534</v>
      </c>
      <c r="D193" s="183">
        <v>5.2</v>
      </c>
      <c r="E193" s="233">
        <v>3214.23</v>
      </c>
      <c r="F193" s="237">
        <f t="shared" si="18"/>
        <v>16714</v>
      </c>
      <c r="G193" s="234"/>
    </row>
    <row r="194" ht="31.5" spans="1:8">
      <c r="A194" s="174" t="s">
        <v>685</v>
      </c>
      <c r="B194" s="181" t="s">
        <v>687</v>
      </c>
      <c r="C194" s="180" t="s">
        <v>274</v>
      </c>
      <c r="D194" s="180">
        <v>328</v>
      </c>
      <c r="E194" s="233">
        <v>9884.15</v>
      </c>
      <c r="F194" s="233">
        <f t="shared" si="18"/>
        <v>3242001.2</v>
      </c>
      <c r="G194" s="234"/>
    </row>
    <row r="195" spans="1:8">
      <c r="A195" s="156"/>
      <c r="B195" s="203" t="s">
        <v>688</v>
      </c>
      <c r="C195" s="180"/>
      <c r="D195" s="180"/>
      <c r="E195" s="233"/>
      <c r="F195" s="233"/>
      <c r="G195" s="234"/>
    </row>
    <row r="196" ht="16.5" spans="1:8">
      <c r="A196" s="174" t="s">
        <v>689</v>
      </c>
      <c r="B196" s="265" t="s">
        <v>691</v>
      </c>
      <c r="C196" s="266" t="s">
        <v>321</v>
      </c>
      <c r="D196" s="298">
        <v>5</v>
      </c>
      <c r="E196" s="237">
        <v>7429.8</v>
      </c>
      <c r="F196" s="237">
        <f>E196*D196</f>
        <v>37149</v>
      </c>
      <c r="G196" s="234"/>
    </row>
    <row r="197" s="216" customFormat="1" ht="16.5" spans="1:8">
      <c r="A197" s="268"/>
      <c r="B197" s="299" t="s">
        <v>692</v>
      </c>
      <c r="C197" s="269"/>
      <c r="D197" s="269"/>
      <c r="E197" s="270"/>
      <c r="F197" s="242">
        <f>SUM(F153:F196)</f>
        <v>117453409.87</v>
      </c>
      <c r="G197" s="234"/>
      <c r="H197" s="300"/>
    </row>
    <row r="198" ht="16.5" hidden="1" spans="1:8">
      <c r="A198" s="301"/>
      <c r="B198" s="302"/>
      <c r="C198" s="303"/>
      <c r="D198" s="304"/>
      <c r="E198" s="305"/>
      <c r="F198" s="306"/>
      <c r="G198" s="234"/>
    </row>
    <row r="199" ht="16.5" hidden="1" spans="1:8">
      <c r="A199" s="301"/>
      <c r="B199" s="302"/>
      <c r="C199" s="303"/>
      <c r="D199" s="304"/>
      <c r="E199" s="305"/>
      <c r="F199" s="306"/>
      <c r="G199" s="234"/>
    </row>
    <row r="200" spans="1:8">
      <c r="A200" s="253" t="s">
        <v>693</v>
      </c>
      <c r="B200" s="254"/>
      <c r="C200" s="307"/>
      <c r="D200" s="275"/>
      <c r="E200" s="276"/>
      <c r="F200" s="308"/>
      <c r="G200" s="234"/>
    </row>
    <row r="201" ht="48" spans="1:8">
      <c r="A201" s="174" t="s">
        <v>694</v>
      </c>
      <c r="B201" s="265" t="s">
        <v>696</v>
      </c>
      <c r="C201" s="266" t="s">
        <v>274</v>
      </c>
      <c r="D201" s="298">
        <v>5740</v>
      </c>
      <c r="E201" s="237">
        <v>2893.68</v>
      </c>
      <c r="F201" s="237">
        <f t="shared" si="18"/>
        <v>16609723.2</v>
      </c>
      <c r="G201" s="234"/>
    </row>
    <row r="202" s="216" customFormat="1" ht="16.5" spans="1:8">
      <c r="A202" s="309"/>
      <c r="B202" s="299" t="s">
        <v>697</v>
      </c>
      <c r="C202" s="269"/>
      <c r="D202" s="240"/>
      <c r="E202" s="270"/>
      <c r="F202" s="242">
        <f>F201</f>
        <v>16609723.2</v>
      </c>
      <c r="G202" s="234"/>
      <c r="H202" s="300"/>
    </row>
    <row r="203" spans="1:8">
      <c r="A203" s="253" t="s">
        <v>698</v>
      </c>
      <c r="B203" s="254"/>
      <c r="C203" s="180"/>
      <c r="D203" s="183"/>
      <c r="E203" s="233"/>
      <c r="F203" s="237"/>
      <c r="G203" s="234"/>
    </row>
    <row r="204" ht="32.25" spans="1:8">
      <c r="A204" s="174" t="s">
        <v>699</v>
      </c>
      <c r="B204" s="235" t="s">
        <v>461</v>
      </c>
      <c r="C204" s="236" t="s">
        <v>321</v>
      </c>
      <c r="D204" s="236">
        <v>1</v>
      </c>
      <c r="E204" s="237">
        <v>732336</v>
      </c>
      <c r="F204" s="237">
        <f t="shared" si="18"/>
        <v>732336</v>
      </c>
      <c r="G204" s="234"/>
    </row>
    <row r="205" s="216" customFormat="1" ht="16.5" spans="1:8">
      <c r="A205" s="309"/>
      <c r="B205" s="299" t="s">
        <v>701</v>
      </c>
      <c r="C205" s="269"/>
      <c r="D205" s="269"/>
      <c r="E205" s="270"/>
      <c r="F205" s="242">
        <f>F204</f>
        <v>732336</v>
      </c>
      <c r="G205" s="234"/>
      <c r="H205" s="300"/>
    </row>
    <row r="206" spans="1:8">
      <c r="A206" s="253" t="s">
        <v>702</v>
      </c>
      <c r="B206" s="254"/>
      <c r="C206" s="180"/>
      <c r="D206" s="180"/>
      <c r="E206" s="233"/>
      <c r="F206" s="237"/>
      <c r="G206" s="234"/>
    </row>
    <row r="207" spans="1:8">
      <c r="A207" s="310" t="s">
        <v>703</v>
      </c>
      <c r="B207" s="311"/>
      <c r="C207" s="180"/>
      <c r="D207" s="180"/>
      <c r="E207" s="233"/>
      <c r="F207" s="237"/>
      <c r="G207" s="234"/>
    </row>
    <row r="208" spans="1:8">
      <c r="A208" s="174" t="s">
        <v>704</v>
      </c>
      <c r="B208" s="181" t="s">
        <v>706</v>
      </c>
      <c r="C208" s="180" t="s">
        <v>274</v>
      </c>
      <c r="D208" s="180">
        <v>250</v>
      </c>
      <c r="E208" s="233">
        <v>64.42</v>
      </c>
      <c r="F208" s="237">
        <f t="shared" si="18"/>
        <v>16105</v>
      </c>
      <c r="G208" s="234"/>
    </row>
    <row r="209" spans="1:8">
      <c r="A209" s="174" t="s">
        <v>707</v>
      </c>
      <c r="B209" s="181" t="s">
        <v>709</v>
      </c>
      <c r="C209" s="180" t="s">
        <v>274</v>
      </c>
      <c r="D209" s="180">
        <v>340</v>
      </c>
      <c r="E209" s="233">
        <v>173.54</v>
      </c>
      <c r="F209" s="237">
        <f t="shared" si="18"/>
        <v>59003.6</v>
      </c>
      <c r="G209" s="234"/>
    </row>
    <row r="210" spans="1:8">
      <c r="A210" s="174" t="s">
        <v>710</v>
      </c>
      <c r="B210" s="181" t="s">
        <v>712</v>
      </c>
      <c r="C210" s="180" t="s">
        <v>274</v>
      </c>
      <c r="D210" s="180">
        <v>340</v>
      </c>
      <c r="E210" s="233">
        <v>70.57</v>
      </c>
      <c r="F210" s="237">
        <f t="shared" si="18"/>
        <v>23993.8</v>
      </c>
      <c r="G210" s="234"/>
    </row>
    <row r="211" spans="1:8">
      <c r="A211" s="174" t="s">
        <v>713</v>
      </c>
      <c r="B211" s="181" t="s">
        <v>715</v>
      </c>
      <c r="C211" s="180" t="s">
        <v>578</v>
      </c>
      <c r="D211" s="180">
        <v>1819</v>
      </c>
      <c r="E211" s="233">
        <v>64.32</v>
      </c>
      <c r="F211" s="237">
        <f t="shared" si="18"/>
        <v>116998.08</v>
      </c>
      <c r="G211" s="234"/>
    </row>
    <row r="212" spans="1:8">
      <c r="A212" s="174" t="s">
        <v>716</v>
      </c>
      <c r="B212" s="181" t="s">
        <v>718</v>
      </c>
      <c r="C212" s="180" t="s">
        <v>578</v>
      </c>
      <c r="D212" s="180">
        <v>88</v>
      </c>
      <c r="E212" s="233">
        <v>12152.27</v>
      </c>
      <c r="F212" s="237">
        <f t="shared" si="18"/>
        <v>1069399.76</v>
      </c>
      <c r="G212" s="234"/>
    </row>
    <row r="213" spans="1:8">
      <c r="A213" s="156"/>
      <c r="B213" s="200" t="s">
        <v>719</v>
      </c>
      <c r="C213" s="180"/>
      <c r="D213" s="180"/>
      <c r="E213" s="233"/>
      <c r="F213" s="237"/>
      <c r="G213" s="234"/>
    </row>
    <row r="214" ht="32.25" spans="1:8">
      <c r="A214" s="174" t="s">
        <v>720</v>
      </c>
      <c r="B214" s="265" t="s">
        <v>722</v>
      </c>
      <c r="C214" s="266" t="s">
        <v>578</v>
      </c>
      <c r="D214" s="266">
        <v>1535</v>
      </c>
      <c r="E214" s="237">
        <v>823.88</v>
      </c>
      <c r="F214" s="237">
        <f t="shared" si="18"/>
        <v>1264655.8</v>
      </c>
      <c r="G214" s="234"/>
    </row>
    <row r="215" s="216" customFormat="1" ht="16.5" spans="1:8">
      <c r="A215" s="268"/>
      <c r="B215" s="312" t="s">
        <v>723</v>
      </c>
      <c r="C215" s="269"/>
      <c r="D215" s="269"/>
      <c r="E215" s="270"/>
      <c r="F215" s="242">
        <f>SUM(F208:F214)</f>
        <v>2550156.04</v>
      </c>
      <c r="G215" s="234"/>
      <c r="H215" s="300"/>
    </row>
    <row r="216" spans="1:8">
      <c r="A216" s="253" t="s">
        <v>724</v>
      </c>
      <c r="B216" s="254"/>
      <c r="C216" s="307"/>
      <c r="D216" s="307"/>
      <c r="E216" s="276"/>
      <c r="F216" s="308"/>
      <c r="G216" s="234"/>
    </row>
    <row r="217" spans="1:8">
      <c r="A217" s="186"/>
      <c r="B217" s="200" t="s">
        <v>725</v>
      </c>
      <c r="C217" s="180"/>
      <c r="D217" s="180"/>
      <c r="E217" s="233"/>
      <c r="F217" s="237"/>
      <c r="G217" s="234"/>
    </row>
    <row r="218" spans="1:8">
      <c r="A218" s="174" t="s">
        <v>726</v>
      </c>
      <c r="B218" s="181" t="s">
        <v>728</v>
      </c>
      <c r="C218" s="180" t="s">
        <v>274</v>
      </c>
      <c r="D218" s="180">
        <v>100</v>
      </c>
      <c r="E218" s="233">
        <v>64.42</v>
      </c>
      <c r="F218" s="237">
        <f t="shared" ref="F218:F271" si="19">E218*D218</f>
        <v>6442</v>
      </c>
      <c r="G218" s="234"/>
    </row>
    <row r="219" ht="31.5" spans="1:8">
      <c r="A219" s="174" t="s">
        <v>729</v>
      </c>
      <c r="B219" s="181" t="s">
        <v>731</v>
      </c>
      <c r="C219" s="180" t="s">
        <v>274</v>
      </c>
      <c r="D219" s="180">
        <v>10</v>
      </c>
      <c r="E219" s="233">
        <v>106.8</v>
      </c>
      <c r="F219" s="237">
        <f t="shared" si="19"/>
        <v>1068</v>
      </c>
      <c r="G219" s="234"/>
    </row>
    <row r="220" spans="1:8">
      <c r="A220" s="174" t="s">
        <v>732</v>
      </c>
      <c r="B220" s="181" t="s">
        <v>479</v>
      </c>
      <c r="C220" s="180" t="s">
        <v>274</v>
      </c>
      <c r="D220" s="180">
        <v>10</v>
      </c>
      <c r="E220" s="233">
        <v>70.57</v>
      </c>
      <c r="F220" s="237">
        <f t="shared" si="19"/>
        <v>705.7</v>
      </c>
      <c r="G220" s="234"/>
    </row>
    <row r="221" ht="47.25" spans="1:8">
      <c r="A221" s="174" t="s">
        <v>734</v>
      </c>
      <c r="B221" s="181" t="s">
        <v>736</v>
      </c>
      <c r="C221" s="180" t="s">
        <v>274</v>
      </c>
      <c r="D221" s="180">
        <v>140</v>
      </c>
      <c r="E221" s="233">
        <v>717.73</v>
      </c>
      <c r="F221" s="237">
        <f t="shared" si="19"/>
        <v>100482.2</v>
      </c>
      <c r="G221" s="234"/>
    </row>
    <row r="222" spans="1:8">
      <c r="A222" s="174" t="s">
        <v>737</v>
      </c>
      <c r="B222" s="181" t="s">
        <v>739</v>
      </c>
      <c r="C222" s="180" t="s">
        <v>578</v>
      </c>
      <c r="D222" s="180">
        <v>712</v>
      </c>
      <c r="E222" s="233">
        <v>64.32</v>
      </c>
      <c r="F222" s="237">
        <f t="shared" si="19"/>
        <v>45795.84</v>
      </c>
      <c r="G222" s="234"/>
    </row>
    <row r="223" ht="31.5" spans="1:8">
      <c r="A223" s="174" t="s">
        <v>740</v>
      </c>
      <c r="B223" s="181" t="s">
        <v>742</v>
      </c>
      <c r="C223" s="180" t="s">
        <v>578</v>
      </c>
      <c r="D223" s="180">
        <v>203</v>
      </c>
      <c r="E223" s="233">
        <v>147.54</v>
      </c>
      <c r="F223" s="237">
        <f t="shared" si="19"/>
        <v>29950.62</v>
      </c>
      <c r="G223" s="234"/>
    </row>
    <row r="224" ht="32.25" spans="1:8">
      <c r="A224" s="174" t="s">
        <v>743</v>
      </c>
      <c r="B224" s="265" t="s">
        <v>722</v>
      </c>
      <c r="C224" s="266" t="s">
        <v>578</v>
      </c>
      <c r="D224" s="266">
        <v>571</v>
      </c>
      <c r="E224" s="237">
        <v>823.88</v>
      </c>
      <c r="F224" s="237">
        <f t="shared" si="19"/>
        <v>470435.48</v>
      </c>
      <c r="G224" s="234"/>
    </row>
    <row r="225" s="216" customFormat="1" ht="16.5" spans="1:8">
      <c r="A225" s="309"/>
      <c r="B225" s="312" t="s">
        <v>745</v>
      </c>
      <c r="C225" s="269"/>
      <c r="D225" s="269"/>
      <c r="E225" s="270"/>
      <c r="F225" s="242">
        <f>SUM(F218:F224)</f>
        <v>654879.84</v>
      </c>
      <c r="G225" s="234"/>
      <c r="H225" s="300"/>
    </row>
    <row r="226" spans="1:8">
      <c r="A226" s="253" t="s">
        <v>746</v>
      </c>
      <c r="B226" s="254"/>
      <c r="C226" s="307"/>
      <c r="D226" s="307"/>
      <c r="E226" s="276"/>
      <c r="F226" s="308"/>
      <c r="G226" s="234"/>
    </row>
    <row r="227" spans="1:8">
      <c r="A227" s="174" t="s">
        <v>747</v>
      </c>
      <c r="B227" s="181" t="s">
        <v>706</v>
      </c>
      <c r="C227" s="180" t="s">
        <v>274</v>
      </c>
      <c r="D227" s="180">
        <v>50</v>
      </c>
      <c r="E227" s="233">
        <v>64.42</v>
      </c>
      <c r="F227" s="237">
        <f t="shared" si="19"/>
        <v>3221</v>
      </c>
      <c r="G227" s="234"/>
    </row>
    <row r="228" spans="1:8">
      <c r="A228" s="174" t="s">
        <v>749</v>
      </c>
      <c r="B228" s="181" t="s">
        <v>751</v>
      </c>
      <c r="C228" s="180" t="s">
        <v>274</v>
      </c>
      <c r="D228" s="180">
        <v>30</v>
      </c>
      <c r="E228" s="233">
        <v>106.6</v>
      </c>
      <c r="F228" s="237">
        <f t="shared" si="19"/>
        <v>3198</v>
      </c>
      <c r="G228" s="234"/>
    </row>
    <row r="229" spans="1:8">
      <c r="A229" s="174" t="s">
        <v>752</v>
      </c>
      <c r="B229" s="181" t="s">
        <v>712</v>
      </c>
      <c r="C229" s="180" t="s">
        <v>274</v>
      </c>
      <c r="D229" s="180">
        <v>30</v>
      </c>
      <c r="E229" s="233">
        <v>70.57</v>
      </c>
      <c r="F229" s="237">
        <f t="shared" si="19"/>
        <v>2117.1</v>
      </c>
      <c r="G229" s="234"/>
    </row>
    <row r="230" ht="63" spans="1:8">
      <c r="A230" s="174" t="s">
        <v>754</v>
      </c>
      <c r="B230" s="181" t="s">
        <v>756</v>
      </c>
      <c r="C230" s="180" t="s">
        <v>274</v>
      </c>
      <c r="D230" s="180">
        <v>15</v>
      </c>
      <c r="E230" s="233">
        <v>717.73</v>
      </c>
      <c r="F230" s="237">
        <f t="shared" si="19"/>
        <v>10765.95</v>
      </c>
      <c r="G230" s="234"/>
    </row>
    <row r="231" spans="1:8">
      <c r="A231" s="156"/>
      <c r="B231" s="200" t="s">
        <v>757</v>
      </c>
      <c r="C231" s="180"/>
      <c r="D231" s="180"/>
      <c r="E231" s="233"/>
      <c r="F231" s="237">
        <f t="shared" si="19"/>
        <v>0</v>
      </c>
      <c r="G231" s="234"/>
    </row>
    <row r="232" spans="1:8">
      <c r="A232" s="174" t="s">
        <v>758</v>
      </c>
      <c r="B232" s="181" t="s">
        <v>760</v>
      </c>
      <c r="C232" s="180" t="s">
        <v>578</v>
      </c>
      <c r="D232" s="180">
        <v>388</v>
      </c>
      <c r="E232" s="233">
        <v>64.32</v>
      </c>
      <c r="F232" s="237">
        <f t="shared" si="19"/>
        <v>24956.16</v>
      </c>
      <c r="G232" s="234"/>
    </row>
    <row r="233" ht="31.5" spans="1:8">
      <c r="A233" s="174" t="s">
        <v>761</v>
      </c>
      <c r="B233" s="181" t="s">
        <v>742</v>
      </c>
      <c r="C233" s="180" t="s">
        <v>578</v>
      </c>
      <c r="D233" s="180">
        <v>40</v>
      </c>
      <c r="E233" s="233">
        <v>147.54</v>
      </c>
      <c r="F233" s="237">
        <f t="shared" si="19"/>
        <v>5901.6</v>
      </c>
      <c r="G233" s="234"/>
    </row>
    <row r="234" spans="1:8">
      <c r="A234" s="156"/>
      <c r="B234" s="206" t="s">
        <v>763</v>
      </c>
      <c r="C234" s="190"/>
      <c r="D234" s="190"/>
      <c r="E234" s="233"/>
      <c r="F234" s="237">
        <f t="shared" si="19"/>
        <v>0</v>
      </c>
      <c r="G234" s="234"/>
    </row>
    <row r="235" ht="32.25" spans="1:8">
      <c r="A235" s="174" t="s">
        <v>764</v>
      </c>
      <c r="B235" s="175" t="s">
        <v>722</v>
      </c>
      <c r="C235" s="190" t="s">
        <v>578</v>
      </c>
      <c r="D235" s="190">
        <v>303</v>
      </c>
      <c r="E235" s="233">
        <v>823.88</v>
      </c>
      <c r="F235" s="237">
        <f t="shared" si="19"/>
        <v>249635.64</v>
      </c>
      <c r="G235" s="234"/>
    </row>
    <row r="236" s="216" customFormat="1" ht="16.5" spans="1:8">
      <c r="A236" s="309"/>
      <c r="B236" s="312" t="s">
        <v>766</v>
      </c>
      <c r="C236" s="269"/>
      <c r="D236" s="269"/>
      <c r="E236" s="270"/>
      <c r="F236" s="242">
        <f>SUM(F227:F235)</f>
        <v>299795.45</v>
      </c>
      <c r="G236" s="234"/>
      <c r="H236" s="300"/>
    </row>
    <row r="237" spans="1:8">
      <c r="A237" s="313" t="s">
        <v>767</v>
      </c>
      <c r="B237" s="314"/>
      <c r="C237" s="190"/>
      <c r="D237" s="190"/>
      <c r="E237" s="233"/>
      <c r="F237" s="237">
        <f t="shared" si="19"/>
        <v>0</v>
      </c>
      <c r="G237" s="234"/>
    </row>
    <row r="238" ht="31.5" spans="1:8">
      <c r="A238" s="174" t="s">
        <v>768</v>
      </c>
      <c r="B238" s="175" t="s">
        <v>770</v>
      </c>
      <c r="C238" s="190" t="s">
        <v>578</v>
      </c>
      <c r="D238" s="190">
        <v>20</v>
      </c>
      <c r="E238" s="233">
        <v>621.95</v>
      </c>
      <c r="F238" s="237">
        <f t="shared" si="19"/>
        <v>12439</v>
      </c>
      <c r="G238" s="234"/>
    </row>
    <row r="239" ht="16.5" spans="1:8">
      <c r="A239" s="174" t="s">
        <v>771</v>
      </c>
      <c r="B239" s="175" t="s">
        <v>773</v>
      </c>
      <c r="C239" s="190" t="s">
        <v>534</v>
      </c>
      <c r="D239" s="190">
        <v>23</v>
      </c>
      <c r="E239" s="233">
        <v>5257</v>
      </c>
      <c r="F239" s="237">
        <f t="shared" si="19"/>
        <v>120911</v>
      </c>
      <c r="G239" s="234"/>
    </row>
    <row r="240" s="216" customFormat="1" ht="16.5" spans="1:8">
      <c r="A240" s="309"/>
      <c r="B240" s="312" t="s">
        <v>774</v>
      </c>
      <c r="C240" s="269"/>
      <c r="D240" s="269"/>
      <c r="E240" s="270"/>
      <c r="F240" s="242">
        <f>SUM(F238:F239)</f>
        <v>133350</v>
      </c>
      <c r="G240" s="234"/>
      <c r="H240" s="300"/>
    </row>
    <row r="241" spans="1:8">
      <c r="A241" s="313" t="s">
        <v>775</v>
      </c>
      <c r="B241" s="314"/>
      <c r="C241" s="190"/>
      <c r="D241" s="190"/>
      <c r="E241" s="233"/>
      <c r="F241" s="237">
        <f t="shared" si="19"/>
        <v>0</v>
      </c>
      <c r="G241" s="234"/>
    </row>
    <row r="242" spans="1:8">
      <c r="A242" s="174" t="s">
        <v>776</v>
      </c>
      <c r="B242" s="175" t="s">
        <v>778</v>
      </c>
      <c r="C242" s="190" t="s">
        <v>321</v>
      </c>
      <c r="D242" s="190">
        <v>11</v>
      </c>
      <c r="E242" s="233">
        <v>29672</v>
      </c>
      <c r="F242" s="237">
        <f t="shared" si="19"/>
        <v>326392</v>
      </c>
      <c r="G242" s="234"/>
    </row>
    <row r="243" spans="1:8">
      <c r="A243" s="174" t="s">
        <v>779</v>
      </c>
      <c r="B243" s="175" t="s">
        <v>781</v>
      </c>
      <c r="C243" s="190" t="s">
        <v>274</v>
      </c>
      <c r="D243" s="190">
        <v>3</v>
      </c>
      <c r="E243" s="233">
        <v>5941.67</v>
      </c>
      <c r="F243" s="237">
        <f t="shared" si="19"/>
        <v>17825.01</v>
      </c>
      <c r="G243" s="234"/>
    </row>
    <row r="244" ht="40.5" customHeight="1" spans="1:8">
      <c r="A244" s="174" t="s">
        <v>782</v>
      </c>
      <c r="B244" s="175" t="s">
        <v>784</v>
      </c>
      <c r="C244" s="190" t="s">
        <v>321</v>
      </c>
      <c r="D244" s="190">
        <v>44</v>
      </c>
      <c r="E244" s="233">
        <v>4151.77</v>
      </c>
      <c r="F244" s="237">
        <f t="shared" si="19"/>
        <v>182677.88</v>
      </c>
      <c r="G244" s="234"/>
    </row>
    <row r="245" s="216" customFormat="1" ht="16.5" spans="1:8">
      <c r="A245" s="309"/>
      <c r="B245" s="312" t="s">
        <v>785</v>
      </c>
      <c r="C245" s="269"/>
      <c r="D245" s="269"/>
      <c r="E245" s="270"/>
      <c r="F245" s="242">
        <f>SUM(F242:F244)</f>
        <v>526894.89</v>
      </c>
      <c r="G245" s="234"/>
      <c r="H245" s="300"/>
    </row>
    <row r="246" s="216" customFormat="1" ht="16.5" spans="1:8">
      <c r="A246" s="309"/>
      <c r="B246" s="312" t="s">
        <v>786</v>
      </c>
      <c r="C246" s="269"/>
      <c r="D246" s="269"/>
      <c r="E246" s="270"/>
      <c r="F246" s="242">
        <f>F245+F240+F236+F225+F215</f>
        <v>4165076.22</v>
      </c>
      <c r="G246" s="234"/>
      <c r="H246" s="300"/>
    </row>
    <row r="247" spans="1:8">
      <c r="A247" s="313" t="s">
        <v>787</v>
      </c>
      <c r="B247" s="314"/>
      <c r="C247" s="190"/>
      <c r="D247" s="190"/>
      <c r="E247" s="233"/>
      <c r="F247" s="237">
        <f t="shared" si="19"/>
        <v>0</v>
      </c>
      <c r="G247" s="234"/>
    </row>
    <row r="248" spans="1:8">
      <c r="A248" s="204"/>
      <c r="B248" s="173" t="s">
        <v>535</v>
      </c>
      <c r="C248" s="190"/>
      <c r="D248" s="190"/>
      <c r="E248" s="233"/>
      <c r="F248" s="237">
        <f t="shared" si="19"/>
        <v>0</v>
      </c>
      <c r="G248" s="234"/>
    </row>
    <row r="249" spans="1:8">
      <c r="A249" s="174" t="s">
        <v>788</v>
      </c>
      <c r="B249" s="175" t="s">
        <v>538</v>
      </c>
      <c r="C249" s="190" t="s">
        <v>274</v>
      </c>
      <c r="D249" s="190">
        <v>5</v>
      </c>
      <c r="E249" s="233">
        <v>560.6</v>
      </c>
      <c r="F249" s="237">
        <f t="shared" si="19"/>
        <v>2803</v>
      </c>
      <c r="G249" s="234"/>
    </row>
    <row r="250" spans="1:8">
      <c r="A250" s="174" t="s">
        <v>790</v>
      </c>
      <c r="B250" s="175" t="s">
        <v>792</v>
      </c>
      <c r="C250" s="190" t="s">
        <v>321</v>
      </c>
      <c r="D250" s="190">
        <v>7</v>
      </c>
      <c r="E250" s="233">
        <v>21599</v>
      </c>
      <c r="F250" s="237">
        <f t="shared" si="19"/>
        <v>151193</v>
      </c>
      <c r="G250" s="234"/>
    </row>
    <row r="251" spans="1:8">
      <c r="A251" s="174" t="s">
        <v>793</v>
      </c>
      <c r="B251" s="175" t="s">
        <v>795</v>
      </c>
      <c r="C251" s="190" t="s">
        <v>321</v>
      </c>
      <c r="D251" s="190">
        <v>2</v>
      </c>
      <c r="E251" s="233">
        <v>3764</v>
      </c>
      <c r="F251" s="237">
        <f t="shared" si="19"/>
        <v>7528</v>
      </c>
      <c r="G251" s="234"/>
    </row>
    <row r="252" spans="1:8">
      <c r="A252" s="174" t="s">
        <v>796</v>
      </c>
      <c r="B252" s="175" t="s">
        <v>798</v>
      </c>
      <c r="C252" s="190" t="s">
        <v>321</v>
      </c>
      <c r="D252" s="190">
        <v>1</v>
      </c>
      <c r="E252" s="233">
        <v>4149</v>
      </c>
      <c r="F252" s="237">
        <f t="shared" si="19"/>
        <v>4149</v>
      </c>
      <c r="G252" s="234"/>
    </row>
    <row r="253" spans="1:8">
      <c r="A253" s="174" t="s">
        <v>799</v>
      </c>
      <c r="B253" s="175" t="s">
        <v>801</v>
      </c>
      <c r="C253" s="190" t="s">
        <v>321</v>
      </c>
      <c r="D253" s="190">
        <v>2</v>
      </c>
      <c r="E253" s="233">
        <v>4284.5</v>
      </c>
      <c r="F253" s="237">
        <f t="shared" si="19"/>
        <v>8569</v>
      </c>
      <c r="G253" s="234"/>
    </row>
    <row r="254" spans="1:8">
      <c r="A254" s="174" t="s">
        <v>802</v>
      </c>
      <c r="B254" s="175" t="s">
        <v>804</v>
      </c>
      <c r="C254" s="190" t="s">
        <v>321</v>
      </c>
      <c r="D254" s="172">
        <v>4</v>
      </c>
      <c r="E254" s="233">
        <v>6549.25</v>
      </c>
      <c r="F254" s="237">
        <f t="shared" si="19"/>
        <v>26197</v>
      </c>
      <c r="G254" s="234"/>
    </row>
    <row r="255" spans="1:8">
      <c r="A255" s="174" t="s">
        <v>805</v>
      </c>
      <c r="B255" s="176" t="s">
        <v>807</v>
      </c>
      <c r="C255" s="190" t="s">
        <v>321</v>
      </c>
      <c r="D255" s="172">
        <v>2</v>
      </c>
      <c r="E255" s="233">
        <v>4145.5</v>
      </c>
      <c r="F255" s="237">
        <f t="shared" si="19"/>
        <v>8291</v>
      </c>
      <c r="G255" s="234"/>
    </row>
    <row r="256" s="216" customFormat="1" ht="16.5" spans="1:8">
      <c r="A256" s="315"/>
      <c r="B256" s="316" t="s">
        <v>808</v>
      </c>
      <c r="C256" s="317"/>
      <c r="D256" s="318"/>
      <c r="E256" s="319"/>
      <c r="F256" s="320">
        <f>SUM(F249:F255)</f>
        <v>208730</v>
      </c>
      <c r="G256" s="234"/>
      <c r="H256" s="300"/>
    </row>
    <row r="257" s="216" customFormat="1" ht="16.5" spans="1:8">
      <c r="A257" s="309"/>
      <c r="B257" s="312" t="s">
        <v>809</v>
      </c>
      <c r="C257" s="269"/>
      <c r="D257" s="269"/>
      <c r="E257" s="270"/>
      <c r="F257" s="242">
        <f>F256+F246+F205+F202+F197</f>
        <v>139169275.29</v>
      </c>
      <c r="G257" s="234"/>
      <c r="H257" s="300"/>
    </row>
    <row r="258" spans="1:8">
      <c r="A258" s="321"/>
      <c r="B258" s="322" t="s">
        <v>810</v>
      </c>
      <c r="C258" s="323"/>
      <c r="D258" s="323"/>
      <c r="E258" s="276"/>
      <c r="F258" s="308"/>
      <c r="G258" s="234"/>
    </row>
    <row r="259" spans="1:8">
      <c r="A259" s="174" t="s">
        <v>811</v>
      </c>
      <c r="B259" s="175" t="s">
        <v>813</v>
      </c>
      <c r="C259" s="172" t="s">
        <v>321</v>
      </c>
      <c r="D259" s="172">
        <v>13</v>
      </c>
      <c r="E259" s="233">
        <v>1067.23</v>
      </c>
      <c r="F259" s="237">
        <f t="shared" si="19"/>
        <v>13873.99</v>
      </c>
      <c r="G259" s="234"/>
    </row>
    <row r="260" spans="1:8">
      <c r="A260" s="174" t="s">
        <v>814</v>
      </c>
      <c r="B260" s="175" t="s">
        <v>816</v>
      </c>
      <c r="C260" s="172" t="s">
        <v>274</v>
      </c>
      <c r="D260" s="172">
        <v>23</v>
      </c>
      <c r="E260" s="233">
        <v>3947.13</v>
      </c>
      <c r="F260" s="237">
        <f t="shared" si="19"/>
        <v>90783.99</v>
      </c>
      <c r="G260" s="234"/>
    </row>
    <row r="261" spans="1:8">
      <c r="A261" s="174" t="s">
        <v>817</v>
      </c>
      <c r="B261" s="175" t="s">
        <v>819</v>
      </c>
      <c r="C261" s="172" t="s">
        <v>444</v>
      </c>
      <c r="D261" s="172">
        <v>13</v>
      </c>
      <c r="E261" s="233">
        <v>25364.77</v>
      </c>
      <c r="F261" s="237">
        <f t="shared" si="19"/>
        <v>329742.01</v>
      </c>
      <c r="G261" s="234"/>
    </row>
    <row r="262" spans="1:8">
      <c r="A262" s="174" t="s">
        <v>820</v>
      </c>
      <c r="B262" s="176" t="s">
        <v>822</v>
      </c>
      <c r="C262" s="172" t="s">
        <v>274</v>
      </c>
      <c r="D262" s="172">
        <v>2</v>
      </c>
      <c r="E262" s="233">
        <v>22212.5</v>
      </c>
      <c r="F262" s="237">
        <f t="shared" si="19"/>
        <v>44425</v>
      </c>
      <c r="G262" s="234"/>
    </row>
    <row r="263" spans="1:8">
      <c r="A263" s="174" t="s">
        <v>823</v>
      </c>
      <c r="B263" s="175" t="s">
        <v>825</v>
      </c>
      <c r="C263" s="172" t="s">
        <v>444</v>
      </c>
      <c r="D263" s="172" t="s">
        <v>826</v>
      </c>
      <c r="E263" s="233">
        <v>102881.53</v>
      </c>
      <c r="F263" s="237">
        <f t="shared" si="19"/>
        <v>1543222.95</v>
      </c>
      <c r="G263" s="234"/>
    </row>
    <row r="264" spans="1:8">
      <c r="A264" s="174" t="s">
        <v>827</v>
      </c>
      <c r="B264" s="175" t="s">
        <v>829</v>
      </c>
      <c r="C264" s="172" t="s">
        <v>444</v>
      </c>
      <c r="D264" s="172" t="s">
        <v>830</v>
      </c>
      <c r="E264" s="233">
        <v>18677</v>
      </c>
      <c r="F264" s="237">
        <f t="shared" si="19"/>
        <v>224124</v>
      </c>
      <c r="G264" s="234"/>
    </row>
    <row r="265" spans="1:8">
      <c r="A265" s="174" t="s">
        <v>831</v>
      </c>
      <c r="B265" s="175" t="s">
        <v>833</v>
      </c>
      <c r="C265" s="172" t="s">
        <v>444</v>
      </c>
      <c r="D265" s="172" t="s">
        <v>242</v>
      </c>
      <c r="E265" s="233">
        <v>20468.33</v>
      </c>
      <c r="F265" s="237">
        <f t="shared" si="19"/>
        <v>61404.99</v>
      </c>
      <c r="G265" s="234"/>
    </row>
    <row r="266" spans="1:8">
      <c r="A266" s="174" t="s">
        <v>834</v>
      </c>
      <c r="B266" s="176" t="s">
        <v>836</v>
      </c>
      <c r="C266" s="172" t="s">
        <v>444</v>
      </c>
      <c r="D266" s="172" t="s">
        <v>503</v>
      </c>
      <c r="E266" s="233">
        <v>30855.72</v>
      </c>
      <c r="F266" s="237">
        <f t="shared" si="19"/>
        <v>555402.96</v>
      </c>
      <c r="G266" s="234"/>
    </row>
    <row r="267" spans="1:8">
      <c r="A267" s="174" t="s">
        <v>837</v>
      </c>
      <c r="B267" s="175" t="s">
        <v>839</v>
      </c>
      <c r="C267" s="172" t="s">
        <v>840</v>
      </c>
      <c r="D267" s="172">
        <v>15</v>
      </c>
      <c r="E267" s="233">
        <v>38525.13</v>
      </c>
      <c r="F267" s="237">
        <f t="shared" si="19"/>
        <v>577876.95</v>
      </c>
      <c r="G267" s="234"/>
    </row>
    <row r="268" spans="1:8">
      <c r="A268" s="174" t="s">
        <v>841</v>
      </c>
      <c r="B268" s="176" t="s">
        <v>843</v>
      </c>
      <c r="C268" s="172" t="s">
        <v>844</v>
      </c>
      <c r="D268" s="172">
        <v>10</v>
      </c>
      <c r="E268" s="233">
        <v>585.8</v>
      </c>
      <c r="F268" s="237">
        <f t="shared" si="19"/>
        <v>5858</v>
      </c>
      <c r="G268" s="234"/>
    </row>
    <row r="269" spans="1:8">
      <c r="A269" s="174" t="s">
        <v>845</v>
      </c>
      <c r="B269" s="176" t="s">
        <v>847</v>
      </c>
      <c r="C269" s="172" t="s">
        <v>844</v>
      </c>
      <c r="D269" s="172">
        <v>418</v>
      </c>
      <c r="E269" s="233">
        <v>726.08</v>
      </c>
      <c r="F269" s="237">
        <f t="shared" si="19"/>
        <v>303501.44</v>
      </c>
      <c r="G269" s="234"/>
    </row>
    <row r="270" spans="1:8">
      <c r="A270" s="174" t="s">
        <v>848</v>
      </c>
      <c r="B270" s="176" t="s">
        <v>850</v>
      </c>
      <c r="C270" s="172" t="s">
        <v>844</v>
      </c>
      <c r="D270" s="172">
        <v>47</v>
      </c>
      <c r="E270" s="233">
        <v>427.94</v>
      </c>
      <c r="F270" s="237">
        <f t="shared" si="19"/>
        <v>20113.18</v>
      </c>
      <c r="G270" s="234"/>
    </row>
    <row r="271" ht="16.5" spans="1:8">
      <c r="A271" s="174" t="s">
        <v>851</v>
      </c>
      <c r="B271" s="175" t="s">
        <v>853</v>
      </c>
      <c r="C271" s="172" t="s">
        <v>854</v>
      </c>
      <c r="D271" s="172" t="s">
        <v>240</v>
      </c>
      <c r="E271" s="233">
        <v>461351</v>
      </c>
      <c r="F271" s="237">
        <f t="shared" si="19"/>
        <v>461351</v>
      </c>
      <c r="G271" s="234"/>
    </row>
    <row r="272" ht="16.5" spans="1:8">
      <c r="A272" s="250"/>
      <c r="B272" s="239" t="s">
        <v>855</v>
      </c>
      <c r="C272" s="251"/>
      <c r="D272" s="251"/>
      <c r="E272" s="324"/>
      <c r="F272" s="242">
        <f>SUM(F259:F271)</f>
        <v>4231680.46</v>
      </c>
      <c r="G272" s="234"/>
    </row>
    <row r="273" spans="1:7">
      <c r="A273" s="186"/>
      <c r="B273" s="177"/>
      <c r="C273" s="180"/>
      <c r="D273" s="180"/>
      <c r="E273" s="233"/>
      <c r="F273" s="237"/>
      <c r="G273" s="234"/>
    </row>
    <row r="274" spans="1:7">
      <c r="A274" s="186"/>
      <c r="B274" s="177" t="s">
        <v>856</v>
      </c>
      <c r="C274" s="180"/>
      <c r="D274" s="180"/>
      <c r="E274" s="233"/>
      <c r="F274" s="237"/>
      <c r="G274" s="234"/>
    </row>
    <row r="275" spans="1:7">
      <c r="A275" s="174" t="s">
        <v>857</v>
      </c>
      <c r="B275" s="175" t="s">
        <v>813</v>
      </c>
      <c r="C275" s="172" t="s">
        <v>444</v>
      </c>
      <c r="D275" s="172">
        <v>6</v>
      </c>
      <c r="E275" s="233">
        <v>1135.67</v>
      </c>
      <c r="F275" s="237">
        <f t="shared" ref="F275:F301" si="20">E275*D275</f>
        <v>6814.02</v>
      </c>
      <c r="G275" s="234"/>
    </row>
    <row r="276" spans="1:7">
      <c r="A276" s="174" t="s">
        <v>858</v>
      </c>
      <c r="B276" s="175" t="s">
        <v>816</v>
      </c>
      <c r="C276" s="172" t="s">
        <v>274</v>
      </c>
      <c r="D276" s="172">
        <v>0.4</v>
      </c>
      <c r="E276" s="233">
        <v>3945</v>
      </c>
      <c r="F276" s="237">
        <f t="shared" si="20"/>
        <v>1578</v>
      </c>
      <c r="G276" s="234"/>
    </row>
    <row r="277" spans="1:7">
      <c r="A277" s="174" t="s">
        <v>859</v>
      </c>
      <c r="B277" s="175" t="s">
        <v>819</v>
      </c>
      <c r="C277" s="172" t="s">
        <v>444</v>
      </c>
      <c r="D277" s="172">
        <v>6</v>
      </c>
      <c r="E277" s="233">
        <v>24930.67</v>
      </c>
      <c r="F277" s="237">
        <f t="shared" si="20"/>
        <v>149584.02</v>
      </c>
      <c r="G277" s="234"/>
    </row>
    <row r="278" spans="1:7">
      <c r="A278" s="174" t="s">
        <v>860</v>
      </c>
      <c r="B278" s="176" t="s">
        <v>822</v>
      </c>
      <c r="C278" s="172" t="s">
        <v>274</v>
      </c>
      <c r="D278" s="172">
        <v>1.5</v>
      </c>
      <c r="E278" s="233">
        <v>22209.33</v>
      </c>
      <c r="F278" s="237">
        <f t="shared" si="20"/>
        <v>33314</v>
      </c>
      <c r="G278" s="234"/>
    </row>
    <row r="279" ht="31.5" spans="1:7">
      <c r="A279" s="174" t="s">
        <v>861</v>
      </c>
      <c r="B279" s="175" t="s">
        <v>863</v>
      </c>
      <c r="C279" s="172" t="s">
        <v>444</v>
      </c>
      <c r="D279" s="172">
        <v>8</v>
      </c>
      <c r="E279" s="233">
        <v>3372.25</v>
      </c>
      <c r="F279" s="237">
        <f t="shared" si="20"/>
        <v>26978</v>
      </c>
      <c r="G279" s="234"/>
    </row>
    <row r="280" spans="1:7">
      <c r="A280" s="174" t="s">
        <v>864</v>
      </c>
      <c r="B280" s="175" t="s">
        <v>825</v>
      </c>
      <c r="C280" s="172" t="s">
        <v>444</v>
      </c>
      <c r="D280" s="172">
        <v>8</v>
      </c>
      <c r="E280" s="233">
        <v>99508.13</v>
      </c>
      <c r="F280" s="237">
        <f t="shared" si="20"/>
        <v>796065.04</v>
      </c>
      <c r="G280" s="234"/>
    </row>
    <row r="281" spans="1:7">
      <c r="A281" s="174" t="s">
        <v>866</v>
      </c>
      <c r="B281" s="175" t="s">
        <v>829</v>
      </c>
      <c r="C281" s="172" t="s">
        <v>444</v>
      </c>
      <c r="D281" s="172">
        <v>6</v>
      </c>
      <c r="E281" s="233">
        <v>18676.83</v>
      </c>
      <c r="F281" s="237">
        <f t="shared" si="20"/>
        <v>112060.98</v>
      </c>
      <c r="G281" s="234"/>
    </row>
    <row r="282" spans="1:7">
      <c r="A282" s="174" t="s">
        <v>867</v>
      </c>
      <c r="B282" s="175" t="s">
        <v>833</v>
      </c>
      <c r="C282" s="172" t="s">
        <v>444</v>
      </c>
      <c r="D282" s="172">
        <v>2</v>
      </c>
      <c r="E282" s="233">
        <v>20468.5</v>
      </c>
      <c r="F282" s="237">
        <f t="shared" si="20"/>
        <v>40937</v>
      </c>
      <c r="G282" s="234"/>
    </row>
    <row r="283" spans="1:7">
      <c r="A283" s="174" t="s">
        <v>868</v>
      </c>
      <c r="B283" s="176" t="s">
        <v>836</v>
      </c>
      <c r="C283" s="172" t="s">
        <v>444</v>
      </c>
      <c r="D283" s="172">
        <v>10</v>
      </c>
      <c r="E283" s="233">
        <v>29782.4</v>
      </c>
      <c r="F283" s="237">
        <f t="shared" si="20"/>
        <v>297824</v>
      </c>
      <c r="G283" s="234"/>
    </row>
    <row r="284" spans="1:7">
      <c r="A284" s="174" t="s">
        <v>870</v>
      </c>
      <c r="B284" s="175" t="s">
        <v>839</v>
      </c>
      <c r="C284" s="172" t="s">
        <v>840</v>
      </c>
      <c r="D284" s="172">
        <v>10</v>
      </c>
      <c r="E284" s="233">
        <v>27209</v>
      </c>
      <c r="F284" s="237">
        <f t="shared" si="20"/>
        <v>272090</v>
      </c>
      <c r="G284" s="234"/>
    </row>
    <row r="285" spans="1:7">
      <c r="A285" s="174" t="s">
        <v>871</v>
      </c>
      <c r="B285" s="176" t="s">
        <v>843</v>
      </c>
      <c r="C285" s="172" t="s">
        <v>844</v>
      </c>
      <c r="D285" s="172">
        <v>5</v>
      </c>
      <c r="E285" s="233">
        <v>585.8</v>
      </c>
      <c r="F285" s="237">
        <f t="shared" si="20"/>
        <v>2929</v>
      </c>
      <c r="G285" s="234"/>
    </row>
    <row r="286" spans="1:7">
      <c r="A286" s="174" t="s">
        <v>872</v>
      </c>
      <c r="B286" s="176" t="s">
        <v>873</v>
      </c>
      <c r="C286" s="172" t="s">
        <v>844</v>
      </c>
      <c r="D286" s="172">
        <v>145</v>
      </c>
      <c r="E286" s="233">
        <v>726.3</v>
      </c>
      <c r="F286" s="237">
        <f t="shared" si="20"/>
        <v>105313.5</v>
      </c>
      <c r="G286" s="234"/>
    </row>
    <row r="287" ht="16.5" spans="1:7">
      <c r="A287" s="174" t="s">
        <v>874</v>
      </c>
      <c r="B287" s="175" t="s">
        <v>853</v>
      </c>
      <c r="C287" s="172" t="s">
        <v>854</v>
      </c>
      <c r="D287" s="172" t="s">
        <v>240</v>
      </c>
      <c r="E287" s="233">
        <v>460497.84</v>
      </c>
      <c r="F287" s="237">
        <f t="shared" si="20"/>
        <v>460497.84</v>
      </c>
      <c r="G287" s="234"/>
    </row>
    <row r="288" ht="16.5" spans="1:7">
      <c r="A288" s="250"/>
      <c r="B288" s="239" t="s">
        <v>875</v>
      </c>
      <c r="C288" s="251"/>
      <c r="D288" s="251"/>
      <c r="E288" s="324"/>
      <c r="F288" s="242">
        <f>SUM(F275:F287)</f>
        <v>2305985.4</v>
      </c>
      <c r="G288" s="234"/>
    </row>
    <row r="289" spans="1:8">
      <c r="A289" s="186"/>
      <c r="B289" s="181"/>
      <c r="C289" s="180"/>
      <c r="D289" s="183"/>
      <c r="E289" s="233"/>
      <c r="F289" s="237"/>
      <c r="G289" s="234"/>
    </row>
    <row r="290" spans="1:8">
      <c r="A290" s="325" t="s">
        <v>876</v>
      </c>
      <c r="B290" s="260"/>
      <c r="C290" s="180"/>
      <c r="D290" s="183"/>
      <c r="E290" s="233"/>
      <c r="F290" s="237"/>
      <c r="G290" s="234"/>
    </row>
    <row r="291" ht="47.25" spans="1:8">
      <c r="A291" s="174" t="s">
        <v>877</v>
      </c>
      <c r="B291" s="181" t="s">
        <v>879</v>
      </c>
      <c r="C291" s="180" t="s">
        <v>330</v>
      </c>
      <c r="D291" s="183">
        <f>1.904</f>
        <v>1.904</v>
      </c>
      <c r="E291" s="233">
        <v>71325.11</v>
      </c>
      <c r="F291" s="237">
        <f t="shared" si="20"/>
        <v>135803.01</v>
      </c>
      <c r="G291" s="234"/>
    </row>
    <row r="292" ht="47.25" spans="1:8">
      <c r="A292" s="174" t="s">
        <v>880</v>
      </c>
      <c r="B292" s="181" t="s">
        <v>882</v>
      </c>
      <c r="C292" s="180" t="s">
        <v>330</v>
      </c>
      <c r="D292" s="183">
        <f>1.904</f>
        <v>1.904</v>
      </c>
      <c r="E292" s="233">
        <v>15515.23</v>
      </c>
      <c r="F292" s="237">
        <f t="shared" si="20"/>
        <v>29541</v>
      </c>
      <c r="G292" s="234"/>
    </row>
    <row r="293" ht="48" spans="1:8">
      <c r="A293" s="174" t="s">
        <v>883</v>
      </c>
      <c r="B293" s="181" t="s">
        <v>885</v>
      </c>
      <c r="C293" s="180" t="s">
        <v>330</v>
      </c>
      <c r="D293" s="183">
        <f>1.904</f>
        <v>1.904</v>
      </c>
      <c r="E293" s="233">
        <v>6287.29</v>
      </c>
      <c r="F293" s="237">
        <f t="shared" si="20"/>
        <v>11971</v>
      </c>
      <c r="G293" s="234"/>
    </row>
    <row r="294" ht="16.5" spans="1:8">
      <c r="A294" s="250"/>
      <c r="B294" s="239" t="s">
        <v>886</v>
      </c>
      <c r="C294" s="251"/>
      <c r="D294" s="251"/>
      <c r="E294" s="324"/>
      <c r="F294" s="242">
        <f>SUM(F291:F293)</f>
        <v>177315.01</v>
      </c>
      <c r="G294" s="234"/>
    </row>
    <row r="295" spans="1:8">
      <c r="A295" s="326" t="s">
        <v>887</v>
      </c>
      <c r="B295" s="274"/>
      <c r="C295" s="307"/>
      <c r="D295" s="275"/>
      <c r="E295" s="276"/>
      <c r="F295" s="308">
        <f t="shared" si="20"/>
        <v>0</v>
      </c>
      <c r="G295" s="234"/>
    </row>
    <row r="296" ht="47.25" spans="1:8">
      <c r="A296" s="174" t="s">
        <v>888</v>
      </c>
      <c r="B296" s="181" t="s">
        <v>879</v>
      </c>
      <c r="C296" s="180" t="s">
        <v>330</v>
      </c>
      <c r="D296" s="183">
        <f>1.904</f>
        <v>1.904</v>
      </c>
      <c r="E296" s="233">
        <v>71325.63</v>
      </c>
      <c r="F296" s="237">
        <f t="shared" si="20"/>
        <v>135804</v>
      </c>
      <c r="G296" s="234"/>
    </row>
    <row r="297" ht="47.25" spans="1:8">
      <c r="A297" s="174" t="s">
        <v>890</v>
      </c>
      <c r="B297" s="181" t="s">
        <v>882</v>
      </c>
      <c r="C297" s="180" t="s">
        <v>330</v>
      </c>
      <c r="D297" s="183">
        <f>1.904</f>
        <v>1.904</v>
      </c>
      <c r="E297" s="233">
        <v>15515.23</v>
      </c>
      <c r="F297" s="237">
        <f t="shared" si="20"/>
        <v>29541</v>
      </c>
      <c r="G297" s="234"/>
    </row>
    <row r="298" ht="47.25" spans="1:8">
      <c r="A298" s="174" t="s">
        <v>892</v>
      </c>
      <c r="B298" s="181" t="s">
        <v>885</v>
      </c>
      <c r="C298" s="180" t="s">
        <v>330</v>
      </c>
      <c r="D298" s="183">
        <f>1.904</f>
        <v>1.904</v>
      </c>
      <c r="E298" s="233">
        <v>6287.29</v>
      </c>
      <c r="F298" s="237">
        <f t="shared" si="20"/>
        <v>11971</v>
      </c>
      <c r="G298" s="234"/>
    </row>
    <row r="299" ht="31.5" spans="1:8">
      <c r="A299" s="174" t="s">
        <v>894</v>
      </c>
      <c r="B299" s="181" t="s">
        <v>896</v>
      </c>
      <c r="C299" s="180" t="s">
        <v>274</v>
      </c>
      <c r="D299" s="183">
        <v>51.072</v>
      </c>
      <c r="E299" s="233">
        <v>6100.17</v>
      </c>
      <c r="F299" s="237">
        <f t="shared" si="20"/>
        <v>311547.88</v>
      </c>
      <c r="G299" s="234"/>
    </row>
    <row r="300" ht="31.5" spans="1:8">
      <c r="A300" s="174" t="s">
        <v>897</v>
      </c>
      <c r="B300" s="181" t="s">
        <v>899</v>
      </c>
      <c r="C300" s="180" t="s">
        <v>274</v>
      </c>
      <c r="D300" s="183">
        <v>96</v>
      </c>
      <c r="E300" s="233">
        <v>6395.86</v>
      </c>
      <c r="F300" s="237">
        <f t="shared" si="20"/>
        <v>614002.56</v>
      </c>
      <c r="G300" s="234"/>
    </row>
    <row r="301" ht="16.5" spans="1:8">
      <c r="A301" s="174" t="s">
        <v>900</v>
      </c>
      <c r="B301" s="181" t="s">
        <v>902</v>
      </c>
      <c r="C301" s="180" t="s">
        <v>903</v>
      </c>
      <c r="D301" s="183">
        <v>36</v>
      </c>
      <c r="E301" s="233">
        <v>63845.44</v>
      </c>
      <c r="F301" s="237">
        <f t="shared" si="20"/>
        <v>2298435.84</v>
      </c>
      <c r="G301" s="234"/>
    </row>
    <row r="302" ht="16.5" spans="1:8">
      <c r="A302" s="250"/>
      <c r="B302" s="239" t="s">
        <v>904</v>
      </c>
      <c r="C302" s="251"/>
      <c r="D302" s="251"/>
      <c r="E302" s="324"/>
      <c r="F302" s="242">
        <f>SUM(F296:F301)</f>
        <v>3401302.28</v>
      </c>
    </row>
    <row r="303" spans="1:8">
      <c r="A303" s="186"/>
      <c r="B303" s="327" t="s">
        <v>202</v>
      </c>
      <c r="C303" s="180"/>
      <c r="D303" s="183"/>
      <c r="E303" s="233"/>
      <c r="F303" s="297">
        <f>F302+F294+F288+F272+F257+F148+F45</f>
        <v>306577695.97</v>
      </c>
      <c r="G303" s="234"/>
    </row>
    <row r="304" spans="1:8">
      <c r="A304" s="328"/>
      <c r="B304" s="329" t="s">
        <v>905</v>
      </c>
      <c r="C304" s="330"/>
      <c r="D304" s="331"/>
      <c r="E304" s="233"/>
      <c r="F304" s="332">
        <v>6131553.92</v>
      </c>
      <c r="G304" s="213"/>
      <c r="H304" s="213"/>
    </row>
    <row r="305" spans="1:8">
      <c r="A305" s="186"/>
      <c r="B305" s="329" t="s">
        <v>128</v>
      </c>
      <c r="C305" s="333"/>
      <c r="D305" s="331"/>
      <c r="E305" s="233"/>
      <c r="F305" s="334">
        <f>F303+F304</f>
        <v>312709249.89</v>
      </c>
      <c r="G305" s="234"/>
    </row>
    <row r="306" spans="1:8">
      <c r="A306" s="186"/>
      <c r="B306" s="329" t="s">
        <v>906</v>
      </c>
      <c r="C306" s="333"/>
      <c r="D306" s="331"/>
      <c r="E306" s="233"/>
      <c r="F306" s="334">
        <f>F305</f>
        <v>312709249.89</v>
      </c>
      <c r="G306" s="234"/>
    </row>
    <row r="307" spans="1:8">
      <c r="A307" s="187"/>
      <c r="B307" s="335" t="s">
        <v>907</v>
      </c>
      <c r="C307" s="336">
        <v>0.22</v>
      </c>
      <c r="D307" s="337"/>
      <c r="E307" s="233"/>
      <c r="F307" s="338">
        <f>F306*0.22</f>
        <v>68796034.98</v>
      </c>
    </row>
    <row r="308" spans="1:8">
      <c r="A308" s="339"/>
      <c r="B308" s="329" t="s">
        <v>908</v>
      </c>
      <c r="C308" s="340"/>
      <c r="D308" s="331"/>
      <c r="E308" s="233"/>
      <c r="F308" s="334">
        <f>F306+F307</f>
        <v>381505284.87</v>
      </c>
      <c r="G308" s="213"/>
      <c r="H308" s="213"/>
    </row>
    <row r="310" s="154" customFormat="1" spans="1:8">
      <c r="A310" s="212"/>
      <c r="G310" s="341"/>
      <c r="H310" s="341"/>
    </row>
    <row r="311" s="154" customFormat="1" spans="1:8">
      <c r="A311" s="212"/>
      <c r="G311" s="341"/>
      <c r="H311" s="341"/>
    </row>
    <row r="312" s="154" customFormat="1" spans="1:8">
      <c r="A312" s="212"/>
      <c r="G312" s="341"/>
      <c r="H312" s="341"/>
    </row>
    <row r="313" s="154" customFormat="1" spans="1:8">
      <c r="A313" s="212"/>
      <c r="G313" s="341"/>
      <c r="H313" s="341"/>
    </row>
    <row r="314" spans="1:8">
      <c r="A314" s="213"/>
      <c r="B314" s="214"/>
      <c r="C314" s="215"/>
      <c r="D314" s="215"/>
      <c r="E314" s="342"/>
      <c r="F314" s="343"/>
      <c r="G314" s="213"/>
      <c r="H314" s="213"/>
    </row>
  </sheetData>
  <mergeCells count="30">
    <mergeCell ref="E1:F1"/>
    <mergeCell ref="A5:F5"/>
    <mergeCell ref="A7:F7"/>
    <mergeCell ref="A12:B12"/>
    <mergeCell ref="A13:B13"/>
    <mergeCell ref="A17:B17"/>
    <mergeCell ref="A21:B21"/>
    <mergeCell ref="A22:B22"/>
    <mergeCell ref="A35:B35"/>
    <mergeCell ref="A42:B42"/>
    <mergeCell ref="A47:B47"/>
    <mergeCell ref="A149:B149"/>
    <mergeCell ref="A150:B150"/>
    <mergeCell ref="A200:B200"/>
    <mergeCell ref="A203:B203"/>
    <mergeCell ref="A206:B206"/>
    <mergeCell ref="A207:B207"/>
    <mergeCell ref="A216:B216"/>
    <mergeCell ref="A226:B226"/>
    <mergeCell ref="A237:B237"/>
    <mergeCell ref="A241:B241"/>
    <mergeCell ref="A247:B247"/>
    <mergeCell ref="A290:B290"/>
    <mergeCell ref="A295:B295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  <pageSetup paperSize="9" scale="5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8"/>
  <sheetViews>
    <sheetView view="pageBreakPreview" zoomScale="70" zoomScaleNormal="70" topLeftCell="A7" workbookViewId="0">
      <selection activeCell="S12" sqref="S12"/>
    </sheetView>
  </sheetViews>
  <sheetFormatPr defaultColWidth="9" defaultRowHeight="15.75" outlineLevelCol="4"/>
  <cols>
    <col min="1" max="1" width="11.7142857142857" style="152" customWidth="1"/>
    <col min="2" max="2" width="27.2857142857143" style="152" customWidth="1"/>
    <col min="3" max="3" width="64.2857142857143" style="152" customWidth="1"/>
    <col min="4" max="4" width="12.8571428571429" style="155" customWidth="1"/>
    <col min="5" max="5" width="11.4285714285714" style="155" customWidth="1"/>
    <col min="6" max="6" width="9.14285714285714" style="156"/>
    <col min="7" max="7" width="9" style="156" customWidth="1"/>
    <col min="8" max="16384" width="9.14285714285714" style="156"/>
  </cols>
  <sheetData>
    <row r="1" ht="28.5" customHeight="1" spans="1:5">
      <c r="A1" s="157"/>
      <c r="B1" s="157"/>
      <c r="C1" s="158"/>
      <c r="D1" s="159" t="s">
        <v>105</v>
      </c>
      <c r="E1" s="159"/>
    </row>
    <row r="2" ht="23.25" customHeight="1" spans="1:5">
      <c r="A2" s="160"/>
      <c r="B2" s="160"/>
      <c r="C2" s="161" t="s">
        <v>221</v>
      </c>
      <c r="D2" s="161"/>
      <c r="E2" s="161"/>
    </row>
    <row r="3" ht="30.75" customHeight="1" spans="1:5">
      <c r="A3" s="162"/>
      <c r="B3" s="162"/>
      <c r="C3" s="163" t="s">
        <v>916</v>
      </c>
      <c r="D3" s="163"/>
      <c r="E3" s="163"/>
    </row>
    <row r="4" ht="48" customHeight="1" spans="1:5">
      <c r="A4" s="164"/>
      <c r="B4" s="164"/>
      <c r="C4" s="159" t="s">
        <v>917</v>
      </c>
      <c r="D4" s="159"/>
      <c r="E4" s="159"/>
    </row>
    <row r="5" spans="1:5">
      <c r="A5" s="165"/>
      <c r="B5" s="166"/>
      <c r="C5" s="166"/>
      <c r="D5" s="166"/>
      <c r="E5" s="166"/>
    </row>
    <row r="6" spans="1:5">
      <c r="A6" s="167" t="s">
        <v>918</v>
      </c>
      <c r="B6" s="167"/>
      <c r="C6" s="167"/>
      <c r="D6" s="167"/>
      <c r="E6" s="167"/>
    </row>
    <row r="7" ht="25.5" customHeight="1" spans="1:5">
      <c r="A7" s="168" t="s">
        <v>5</v>
      </c>
      <c r="B7" s="168"/>
      <c r="C7" s="168"/>
      <c r="D7" s="168"/>
      <c r="E7" s="168"/>
    </row>
    <row r="8" ht="25.5" customHeight="1" spans="1:5">
      <c r="A8" s="169" t="s">
        <v>919</v>
      </c>
      <c r="B8" s="169"/>
      <c r="C8" s="169"/>
      <c r="D8" s="169"/>
      <c r="E8" s="169"/>
    </row>
    <row r="9" ht="47.25" customHeight="1" spans="1:5">
      <c r="A9" s="170" t="s">
        <v>226</v>
      </c>
      <c r="B9" s="170" t="s">
        <v>227</v>
      </c>
      <c r="C9" s="170" t="s">
        <v>228</v>
      </c>
      <c r="D9" s="170" t="s">
        <v>229</v>
      </c>
      <c r="E9" s="170" t="s">
        <v>230</v>
      </c>
    </row>
    <row r="10" ht="87.75" customHeight="1" spans="1:5">
      <c r="A10" s="170"/>
      <c r="B10" s="170"/>
      <c r="C10" s="170"/>
      <c r="D10" s="170"/>
      <c r="E10" s="170"/>
    </row>
    <row r="11" customHeight="1" spans="1:5">
      <c r="A11" s="170" t="s">
        <v>240</v>
      </c>
      <c r="B11" s="170" t="s">
        <v>241</v>
      </c>
      <c r="C11" s="170" t="s">
        <v>242</v>
      </c>
      <c r="D11" s="170" t="s">
        <v>243</v>
      </c>
      <c r="E11" s="170" t="s">
        <v>244</v>
      </c>
    </row>
    <row r="12" spans="1:5">
      <c r="A12" s="171" t="s">
        <v>178</v>
      </c>
      <c r="B12" s="171"/>
      <c r="C12" s="171"/>
      <c r="D12" s="172"/>
      <c r="E12" s="172"/>
    </row>
    <row r="13" spans="1:5">
      <c r="A13" s="173" t="s">
        <v>247</v>
      </c>
      <c r="B13" s="173"/>
      <c r="C13" s="173"/>
      <c r="D13" s="172"/>
      <c r="E13" s="172"/>
    </row>
    <row r="14" spans="1:5">
      <c r="A14" s="174" t="s">
        <v>248</v>
      </c>
      <c r="B14" s="175" t="s">
        <v>249</v>
      </c>
      <c r="C14" s="175" t="s">
        <v>250</v>
      </c>
      <c r="D14" s="172" t="s">
        <v>251</v>
      </c>
      <c r="E14" s="172">
        <v>0.335</v>
      </c>
    </row>
    <row r="15" spans="1:5">
      <c r="A15" s="174" t="s">
        <v>252</v>
      </c>
      <c r="B15" s="175" t="s">
        <v>253</v>
      </c>
      <c r="C15" s="175" t="s">
        <v>254</v>
      </c>
      <c r="D15" s="172" t="s">
        <v>251</v>
      </c>
      <c r="E15" s="172">
        <v>0.9</v>
      </c>
    </row>
    <row r="16" customHeight="1" spans="1:5">
      <c r="A16" s="173" t="s">
        <v>256</v>
      </c>
      <c r="B16" s="173"/>
      <c r="C16" s="173"/>
      <c r="D16" s="175"/>
      <c r="E16" s="175"/>
    </row>
    <row r="17" ht="31.5" spans="1:5">
      <c r="A17" s="174" t="s">
        <v>257</v>
      </c>
      <c r="B17" s="176" t="s">
        <v>258</v>
      </c>
      <c r="C17" s="175" t="s">
        <v>259</v>
      </c>
      <c r="D17" s="172" t="s">
        <v>260</v>
      </c>
      <c r="E17" s="172">
        <v>1</v>
      </c>
    </row>
    <row r="18" ht="31.5" spans="1:5">
      <c r="A18" s="174" t="s">
        <v>261</v>
      </c>
      <c r="B18" s="176" t="s">
        <v>262</v>
      </c>
      <c r="C18" s="175" t="s">
        <v>263</v>
      </c>
      <c r="D18" s="172" t="s">
        <v>260</v>
      </c>
      <c r="E18" s="172">
        <v>1</v>
      </c>
    </row>
    <row r="19" spans="1:5">
      <c r="A19" s="177" t="s">
        <v>265</v>
      </c>
      <c r="B19" s="177"/>
      <c r="C19" s="177"/>
      <c r="D19" s="178"/>
      <c r="E19" s="178"/>
    </row>
    <row r="20" spans="1:5">
      <c r="A20" s="179" t="s">
        <v>266</v>
      </c>
      <c r="B20" s="179"/>
      <c r="C20" s="179"/>
      <c r="D20" s="180"/>
      <c r="E20" s="180"/>
    </row>
    <row r="21" spans="1:5">
      <c r="A21" s="174" t="s">
        <v>267</v>
      </c>
      <c r="B21" s="180" t="s">
        <v>268</v>
      </c>
      <c r="C21" s="181" t="s">
        <v>269</v>
      </c>
      <c r="D21" s="180" t="s">
        <v>270</v>
      </c>
      <c r="E21" s="182">
        <v>750</v>
      </c>
    </row>
    <row r="22" spans="1:5">
      <c r="A22" s="174" t="s">
        <v>271</v>
      </c>
      <c r="B22" s="180" t="s">
        <v>272</v>
      </c>
      <c r="C22" s="181" t="s">
        <v>273</v>
      </c>
      <c r="D22" s="183" t="s">
        <v>274</v>
      </c>
      <c r="E22" s="180">
        <v>100</v>
      </c>
    </row>
    <row r="23" spans="1:5">
      <c r="A23" s="174" t="s">
        <v>275</v>
      </c>
      <c r="B23" s="180" t="s">
        <v>276</v>
      </c>
      <c r="C23" s="184" t="s">
        <v>277</v>
      </c>
      <c r="D23" s="183" t="s">
        <v>274</v>
      </c>
      <c r="E23" s="183">
        <v>100</v>
      </c>
    </row>
    <row r="24" spans="1:5">
      <c r="A24" s="174" t="s">
        <v>278</v>
      </c>
      <c r="B24" s="180" t="s">
        <v>279</v>
      </c>
      <c r="C24" s="184" t="s">
        <v>280</v>
      </c>
      <c r="D24" s="183" t="s">
        <v>274</v>
      </c>
      <c r="E24" s="183">
        <v>200</v>
      </c>
    </row>
    <row r="25" spans="1:5">
      <c r="A25" s="174" t="s">
        <v>281</v>
      </c>
      <c r="B25" s="180" t="s">
        <v>282</v>
      </c>
      <c r="C25" s="184" t="s">
        <v>283</v>
      </c>
      <c r="D25" s="183" t="s">
        <v>284</v>
      </c>
      <c r="E25" s="183">
        <v>6.57</v>
      </c>
    </row>
    <row r="26" spans="1:5">
      <c r="A26" s="174" t="s">
        <v>285</v>
      </c>
      <c r="B26" s="180" t="s">
        <v>286</v>
      </c>
      <c r="C26" s="184" t="s">
        <v>287</v>
      </c>
      <c r="D26" s="183" t="s">
        <v>274</v>
      </c>
      <c r="E26" s="183">
        <v>12</v>
      </c>
    </row>
    <row r="27" ht="22.5" customHeight="1" spans="1:5">
      <c r="A27" s="174" t="s">
        <v>288</v>
      </c>
      <c r="B27" s="180" t="s">
        <v>289</v>
      </c>
      <c r="C27" s="185" t="s">
        <v>290</v>
      </c>
      <c r="D27" s="183" t="s">
        <v>274</v>
      </c>
      <c r="E27" s="183">
        <v>200</v>
      </c>
    </row>
    <row r="28" spans="1:5">
      <c r="A28" s="174" t="s">
        <v>291</v>
      </c>
      <c r="B28" s="180" t="s">
        <v>292</v>
      </c>
      <c r="C28" s="184" t="s">
        <v>293</v>
      </c>
      <c r="D28" s="183" t="s">
        <v>284</v>
      </c>
      <c r="E28" s="183">
        <v>100</v>
      </c>
    </row>
    <row r="29" spans="1:5">
      <c r="A29" s="174" t="s">
        <v>294</v>
      </c>
      <c r="B29" s="180" t="s">
        <v>295</v>
      </c>
      <c r="C29" s="184" t="s">
        <v>296</v>
      </c>
      <c r="D29" s="183" t="s">
        <v>274</v>
      </c>
      <c r="E29" s="183">
        <v>12</v>
      </c>
    </row>
    <row r="30" spans="1:5">
      <c r="A30" s="174" t="s">
        <v>297</v>
      </c>
      <c r="B30" s="180" t="s">
        <v>298</v>
      </c>
      <c r="C30" s="184" t="s">
        <v>299</v>
      </c>
      <c r="D30" s="183" t="s">
        <v>284</v>
      </c>
      <c r="E30" s="183">
        <v>6.57</v>
      </c>
    </row>
    <row r="31" spans="1:5">
      <c r="A31" s="174" t="s">
        <v>300</v>
      </c>
      <c r="B31" s="180" t="s">
        <v>301</v>
      </c>
      <c r="C31" s="181" t="s">
        <v>302</v>
      </c>
      <c r="D31" s="180" t="s">
        <v>284</v>
      </c>
      <c r="E31" s="180">
        <v>150</v>
      </c>
    </row>
    <row r="32" spans="1:5">
      <c r="A32" s="179" t="s">
        <v>304</v>
      </c>
      <c r="B32" s="179"/>
      <c r="C32" s="179"/>
      <c r="D32" s="183"/>
      <c r="E32" s="183"/>
    </row>
    <row r="33" spans="1:5">
      <c r="A33" s="186">
        <v>14</v>
      </c>
      <c r="B33" s="180" t="s">
        <v>305</v>
      </c>
      <c r="C33" s="184" t="s">
        <v>306</v>
      </c>
      <c r="D33" s="183" t="s">
        <v>274</v>
      </c>
      <c r="E33" s="183">
        <v>200</v>
      </c>
    </row>
    <row r="34" spans="1:5">
      <c r="A34" s="174" t="s">
        <v>307</v>
      </c>
      <c r="B34" s="180" t="s">
        <v>308</v>
      </c>
      <c r="C34" s="184" t="s">
        <v>309</v>
      </c>
      <c r="D34" s="183" t="s">
        <v>284</v>
      </c>
      <c r="E34" s="183">
        <v>100</v>
      </c>
    </row>
    <row r="35" spans="1:5">
      <c r="A35" s="174" t="s">
        <v>310</v>
      </c>
      <c r="B35" s="180" t="s">
        <v>311</v>
      </c>
      <c r="C35" s="184" t="s">
        <v>312</v>
      </c>
      <c r="D35" s="183" t="s">
        <v>284</v>
      </c>
      <c r="E35" s="183">
        <v>50</v>
      </c>
    </row>
    <row r="36" spans="1:5">
      <c r="A36" s="174" t="s">
        <v>313</v>
      </c>
      <c r="B36" s="180" t="s">
        <v>314</v>
      </c>
      <c r="C36" s="181" t="s">
        <v>302</v>
      </c>
      <c r="D36" s="180" t="s">
        <v>284</v>
      </c>
      <c r="E36" s="180">
        <v>87</v>
      </c>
    </row>
    <row r="37" customHeight="1" spans="1:5">
      <c r="A37" s="175" t="s">
        <v>317</v>
      </c>
      <c r="B37" s="175"/>
      <c r="C37" s="175"/>
      <c r="D37" s="175"/>
      <c r="E37" s="175"/>
    </row>
    <row r="38" ht="31.5" spans="1:5">
      <c r="A38" s="174" t="s">
        <v>318</v>
      </c>
      <c r="B38" s="176" t="s">
        <v>319</v>
      </c>
      <c r="C38" s="175" t="s">
        <v>320</v>
      </c>
      <c r="D38" s="172" t="s">
        <v>321</v>
      </c>
      <c r="E38" s="172">
        <v>4</v>
      </c>
    </row>
    <row r="39" spans="1:5">
      <c r="A39" s="187" t="s">
        <v>324</v>
      </c>
      <c r="B39" s="187"/>
      <c r="C39" s="187"/>
      <c r="D39" s="176"/>
      <c r="E39" s="176"/>
    </row>
    <row r="40" customHeight="1" spans="1:5">
      <c r="A40" s="173" t="s">
        <v>325</v>
      </c>
      <c r="B40" s="173"/>
      <c r="C40" s="173"/>
      <c r="D40" s="175"/>
      <c r="E40" s="175"/>
    </row>
    <row r="41" customHeight="1" spans="1:5">
      <c r="A41" s="173"/>
      <c r="B41" s="173"/>
      <c r="C41" s="188" t="s">
        <v>326</v>
      </c>
      <c r="D41" s="175"/>
      <c r="E41" s="175"/>
    </row>
    <row r="42" s="152" customFormat="1" spans="1:5">
      <c r="A42" s="174" t="s">
        <v>327</v>
      </c>
      <c r="B42" s="175" t="s">
        <v>328</v>
      </c>
      <c r="C42" s="175" t="s">
        <v>329</v>
      </c>
      <c r="D42" s="172" t="s">
        <v>330</v>
      </c>
      <c r="E42" s="172">
        <v>23.81</v>
      </c>
    </row>
    <row r="43" s="152" customFormat="1" spans="1:5">
      <c r="A43" s="174" t="s">
        <v>331</v>
      </c>
      <c r="B43" s="175" t="s">
        <v>328</v>
      </c>
      <c r="C43" s="175" t="s">
        <v>332</v>
      </c>
      <c r="D43" s="172" t="s">
        <v>330</v>
      </c>
      <c r="E43" s="172">
        <v>76.73</v>
      </c>
    </row>
    <row r="44" s="152" customFormat="1" spans="1:5">
      <c r="A44" s="174" t="s">
        <v>333</v>
      </c>
      <c r="B44" s="175" t="s">
        <v>334</v>
      </c>
      <c r="C44" s="175" t="s">
        <v>335</v>
      </c>
      <c r="D44" s="172" t="s">
        <v>330</v>
      </c>
      <c r="E44" s="172">
        <v>76.73</v>
      </c>
    </row>
    <row r="45" s="152" customFormat="1" ht="31.5" spans="1:5">
      <c r="A45" s="174" t="s">
        <v>336</v>
      </c>
      <c r="B45" s="175" t="s">
        <v>337</v>
      </c>
      <c r="C45" s="175" t="s">
        <v>338</v>
      </c>
      <c r="D45" s="172" t="s">
        <v>330</v>
      </c>
      <c r="E45" s="172">
        <v>179</v>
      </c>
    </row>
    <row r="46" s="152" customFormat="1" spans="1:5">
      <c r="A46" s="174" t="s">
        <v>339</v>
      </c>
      <c r="B46" s="175" t="s">
        <v>340</v>
      </c>
      <c r="C46" s="175" t="s">
        <v>341</v>
      </c>
      <c r="D46" s="172" t="s">
        <v>321</v>
      </c>
      <c r="E46" s="172">
        <v>67</v>
      </c>
    </row>
    <row r="47" s="152" customFormat="1" ht="31.5" spans="1:5">
      <c r="A47" s="174" t="s">
        <v>342</v>
      </c>
      <c r="B47" s="175" t="s">
        <v>343</v>
      </c>
      <c r="C47" s="175" t="s">
        <v>344</v>
      </c>
      <c r="D47" s="172" t="s">
        <v>330</v>
      </c>
      <c r="E47" s="172">
        <v>19.27</v>
      </c>
    </row>
    <row r="48" s="152" customFormat="1" ht="31.5" spans="1:5">
      <c r="A48" s="174" t="s">
        <v>345</v>
      </c>
      <c r="B48" s="175" t="s">
        <v>346</v>
      </c>
      <c r="C48" s="175" t="s">
        <v>347</v>
      </c>
      <c r="D48" s="172" t="s">
        <v>274</v>
      </c>
      <c r="E48" s="172">
        <v>155.44</v>
      </c>
    </row>
    <row r="49" s="152" customFormat="1" ht="31.5" spans="1:5">
      <c r="A49" s="174" t="s">
        <v>348</v>
      </c>
      <c r="B49" s="175" t="s">
        <v>349</v>
      </c>
      <c r="C49" s="175" t="s">
        <v>350</v>
      </c>
      <c r="D49" s="172" t="s">
        <v>330</v>
      </c>
      <c r="E49" s="172">
        <v>59.7</v>
      </c>
    </row>
    <row r="50" s="152" customFormat="1" ht="31.5" spans="1:5">
      <c r="A50" s="174" t="s">
        <v>351</v>
      </c>
      <c r="B50" s="175" t="s">
        <v>352</v>
      </c>
      <c r="C50" s="175" t="s">
        <v>353</v>
      </c>
      <c r="D50" s="172" t="s">
        <v>354</v>
      </c>
      <c r="E50" s="172">
        <f>201+165</f>
        <v>366</v>
      </c>
    </row>
    <row r="51" s="152" customFormat="1" ht="31.5" spans="1:5">
      <c r="A51" s="174" t="s">
        <v>355</v>
      </c>
      <c r="B51" s="175" t="s">
        <v>356</v>
      </c>
      <c r="C51" s="175" t="s">
        <v>357</v>
      </c>
      <c r="D51" s="172" t="s">
        <v>354</v>
      </c>
      <c r="E51" s="172">
        <f>126+113</f>
        <v>239</v>
      </c>
    </row>
    <row r="52" s="152" customFormat="1" ht="18" spans="1:5">
      <c r="A52" s="174" t="s">
        <v>358</v>
      </c>
      <c r="B52" s="175" t="s">
        <v>359</v>
      </c>
      <c r="C52" s="175" t="s">
        <v>360</v>
      </c>
      <c r="D52" s="172" t="s">
        <v>354</v>
      </c>
      <c r="E52" s="172">
        <f>126+113</f>
        <v>239</v>
      </c>
    </row>
    <row r="53" s="152" customFormat="1" ht="31.5" spans="1:5">
      <c r="A53" s="174" t="s">
        <v>361</v>
      </c>
      <c r="B53" s="175" t="s">
        <v>362</v>
      </c>
      <c r="C53" s="175" t="s">
        <v>363</v>
      </c>
      <c r="D53" s="172" t="s">
        <v>354</v>
      </c>
      <c r="E53" s="172">
        <v>108.2</v>
      </c>
    </row>
    <row r="54" s="152" customFormat="1" ht="31.5" spans="1:5">
      <c r="A54" s="174" t="s">
        <v>364</v>
      </c>
      <c r="B54" s="175" t="s">
        <v>365</v>
      </c>
      <c r="C54" s="176" t="s">
        <v>366</v>
      </c>
      <c r="D54" s="172" t="s">
        <v>330</v>
      </c>
      <c r="E54" s="172">
        <f>1.67+0.9+0.24</f>
        <v>2.81</v>
      </c>
    </row>
    <row r="55" s="152" customFormat="1" ht="31.5" spans="1:5">
      <c r="A55" s="174" t="s">
        <v>367</v>
      </c>
      <c r="B55" s="175" t="s">
        <v>368</v>
      </c>
      <c r="C55" s="175" t="s">
        <v>369</v>
      </c>
      <c r="D55" s="172" t="s">
        <v>330</v>
      </c>
      <c r="E55" s="172">
        <v>4.6328</v>
      </c>
    </row>
    <row r="56" s="152" customFormat="1" spans="1:5">
      <c r="A56" s="176"/>
      <c r="B56" s="176"/>
      <c r="C56" s="173" t="s">
        <v>370</v>
      </c>
      <c r="D56" s="172"/>
      <c r="E56" s="172"/>
    </row>
    <row r="57" s="152" customFormat="1" ht="31.5" spans="1:5">
      <c r="A57" s="174" t="s">
        <v>371</v>
      </c>
      <c r="B57" s="175" t="s">
        <v>372</v>
      </c>
      <c r="C57" s="175" t="s">
        <v>373</v>
      </c>
      <c r="D57" s="172" t="s">
        <v>330</v>
      </c>
      <c r="E57" s="172">
        <v>6.0149</v>
      </c>
    </row>
    <row r="58" ht="31.5" spans="1:5">
      <c r="A58" s="174" t="s">
        <v>374</v>
      </c>
      <c r="B58" s="175" t="s">
        <v>375</v>
      </c>
      <c r="C58" s="176" t="s">
        <v>376</v>
      </c>
      <c r="D58" s="172" t="s">
        <v>377</v>
      </c>
      <c r="E58" s="172" t="s">
        <v>378</v>
      </c>
    </row>
    <row r="59" spans="1:5">
      <c r="A59" s="174" t="s">
        <v>379</v>
      </c>
      <c r="B59" s="175" t="s">
        <v>380</v>
      </c>
      <c r="C59" s="176" t="s">
        <v>381</v>
      </c>
      <c r="D59" s="172" t="s">
        <v>270</v>
      </c>
      <c r="E59" s="172">
        <v>5.2</v>
      </c>
    </row>
    <row r="60" ht="31.5" spans="1:5">
      <c r="A60" s="174" t="s">
        <v>382</v>
      </c>
      <c r="B60" s="175" t="s">
        <v>383</v>
      </c>
      <c r="C60" s="176" t="s">
        <v>384</v>
      </c>
      <c r="D60" s="172" t="s">
        <v>284</v>
      </c>
      <c r="E60" s="172">
        <f>2.5+1.4+0.14</f>
        <v>4.04</v>
      </c>
    </row>
    <row r="61" spans="1:5">
      <c r="A61" s="174" t="s">
        <v>385</v>
      </c>
      <c r="B61" s="175" t="s">
        <v>386</v>
      </c>
      <c r="C61" s="175" t="s">
        <v>387</v>
      </c>
      <c r="D61" s="172" t="s">
        <v>284</v>
      </c>
      <c r="E61" s="172" t="s">
        <v>388</v>
      </c>
    </row>
    <row r="62" s="153" customFormat="1" ht="47.25" spans="1:5">
      <c r="A62" s="174" t="s">
        <v>389</v>
      </c>
      <c r="B62" s="175" t="s">
        <v>390</v>
      </c>
      <c r="C62" s="175" t="s">
        <v>391</v>
      </c>
      <c r="D62" s="172" t="s">
        <v>377</v>
      </c>
      <c r="E62" s="172">
        <v>90</v>
      </c>
    </row>
    <row r="63" ht="18" spans="1:5">
      <c r="A63" s="174" t="s">
        <v>392</v>
      </c>
      <c r="B63" s="175" t="s">
        <v>393</v>
      </c>
      <c r="C63" s="175" t="s">
        <v>394</v>
      </c>
      <c r="D63" s="172" t="s">
        <v>377</v>
      </c>
      <c r="E63" s="172" t="s">
        <v>395</v>
      </c>
    </row>
    <row r="64" spans="1:5">
      <c r="A64" s="189"/>
      <c r="B64" s="176"/>
      <c r="C64" s="187" t="s">
        <v>396</v>
      </c>
      <c r="D64" s="172"/>
      <c r="E64" s="172"/>
    </row>
    <row r="65" ht="31.5" spans="1:5">
      <c r="A65" s="174" t="s">
        <v>397</v>
      </c>
      <c r="B65" s="175" t="s">
        <v>398</v>
      </c>
      <c r="C65" s="175" t="s">
        <v>399</v>
      </c>
      <c r="D65" s="172" t="s">
        <v>377</v>
      </c>
      <c r="E65" s="172" t="s">
        <v>400</v>
      </c>
    </row>
    <row r="66" spans="1:5">
      <c r="A66" s="174" t="s">
        <v>401</v>
      </c>
      <c r="B66" s="175" t="s">
        <v>402</v>
      </c>
      <c r="C66" s="175" t="s">
        <v>381</v>
      </c>
      <c r="D66" s="172" t="s">
        <v>270</v>
      </c>
      <c r="E66" s="172">
        <v>29.2</v>
      </c>
    </row>
    <row r="67" ht="31.5" spans="1:5">
      <c r="A67" s="174" t="s">
        <v>403</v>
      </c>
      <c r="B67" s="175" t="s">
        <v>404</v>
      </c>
      <c r="C67" s="175" t="s">
        <v>405</v>
      </c>
      <c r="D67" s="172" t="s">
        <v>377</v>
      </c>
      <c r="E67" s="172" t="s">
        <v>406</v>
      </c>
    </row>
    <row r="68" spans="1:5">
      <c r="A68" s="189"/>
      <c r="B68" s="176"/>
      <c r="C68" s="176" t="s">
        <v>407</v>
      </c>
      <c r="D68" s="172"/>
      <c r="E68" s="172"/>
    </row>
    <row r="69" ht="31.5" spans="1:5">
      <c r="A69" s="174" t="s">
        <v>408</v>
      </c>
      <c r="B69" s="175" t="s">
        <v>409</v>
      </c>
      <c r="C69" s="175" t="s">
        <v>387</v>
      </c>
      <c r="D69" s="172" t="s">
        <v>284</v>
      </c>
      <c r="E69" s="172" t="s">
        <v>388</v>
      </c>
    </row>
    <row r="70" ht="31.5" spans="1:5">
      <c r="A70" s="174" t="s">
        <v>410</v>
      </c>
      <c r="B70" s="175" t="s">
        <v>411</v>
      </c>
      <c r="C70" s="176" t="s">
        <v>412</v>
      </c>
      <c r="D70" s="172" t="s">
        <v>377</v>
      </c>
      <c r="E70" s="172" t="s">
        <v>413</v>
      </c>
    </row>
    <row r="71" ht="18" spans="1:5">
      <c r="A71" s="174" t="s">
        <v>414</v>
      </c>
      <c r="B71" s="175" t="s">
        <v>415</v>
      </c>
      <c r="C71" s="176" t="s">
        <v>416</v>
      </c>
      <c r="D71" s="172" t="s">
        <v>377</v>
      </c>
      <c r="E71" s="172" t="s">
        <v>417</v>
      </c>
    </row>
    <row r="72" ht="18" spans="1:5">
      <c r="A72" s="174" t="s">
        <v>418</v>
      </c>
      <c r="B72" s="175" t="s">
        <v>419</v>
      </c>
      <c r="C72" s="175" t="s">
        <v>420</v>
      </c>
      <c r="D72" s="172" t="s">
        <v>377</v>
      </c>
      <c r="E72" s="172">
        <f>352+470</f>
        <v>822</v>
      </c>
    </row>
    <row r="73" ht="18" spans="1:5">
      <c r="A73" s="174" t="s">
        <v>421</v>
      </c>
      <c r="B73" s="175" t="s">
        <v>422</v>
      </c>
      <c r="C73" s="176" t="s">
        <v>423</v>
      </c>
      <c r="D73" s="172" t="s">
        <v>377</v>
      </c>
      <c r="E73" s="172" t="s">
        <v>424</v>
      </c>
    </row>
    <row r="74" spans="1:5">
      <c r="A74" s="189"/>
      <c r="B74" s="176"/>
      <c r="C74" s="176" t="s">
        <v>425</v>
      </c>
      <c r="D74" s="172"/>
      <c r="E74" s="172"/>
    </row>
    <row r="75" spans="1:5">
      <c r="A75" s="174" t="s">
        <v>426</v>
      </c>
      <c r="B75" s="175" t="s">
        <v>427</v>
      </c>
      <c r="C75" s="175" t="s">
        <v>428</v>
      </c>
      <c r="D75" s="190" t="s">
        <v>321</v>
      </c>
      <c r="E75" s="190">
        <v>6</v>
      </c>
    </row>
    <row r="76" ht="31.5" spans="1:5">
      <c r="A76" s="174" t="s">
        <v>429</v>
      </c>
      <c r="B76" s="175" t="s">
        <v>430</v>
      </c>
      <c r="C76" s="176" t="s">
        <v>431</v>
      </c>
      <c r="D76" s="172" t="s">
        <v>270</v>
      </c>
      <c r="E76" s="172">
        <v>75.6</v>
      </c>
    </row>
    <row r="77" ht="31.5" spans="1:5">
      <c r="A77" s="174" t="s">
        <v>432</v>
      </c>
      <c r="B77" s="175" t="s">
        <v>433</v>
      </c>
      <c r="C77" s="175" t="s">
        <v>434</v>
      </c>
      <c r="D77" s="190" t="s">
        <v>330</v>
      </c>
      <c r="E77" s="190">
        <v>4.6</v>
      </c>
    </row>
    <row r="78" spans="1:5">
      <c r="A78" s="174" t="s">
        <v>435</v>
      </c>
      <c r="B78" s="175" t="s">
        <v>436</v>
      </c>
      <c r="C78" s="176" t="s">
        <v>437</v>
      </c>
      <c r="D78" s="190" t="s">
        <v>330</v>
      </c>
      <c r="E78" s="190">
        <v>0.072</v>
      </c>
    </row>
    <row r="79" ht="31.5" spans="1:5">
      <c r="A79" s="174" t="s">
        <v>438</v>
      </c>
      <c r="B79" s="175" t="s">
        <v>439</v>
      </c>
      <c r="C79" s="176" t="s">
        <v>440</v>
      </c>
      <c r="D79" s="190" t="s">
        <v>321</v>
      </c>
      <c r="E79" s="190">
        <v>4</v>
      </c>
    </row>
    <row r="80" spans="1:5">
      <c r="A80" s="174" t="s">
        <v>441</v>
      </c>
      <c r="B80" s="175" t="s">
        <v>442</v>
      </c>
      <c r="C80" s="175" t="s">
        <v>443</v>
      </c>
      <c r="D80" s="172" t="s">
        <v>444</v>
      </c>
      <c r="E80" s="172" t="s">
        <v>244</v>
      </c>
    </row>
    <row r="81" spans="1:5">
      <c r="A81" s="187" t="s">
        <v>446</v>
      </c>
      <c r="B81" s="176"/>
      <c r="C81" s="176"/>
      <c r="D81" s="176"/>
      <c r="E81" s="176"/>
    </row>
    <row r="82" ht="18" spans="1:5">
      <c r="A82" s="174" t="s">
        <v>447</v>
      </c>
      <c r="B82" s="175" t="s">
        <v>448</v>
      </c>
      <c r="C82" s="175" t="s">
        <v>449</v>
      </c>
      <c r="D82" s="172" t="s">
        <v>377</v>
      </c>
      <c r="E82" s="172" t="s">
        <v>450</v>
      </c>
    </row>
    <row r="83" spans="1:5">
      <c r="A83" s="187" t="s">
        <v>452</v>
      </c>
      <c r="B83" s="176"/>
      <c r="C83" s="176"/>
      <c r="D83" s="176"/>
      <c r="E83" s="176"/>
    </row>
    <row r="84" ht="31.5" spans="1:5">
      <c r="A84" s="174" t="s">
        <v>453</v>
      </c>
      <c r="B84" s="176" t="s">
        <v>454</v>
      </c>
      <c r="C84" s="175" t="s">
        <v>455</v>
      </c>
      <c r="D84" s="190" t="s">
        <v>321</v>
      </c>
      <c r="E84" s="190">
        <v>1</v>
      </c>
    </row>
    <row r="85" ht="31.5" spans="1:5">
      <c r="A85" s="174" t="s">
        <v>456</v>
      </c>
      <c r="B85" s="176" t="s">
        <v>457</v>
      </c>
      <c r="C85" s="175" t="s">
        <v>458</v>
      </c>
      <c r="D85" s="190" t="s">
        <v>321</v>
      </c>
      <c r="E85" s="190">
        <v>1</v>
      </c>
    </row>
    <row r="86" ht="31.5" spans="1:5">
      <c r="A86" s="174" t="s">
        <v>459</v>
      </c>
      <c r="B86" s="175" t="s">
        <v>460</v>
      </c>
      <c r="C86" s="175" t="s">
        <v>461</v>
      </c>
      <c r="D86" s="172" t="s">
        <v>321</v>
      </c>
      <c r="E86" s="172">
        <v>1</v>
      </c>
    </row>
    <row r="87" s="152" customFormat="1" spans="1:5">
      <c r="A87" s="187" t="s">
        <v>463</v>
      </c>
      <c r="B87" s="176"/>
      <c r="C87" s="176"/>
      <c r="D87" s="176"/>
      <c r="E87" s="176"/>
    </row>
    <row r="88" s="152" customFormat="1" spans="1:5">
      <c r="A88" s="187" t="s">
        <v>464</v>
      </c>
      <c r="B88" s="176"/>
      <c r="C88" s="176"/>
      <c r="D88" s="176"/>
      <c r="E88" s="176"/>
    </row>
    <row r="89" s="152" customFormat="1" spans="1:5">
      <c r="A89" s="176"/>
      <c r="B89" s="176"/>
      <c r="C89" s="188" t="s">
        <v>465</v>
      </c>
      <c r="D89" s="172"/>
      <c r="E89" s="172"/>
    </row>
    <row r="90" s="152" customFormat="1" ht="31.5" spans="1:5">
      <c r="A90" s="174" t="s">
        <v>466</v>
      </c>
      <c r="B90" s="176" t="s">
        <v>467</v>
      </c>
      <c r="C90" s="175" t="s">
        <v>468</v>
      </c>
      <c r="D90" s="172" t="s">
        <v>354</v>
      </c>
      <c r="E90" s="172" t="s">
        <v>469</v>
      </c>
    </row>
    <row r="91" s="152" customFormat="1" ht="47.25" spans="1:5">
      <c r="A91" s="174" t="s">
        <v>470</v>
      </c>
      <c r="B91" s="176" t="s">
        <v>471</v>
      </c>
      <c r="C91" s="175" t="s">
        <v>472</v>
      </c>
      <c r="D91" s="172" t="s">
        <v>377</v>
      </c>
      <c r="E91" s="172">
        <v>505</v>
      </c>
    </row>
    <row r="92" s="152" customFormat="1" ht="78.75" spans="1:5">
      <c r="A92" s="174" t="s">
        <v>473</v>
      </c>
      <c r="B92" s="176" t="s">
        <v>474</v>
      </c>
      <c r="C92" s="175" t="s">
        <v>475</v>
      </c>
      <c r="D92" s="172" t="s">
        <v>377</v>
      </c>
      <c r="E92" s="172">
        <v>505</v>
      </c>
    </row>
    <row r="93" s="152" customFormat="1" ht="18" spans="1:5">
      <c r="A93" s="174" t="s">
        <v>477</v>
      </c>
      <c r="B93" s="176" t="s">
        <v>478</v>
      </c>
      <c r="C93" s="175" t="s">
        <v>479</v>
      </c>
      <c r="D93" s="172" t="s">
        <v>377</v>
      </c>
      <c r="E93" s="172">
        <v>505</v>
      </c>
    </row>
    <row r="94" s="152" customFormat="1" ht="31.5" spans="1:5">
      <c r="A94" s="189"/>
      <c r="B94" s="191"/>
      <c r="C94" s="192" t="s">
        <v>480</v>
      </c>
      <c r="D94" s="191"/>
      <c r="E94" s="191"/>
    </row>
    <row r="95" s="152" customFormat="1" ht="31.5" spans="1:5">
      <c r="A95" s="174" t="s">
        <v>481</v>
      </c>
      <c r="B95" s="175" t="s">
        <v>482</v>
      </c>
      <c r="C95" s="175" t="s">
        <v>483</v>
      </c>
      <c r="D95" s="172" t="s">
        <v>354</v>
      </c>
      <c r="E95" s="172" t="s">
        <v>484</v>
      </c>
    </row>
    <row r="96" s="152" customFormat="1" ht="31.5" spans="1:5">
      <c r="A96" s="174" t="s">
        <v>485</v>
      </c>
      <c r="B96" s="175" t="s">
        <v>486</v>
      </c>
      <c r="C96" s="175" t="s">
        <v>487</v>
      </c>
      <c r="D96" s="172" t="s">
        <v>354</v>
      </c>
      <c r="E96" s="172" t="s">
        <v>484</v>
      </c>
    </row>
    <row r="97" s="152" customFormat="1" ht="31.5" spans="1:5">
      <c r="A97" s="174" t="s">
        <v>488</v>
      </c>
      <c r="B97" s="176" t="s">
        <v>489</v>
      </c>
      <c r="C97" s="175" t="s">
        <v>490</v>
      </c>
      <c r="D97" s="172" t="s">
        <v>377</v>
      </c>
      <c r="E97" s="172">
        <v>71.9</v>
      </c>
    </row>
    <row r="98" s="152" customFormat="1" ht="31.5" spans="1:5">
      <c r="A98" s="189"/>
      <c r="B98" s="191"/>
      <c r="C98" s="192" t="s">
        <v>491</v>
      </c>
      <c r="D98" s="191"/>
      <c r="E98" s="191"/>
    </row>
    <row r="99" s="152" customFormat="1" ht="31.5" spans="1:5">
      <c r="A99" s="174" t="s">
        <v>492</v>
      </c>
      <c r="B99" s="175" t="s">
        <v>493</v>
      </c>
      <c r="C99" s="175" t="s">
        <v>494</v>
      </c>
      <c r="D99" s="172" t="s">
        <v>354</v>
      </c>
      <c r="E99" s="172" t="s">
        <v>495</v>
      </c>
    </row>
    <row r="100" s="152" customFormat="1" ht="31.5" spans="1:5">
      <c r="A100" s="174" t="s">
        <v>496</v>
      </c>
      <c r="B100" s="175" t="s">
        <v>497</v>
      </c>
      <c r="C100" s="175" t="s">
        <v>498</v>
      </c>
      <c r="D100" s="172" t="s">
        <v>354</v>
      </c>
      <c r="E100" s="172" t="s">
        <v>495</v>
      </c>
    </row>
    <row r="101" s="152" customFormat="1" ht="31.5" spans="1:5">
      <c r="A101" s="174" t="s">
        <v>499</v>
      </c>
      <c r="B101" s="175" t="s">
        <v>500</v>
      </c>
      <c r="C101" s="175" t="s">
        <v>490</v>
      </c>
      <c r="D101" s="172" t="s">
        <v>377</v>
      </c>
      <c r="E101" s="172">
        <v>16.27</v>
      </c>
    </row>
    <row r="102" s="152" customFormat="1" spans="1:5">
      <c r="A102" s="189"/>
      <c r="B102" s="193"/>
      <c r="C102" s="193" t="s">
        <v>501</v>
      </c>
      <c r="D102" s="193"/>
      <c r="E102" s="193"/>
    </row>
    <row r="103" s="152" customFormat="1" spans="1:5">
      <c r="A103" s="176"/>
      <c r="B103" s="176"/>
      <c r="C103" s="176" t="s">
        <v>502</v>
      </c>
      <c r="D103" s="172" t="s">
        <v>270</v>
      </c>
      <c r="E103" s="172" t="s">
        <v>503</v>
      </c>
    </row>
    <row r="104" s="152" customFormat="1" ht="31.5" spans="1:5">
      <c r="A104" s="174" t="s">
        <v>504</v>
      </c>
      <c r="B104" s="175" t="s">
        <v>505</v>
      </c>
      <c r="C104" s="175" t="s">
        <v>506</v>
      </c>
      <c r="D104" s="172" t="s">
        <v>377</v>
      </c>
      <c r="E104" s="172">
        <v>4.39</v>
      </c>
    </row>
    <row r="105" s="152" customFormat="1" ht="31.5" spans="1:5">
      <c r="A105" s="174" t="s">
        <v>507</v>
      </c>
      <c r="B105" s="175" t="s">
        <v>508</v>
      </c>
      <c r="C105" s="175" t="s">
        <v>509</v>
      </c>
      <c r="D105" s="172" t="s">
        <v>510</v>
      </c>
      <c r="E105" s="172" t="s">
        <v>511</v>
      </c>
    </row>
    <row r="106" s="152" customFormat="1" ht="31.5" spans="1:5">
      <c r="A106" s="174" t="s">
        <v>512</v>
      </c>
      <c r="B106" s="175" t="s">
        <v>513</v>
      </c>
      <c r="C106" s="175" t="s">
        <v>514</v>
      </c>
      <c r="D106" s="172" t="s">
        <v>354</v>
      </c>
      <c r="E106" s="172" t="s">
        <v>511</v>
      </c>
    </row>
    <row r="107" s="152" customFormat="1" spans="1:5">
      <c r="A107" s="187" t="s">
        <v>516</v>
      </c>
      <c r="B107" s="176"/>
      <c r="C107" s="176"/>
      <c r="D107" s="176"/>
      <c r="E107" s="176"/>
    </row>
    <row r="108" s="152" customFormat="1" ht="31.5" spans="1:5">
      <c r="A108" s="174" t="s">
        <v>517</v>
      </c>
      <c r="B108" s="175" t="s">
        <v>518</v>
      </c>
      <c r="C108" s="175" t="s">
        <v>519</v>
      </c>
      <c r="D108" s="172" t="s">
        <v>321</v>
      </c>
      <c r="E108" s="172" t="s">
        <v>520</v>
      </c>
    </row>
    <row r="109" s="152" customFormat="1" ht="31.5" spans="1:5">
      <c r="A109" s="174" t="s">
        <v>521</v>
      </c>
      <c r="B109" s="175" t="s">
        <v>522</v>
      </c>
      <c r="C109" s="175" t="s">
        <v>523</v>
      </c>
      <c r="D109" s="172" t="s">
        <v>377</v>
      </c>
      <c r="E109" s="172" t="s">
        <v>520</v>
      </c>
    </row>
    <row r="110" s="152" customFormat="1" spans="1:5">
      <c r="A110" s="174" t="s">
        <v>524</v>
      </c>
      <c r="B110" s="175" t="s">
        <v>525</v>
      </c>
      <c r="C110" s="175" t="s">
        <v>526</v>
      </c>
      <c r="D110" s="172" t="s">
        <v>321</v>
      </c>
      <c r="E110" s="172" t="s">
        <v>417</v>
      </c>
    </row>
    <row r="111" s="152" customFormat="1" spans="1:5">
      <c r="A111" s="187" t="s">
        <v>529</v>
      </c>
      <c r="B111" s="176"/>
      <c r="C111" s="176"/>
      <c r="D111" s="172"/>
      <c r="E111" s="172"/>
    </row>
    <row r="112" s="152" customFormat="1" spans="1:5">
      <c r="A112" s="176"/>
      <c r="B112" s="176"/>
      <c r="C112" s="187" t="s">
        <v>530</v>
      </c>
      <c r="D112" s="172"/>
      <c r="E112" s="172"/>
    </row>
    <row r="113" s="152" customFormat="1" ht="31.5" spans="1:5">
      <c r="A113" s="174" t="s">
        <v>531</v>
      </c>
      <c r="B113" s="175" t="s">
        <v>532</v>
      </c>
      <c r="C113" s="175" t="s">
        <v>533</v>
      </c>
      <c r="D113" s="172" t="s">
        <v>534</v>
      </c>
      <c r="E113" s="172">
        <f>124+24+24</f>
        <v>172</v>
      </c>
    </row>
    <row r="114" s="152" customFormat="1" spans="1:5">
      <c r="A114" s="189"/>
      <c r="B114" s="176"/>
      <c r="C114" s="187" t="s">
        <v>535</v>
      </c>
      <c r="D114" s="172"/>
      <c r="E114" s="172"/>
    </row>
    <row r="115" s="152" customFormat="1" ht="18" spans="1:5">
      <c r="A115" s="174" t="s">
        <v>536</v>
      </c>
      <c r="B115" s="175" t="s">
        <v>537</v>
      </c>
      <c r="C115" s="175" t="s">
        <v>538</v>
      </c>
      <c r="D115" s="172" t="s">
        <v>377</v>
      </c>
      <c r="E115" s="172" t="s">
        <v>539</v>
      </c>
    </row>
    <row r="116" s="152" customFormat="1" ht="31.5" spans="1:5">
      <c r="A116" s="174" t="s">
        <v>540</v>
      </c>
      <c r="B116" s="175" t="s">
        <v>541</v>
      </c>
      <c r="C116" s="175" t="s">
        <v>542</v>
      </c>
      <c r="D116" s="172" t="s">
        <v>444</v>
      </c>
      <c r="E116" s="172">
        <v>11</v>
      </c>
    </row>
    <row r="117" s="152" customFormat="1" spans="1:5">
      <c r="A117" s="189"/>
      <c r="B117" s="193"/>
      <c r="C117" s="194" t="s">
        <v>543</v>
      </c>
      <c r="D117" s="172"/>
      <c r="E117" s="172"/>
    </row>
    <row r="118" s="152" customFormat="1" spans="1:5">
      <c r="A118" s="193"/>
      <c r="B118" s="193"/>
      <c r="C118" s="193" t="s">
        <v>544</v>
      </c>
      <c r="D118" s="172"/>
      <c r="E118" s="172"/>
    </row>
    <row r="119" s="152" customFormat="1" ht="31.5" spans="1:5">
      <c r="A119" s="174" t="s">
        <v>545</v>
      </c>
      <c r="B119" s="175" t="s">
        <v>546</v>
      </c>
      <c r="C119" s="193" t="s">
        <v>547</v>
      </c>
      <c r="D119" s="172" t="s">
        <v>444</v>
      </c>
      <c r="E119" s="172">
        <v>1</v>
      </c>
    </row>
    <row r="120" s="152" customFormat="1" spans="1:5">
      <c r="A120" s="189"/>
      <c r="B120" s="193"/>
      <c r="C120" s="176" t="s">
        <v>548</v>
      </c>
      <c r="D120" s="172"/>
      <c r="E120" s="172"/>
    </row>
    <row r="121" s="152" customFormat="1" ht="31.5" spans="1:5">
      <c r="A121" s="174" t="s">
        <v>549</v>
      </c>
      <c r="B121" s="175" t="s">
        <v>550</v>
      </c>
      <c r="C121" s="176" t="s">
        <v>551</v>
      </c>
      <c r="D121" s="172" t="s">
        <v>444</v>
      </c>
      <c r="E121" s="172">
        <v>1</v>
      </c>
    </row>
    <row r="122" s="152" customFormat="1" spans="1:5">
      <c r="A122" s="189"/>
      <c r="B122" s="193"/>
      <c r="C122" s="176" t="s">
        <v>552</v>
      </c>
      <c r="D122" s="172"/>
      <c r="E122" s="172"/>
    </row>
    <row r="123" s="152" customFormat="1" ht="31.5" spans="1:5">
      <c r="A123" s="174" t="s">
        <v>553</v>
      </c>
      <c r="B123" s="175" t="s">
        <v>554</v>
      </c>
      <c r="C123" s="176" t="s">
        <v>555</v>
      </c>
      <c r="D123" s="172" t="s">
        <v>444</v>
      </c>
      <c r="E123" s="172">
        <v>2</v>
      </c>
    </row>
    <row r="124" s="152" customFormat="1" spans="1:5">
      <c r="A124" s="189"/>
      <c r="B124" s="193"/>
      <c r="C124" s="176" t="s">
        <v>556</v>
      </c>
      <c r="D124" s="172"/>
      <c r="E124" s="172"/>
    </row>
    <row r="125" s="152" customFormat="1" ht="31.5" spans="1:5">
      <c r="A125" s="174" t="s">
        <v>557</v>
      </c>
      <c r="B125" s="175" t="s">
        <v>558</v>
      </c>
      <c r="C125" s="176" t="s">
        <v>559</v>
      </c>
      <c r="D125" s="172" t="s">
        <v>444</v>
      </c>
      <c r="E125" s="172">
        <v>2</v>
      </c>
    </row>
    <row r="126" s="152" customFormat="1" spans="1:5">
      <c r="A126" s="189"/>
      <c r="B126" s="193"/>
      <c r="C126" s="193" t="s">
        <v>560</v>
      </c>
      <c r="D126" s="172"/>
      <c r="E126" s="172"/>
    </row>
    <row r="127" s="152" customFormat="1" ht="31.5" spans="1:5">
      <c r="A127" s="174" t="s">
        <v>561</v>
      </c>
      <c r="B127" s="175" t="s">
        <v>562</v>
      </c>
      <c r="C127" s="176" t="s">
        <v>563</v>
      </c>
      <c r="D127" s="172" t="s">
        <v>444</v>
      </c>
      <c r="E127" s="172">
        <v>2</v>
      </c>
    </row>
    <row r="128" s="152" customFormat="1" ht="31.5" spans="1:5">
      <c r="A128" s="174" t="s">
        <v>564</v>
      </c>
      <c r="B128" s="175" t="s">
        <v>565</v>
      </c>
      <c r="C128" s="175" t="s">
        <v>566</v>
      </c>
      <c r="D128" s="172" t="s">
        <v>444</v>
      </c>
      <c r="E128" s="172">
        <v>4</v>
      </c>
    </row>
    <row r="129" s="152" customFormat="1" ht="31.5" spans="1:5">
      <c r="A129" s="174" t="s">
        <v>567</v>
      </c>
      <c r="B129" s="175" t="s">
        <v>568</v>
      </c>
      <c r="C129" s="176" t="s">
        <v>569</v>
      </c>
      <c r="D129" s="172" t="s">
        <v>444</v>
      </c>
      <c r="E129" s="172">
        <v>2</v>
      </c>
    </row>
    <row r="130" s="152" customFormat="1" ht="31.5" spans="1:5">
      <c r="A130" s="189"/>
      <c r="B130" s="176"/>
      <c r="C130" s="192" t="s">
        <v>570</v>
      </c>
      <c r="D130" s="193"/>
      <c r="E130" s="172"/>
    </row>
    <row r="131" s="152" customFormat="1" spans="1:5">
      <c r="A131" s="174" t="s">
        <v>571</v>
      </c>
      <c r="B131" s="175" t="s">
        <v>572</v>
      </c>
      <c r="C131" s="176" t="s">
        <v>573</v>
      </c>
      <c r="D131" s="172" t="s">
        <v>574</v>
      </c>
      <c r="E131" s="172">
        <f>998+186+38</f>
        <v>1222</v>
      </c>
    </row>
    <row r="132" s="152" customFormat="1" ht="31.5" spans="1:5">
      <c r="A132" s="189"/>
      <c r="B132" s="193"/>
      <c r="C132" s="192" t="s">
        <v>575</v>
      </c>
      <c r="D132" s="193"/>
      <c r="E132" s="172"/>
    </row>
    <row r="133" s="152" customFormat="1" spans="1:5">
      <c r="A133" s="174" t="s">
        <v>576</v>
      </c>
      <c r="B133" s="175" t="s">
        <v>572</v>
      </c>
      <c r="C133" s="176" t="s">
        <v>577</v>
      </c>
      <c r="D133" s="172" t="s">
        <v>578</v>
      </c>
      <c r="E133" s="172">
        <v>91</v>
      </c>
    </row>
    <row r="134" s="152" customFormat="1" spans="1:5">
      <c r="A134" s="177" t="s">
        <v>581</v>
      </c>
      <c r="B134" s="177"/>
      <c r="C134" s="177"/>
      <c r="D134" s="180"/>
      <c r="E134" s="180"/>
    </row>
    <row r="135" s="152" customFormat="1" spans="1:5">
      <c r="A135" s="195" t="s">
        <v>582</v>
      </c>
      <c r="B135" s="195"/>
      <c r="C135" s="195"/>
      <c r="D135" s="180"/>
      <c r="E135" s="180"/>
    </row>
    <row r="136" s="152" customFormat="1" spans="1:5">
      <c r="A136" s="186"/>
      <c r="B136" s="196"/>
      <c r="C136" s="197" t="s">
        <v>326</v>
      </c>
      <c r="D136" s="180"/>
      <c r="E136" s="180"/>
    </row>
    <row r="137" s="152" customFormat="1" spans="1:5">
      <c r="A137" s="186"/>
      <c r="B137" s="196"/>
      <c r="C137" s="198" t="s">
        <v>583</v>
      </c>
      <c r="D137" s="180"/>
      <c r="E137" s="180"/>
    </row>
    <row r="138" s="152" customFormat="1" spans="1:5">
      <c r="A138" s="174" t="s">
        <v>584</v>
      </c>
      <c r="B138" s="180" t="s">
        <v>585</v>
      </c>
      <c r="C138" s="181" t="s">
        <v>329</v>
      </c>
      <c r="D138" s="180" t="s">
        <v>330</v>
      </c>
      <c r="E138" s="180">
        <v>19.71</v>
      </c>
    </row>
    <row r="139" s="152" customFormat="1" spans="1:5">
      <c r="A139" s="174" t="s">
        <v>586</v>
      </c>
      <c r="B139" s="180" t="s">
        <v>585</v>
      </c>
      <c r="C139" s="181" t="s">
        <v>587</v>
      </c>
      <c r="D139" s="180" t="s">
        <v>330</v>
      </c>
      <c r="E139" s="180">
        <v>63.51</v>
      </c>
    </row>
    <row r="140" s="152" customFormat="1" spans="1:5">
      <c r="A140" s="174" t="s">
        <v>588</v>
      </c>
      <c r="B140" s="180" t="s">
        <v>589</v>
      </c>
      <c r="C140" s="181" t="s">
        <v>335</v>
      </c>
      <c r="D140" s="180" t="s">
        <v>330</v>
      </c>
      <c r="E140" s="180">
        <v>63.51</v>
      </c>
    </row>
    <row r="141" s="152" customFormat="1" ht="31.5" spans="1:5">
      <c r="A141" s="174" t="s">
        <v>590</v>
      </c>
      <c r="B141" s="180" t="s">
        <v>591</v>
      </c>
      <c r="C141" s="181" t="s">
        <v>338</v>
      </c>
      <c r="D141" s="180"/>
      <c r="E141" s="199">
        <f>146.73*1.01</f>
        <v>148.2</v>
      </c>
    </row>
    <row r="142" s="152" customFormat="1" ht="31.5" spans="1:5">
      <c r="A142" s="174" t="s">
        <v>592</v>
      </c>
      <c r="B142" s="180" t="s">
        <v>593</v>
      </c>
      <c r="C142" s="181" t="s">
        <v>350</v>
      </c>
      <c r="D142" s="180" t="s">
        <v>284</v>
      </c>
      <c r="E142" s="180">
        <v>59.7</v>
      </c>
    </row>
    <row r="143" s="152" customFormat="1" spans="1:5">
      <c r="A143" s="174" t="s">
        <v>594</v>
      </c>
      <c r="B143" s="180" t="s">
        <v>595</v>
      </c>
      <c r="C143" s="181" t="s">
        <v>596</v>
      </c>
      <c r="D143" s="180" t="s">
        <v>444</v>
      </c>
      <c r="E143" s="180">
        <v>67</v>
      </c>
    </row>
    <row r="144" s="152" customFormat="1" ht="31.5" spans="1:5">
      <c r="A144" s="174" t="s">
        <v>597</v>
      </c>
      <c r="B144" s="180" t="s">
        <v>598</v>
      </c>
      <c r="C144" s="181" t="s">
        <v>344</v>
      </c>
      <c r="D144" s="180" t="s">
        <v>330</v>
      </c>
      <c r="E144" s="180">
        <v>19.2734</v>
      </c>
    </row>
    <row r="145" s="152" customFormat="1" ht="31.5" spans="1:5">
      <c r="A145" s="174" t="s">
        <v>599</v>
      </c>
      <c r="B145" s="180" t="s">
        <v>600</v>
      </c>
      <c r="C145" s="181" t="s">
        <v>601</v>
      </c>
      <c r="D145" s="180" t="s">
        <v>274</v>
      </c>
      <c r="E145" s="180">
        <v>155.44</v>
      </c>
    </row>
    <row r="146" s="152" customFormat="1" ht="31.5" spans="1:5">
      <c r="A146" s="174" t="s">
        <v>602</v>
      </c>
      <c r="B146" s="180" t="s">
        <v>603</v>
      </c>
      <c r="C146" s="181" t="s">
        <v>604</v>
      </c>
      <c r="D146" s="180" t="s">
        <v>284</v>
      </c>
      <c r="E146" s="180">
        <v>2.81</v>
      </c>
    </row>
    <row r="147" s="152" customFormat="1" ht="31.5" spans="1:5">
      <c r="A147" s="174" t="s">
        <v>605</v>
      </c>
      <c r="B147" s="180" t="s">
        <v>606</v>
      </c>
      <c r="C147" s="181" t="s">
        <v>607</v>
      </c>
      <c r="D147" s="180" t="s">
        <v>284</v>
      </c>
      <c r="E147" s="180">
        <v>4.6328</v>
      </c>
    </row>
    <row r="148" s="152" customFormat="1" spans="1:5">
      <c r="A148" s="189"/>
      <c r="B148" s="180"/>
      <c r="C148" s="200" t="s">
        <v>608</v>
      </c>
      <c r="D148" s="180"/>
      <c r="E148" s="180"/>
    </row>
    <row r="149" s="152" customFormat="1" ht="31.5" spans="1:5">
      <c r="A149" s="174" t="s">
        <v>609</v>
      </c>
      <c r="B149" s="180" t="s">
        <v>610</v>
      </c>
      <c r="C149" s="181" t="s">
        <v>611</v>
      </c>
      <c r="D149" s="180" t="s">
        <v>274</v>
      </c>
      <c r="E149" s="180">
        <v>237</v>
      </c>
    </row>
    <row r="150" s="152" customFormat="1" ht="31.5" spans="1:5">
      <c r="A150" s="174" t="s">
        <v>612</v>
      </c>
      <c r="B150" s="180" t="s">
        <v>613</v>
      </c>
      <c r="C150" s="181" t="s">
        <v>614</v>
      </c>
      <c r="D150" s="180" t="s">
        <v>284</v>
      </c>
      <c r="E150" s="180">
        <v>0.08979</v>
      </c>
    </row>
    <row r="151" s="152" customFormat="1" ht="31.5" spans="1:5">
      <c r="A151" s="174" t="s">
        <v>615</v>
      </c>
      <c r="B151" s="180" t="s">
        <v>616</v>
      </c>
      <c r="C151" s="181" t="s">
        <v>617</v>
      </c>
      <c r="D151" s="180" t="s">
        <v>284</v>
      </c>
      <c r="E151" s="180">
        <v>0.5448</v>
      </c>
    </row>
    <row r="152" s="152" customFormat="1" ht="31.5" spans="1:5">
      <c r="A152" s="174" t="s">
        <v>618</v>
      </c>
      <c r="B152" s="180" t="s">
        <v>619</v>
      </c>
      <c r="C152" s="181" t="s">
        <v>620</v>
      </c>
      <c r="D152" s="180" t="s">
        <v>274</v>
      </c>
      <c r="E152" s="180">
        <v>4.2</v>
      </c>
    </row>
    <row r="153" s="152" customFormat="1" spans="1:5">
      <c r="A153" s="189"/>
      <c r="B153" s="196"/>
      <c r="C153" s="200" t="s">
        <v>621</v>
      </c>
      <c r="D153" s="180"/>
      <c r="E153" s="180"/>
    </row>
    <row r="154" s="152" customFormat="1" ht="31.5" spans="1:5">
      <c r="A154" s="174" t="s">
        <v>622</v>
      </c>
      <c r="B154" s="180" t="s">
        <v>623</v>
      </c>
      <c r="C154" s="181" t="s">
        <v>624</v>
      </c>
      <c r="D154" s="180" t="s">
        <v>284</v>
      </c>
      <c r="E154" s="180">
        <v>4.6</v>
      </c>
    </row>
    <row r="155" s="152" customFormat="1" spans="1:5">
      <c r="A155" s="174" t="s">
        <v>625</v>
      </c>
      <c r="B155" s="180" t="s">
        <v>626</v>
      </c>
      <c r="C155" s="181" t="s">
        <v>627</v>
      </c>
      <c r="D155" s="180" t="s">
        <v>321</v>
      </c>
      <c r="E155" s="180">
        <v>4</v>
      </c>
    </row>
    <row r="156" s="152" customFormat="1" ht="31.5" spans="1:5">
      <c r="A156" s="174" t="s">
        <v>628</v>
      </c>
      <c r="B156" s="180" t="s">
        <v>629</v>
      </c>
      <c r="C156" s="181" t="s">
        <v>630</v>
      </c>
      <c r="D156" s="180" t="s">
        <v>534</v>
      </c>
      <c r="E156" s="180">
        <v>75.6</v>
      </c>
    </row>
    <row r="157" s="152" customFormat="1" spans="1:5">
      <c r="A157" s="174" t="s">
        <v>631</v>
      </c>
      <c r="B157" s="180" t="s">
        <v>632</v>
      </c>
      <c r="C157" s="181" t="s">
        <v>440</v>
      </c>
      <c r="D157" s="180" t="s">
        <v>444</v>
      </c>
      <c r="E157" s="180">
        <v>4</v>
      </c>
    </row>
    <row r="158" s="152" customFormat="1" spans="1:5">
      <c r="A158" s="174" t="s">
        <v>633</v>
      </c>
      <c r="B158" s="190" t="s">
        <v>634</v>
      </c>
      <c r="C158" s="181" t="s">
        <v>635</v>
      </c>
      <c r="D158" s="180" t="s">
        <v>636</v>
      </c>
      <c r="E158" s="180">
        <v>6</v>
      </c>
    </row>
    <row r="159" s="152" customFormat="1" spans="1:5">
      <c r="A159" s="189"/>
      <c r="B159" s="196"/>
      <c r="C159" s="200" t="s">
        <v>637</v>
      </c>
      <c r="D159" s="180"/>
      <c r="E159" s="180"/>
    </row>
    <row r="160" s="152" customFormat="1" spans="1:5">
      <c r="A160" s="174" t="s">
        <v>638</v>
      </c>
      <c r="B160" s="180" t="s">
        <v>639</v>
      </c>
      <c r="C160" s="181" t="s">
        <v>640</v>
      </c>
      <c r="D160" s="180" t="s">
        <v>274</v>
      </c>
      <c r="E160" s="180">
        <v>11</v>
      </c>
    </row>
    <row r="161" s="152" customFormat="1" ht="31.5" spans="1:5">
      <c r="A161" s="174" t="s">
        <v>641</v>
      </c>
      <c r="B161" s="180" t="s">
        <v>642</v>
      </c>
      <c r="C161" s="181" t="s">
        <v>643</v>
      </c>
      <c r="D161" s="180" t="s">
        <v>274</v>
      </c>
      <c r="E161" s="180">
        <v>55</v>
      </c>
    </row>
    <row r="162" spans="1:5">
      <c r="A162" s="189"/>
      <c r="B162" s="196"/>
      <c r="C162" s="200" t="s">
        <v>644</v>
      </c>
      <c r="D162" s="180"/>
      <c r="E162" s="180"/>
    </row>
    <row r="163" ht="31.5" spans="1:5">
      <c r="A163" s="174" t="s">
        <v>645</v>
      </c>
      <c r="B163" s="180" t="s">
        <v>646</v>
      </c>
      <c r="C163" s="181" t="s">
        <v>647</v>
      </c>
      <c r="D163" s="180" t="s">
        <v>274</v>
      </c>
      <c r="E163" s="180">
        <v>822</v>
      </c>
    </row>
    <row r="164" spans="1:5">
      <c r="A164" s="189"/>
      <c r="B164" s="180"/>
      <c r="C164" s="200" t="s">
        <v>381</v>
      </c>
      <c r="D164" s="180"/>
      <c r="E164" s="180"/>
    </row>
    <row r="165" spans="1:5">
      <c r="A165" s="174" t="s">
        <v>648</v>
      </c>
      <c r="B165" s="180" t="s">
        <v>649</v>
      </c>
      <c r="C165" s="181" t="s">
        <v>381</v>
      </c>
      <c r="D165" s="180" t="s">
        <v>534</v>
      </c>
      <c r="E165" s="183">
        <v>29.2</v>
      </c>
    </row>
    <row r="166" ht="31.5" spans="1:5">
      <c r="A166" s="189"/>
      <c r="B166" s="180"/>
      <c r="C166" s="200" t="s">
        <v>650</v>
      </c>
      <c r="D166" s="180"/>
      <c r="E166" s="180"/>
    </row>
    <row r="167" spans="1:5">
      <c r="A167" s="174" t="s">
        <v>651</v>
      </c>
      <c r="B167" s="180" t="s">
        <v>652</v>
      </c>
      <c r="C167" s="181" t="s">
        <v>653</v>
      </c>
      <c r="D167" s="180" t="s">
        <v>284</v>
      </c>
      <c r="E167" s="180">
        <v>29.32</v>
      </c>
    </row>
    <row r="168" spans="1:5">
      <c r="A168" s="174" t="s">
        <v>654</v>
      </c>
      <c r="B168" s="180" t="s">
        <v>655</v>
      </c>
      <c r="C168" s="181" t="s">
        <v>656</v>
      </c>
      <c r="D168" s="180" t="s">
        <v>578</v>
      </c>
      <c r="E168" s="180">
        <v>239</v>
      </c>
    </row>
    <row r="169" spans="1:5">
      <c r="A169" s="174" t="s">
        <v>657</v>
      </c>
      <c r="B169" s="180" t="s">
        <v>658</v>
      </c>
      <c r="C169" s="181" t="s">
        <v>659</v>
      </c>
      <c r="D169" s="180" t="s">
        <v>578</v>
      </c>
      <c r="E169" s="180">
        <v>239</v>
      </c>
    </row>
    <row r="170" spans="1:5">
      <c r="A170" s="174" t="s">
        <v>660</v>
      </c>
      <c r="B170" s="180" t="s">
        <v>661</v>
      </c>
      <c r="C170" s="181" t="s">
        <v>662</v>
      </c>
      <c r="D170" s="180" t="s">
        <v>578</v>
      </c>
      <c r="E170" s="180">
        <v>108.2</v>
      </c>
    </row>
    <row r="171" spans="1:5">
      <c r="A171" s="189"/>
      <c r="B171" s="190"/>
      <c r="C171" s="201" t="s">
        <v>663</v>
      </c>
      <c r="D171" s="190"/>
      <c r="E171" s="190"/>
    </row>
    <row r="172" ht="31.5" spans="1:5">
      <c r="A172" s="174" t="s">
        <v>664</v>
      </c>
      <c r="B172" s="180" t="s">
        <v>665</v>
      </c>
      <c r="C172" s="181" t="s">
        <v>666</v>
      </c>
      <c r="D172" s="180" t="s">
        <v>284</v>
      </c>
      <c r="E172" s="183">
        <v>6.0149</v>
      </c>
    </row>
    <row r="173" s="153" customFormat="1" ht="31.5" spans="1:5">
      <c r="A173" s="174" t="s">
        <v>667</v>
      </c>
      <c r="B173" s="190" t="s">
        <v>668</v>
      </c>
      <c r="C173" s="175" t="s">
        <v>669</v>
      </c>
      <c r="D173" s="190" t="s">
        <v>274</v>
      </c>
      <c r="E173" s="172">
        <v>90</v>
      </c>
    </row>
    <row r="174" ht="31.5" spans="1:5">
      <c r="A174" s="174" t="s">
        <v>670</v>
      </c>
      <c r="B174" s="180" t="s">
        <v>671</v>
      </c>
      <c r="C174" s="181" t="s">
        <v>672</v>
      </c>
      <c r="D174" s="180" t="s">
        <v>284</v>
      </c>
      <c r="E174" s="180">
        <v>0.7914</v>
      </c>
    </row>
    <row r="175" ht="31.5" spans="1:5">
      <c r="A175" s="174" t="s">
        <v>673</v>
      </c>
      <c r="B175" s="180" t="s">
        <v>674</v>
      </c>
      <c r="C175" s="181" t="s">
        <v>675</v>
      </c>
      <c r="D175" s="180" t="s">
        <v>274</v>
      </c>
      <c r="E175" s="180">
        <v>16</v>
      </c>
    </row>
    <row r="176" ht="31.5" spans="1:5">
      <c r="A176" s="174" t="s">
        <v>676</v>
      </c>
      <c r="B176" s="180" t="s">
        <v>677</v>
      </c>
      <c r="C176" s="181" t="s">
        <v>678</v>
      </c>
      <c r="D176" s="180" t="s">
        <v>274</v>
      </c>
      <c r="E176" s="183">
        <v>8.1</v>
      </c>
    </row>
    <row r="177" spans="1:5">
      <c r="A177" s="174" t="s">
        <v>679</v>
      </c>
      <c r="B177" s="180" t="s">
        <v>680</v>
      </c>
      <c r="C177" s="202" t="s">
        <v>681</v>
      </c>
      <c r="D177" s="180" t="s">
        <v>321</v>
      </c>
      <c r="E177" s="183">
        <v>4</v>
      </c>
    </row>
    <row r="178" spans="1:5">
      <c r="A178" s="174" t="s">
        <v>682</v>
      </c>
      <c r="B178" s="180" t="s">
        <v>683</v>
      </c>
      <c r="C178" s="202" t="s">
        <v>684</v>
      </c>
      <c r="D178" s="180" t="s">
        <v>534</v>
      </c>
      <c r="E178" s="183">
        <v>5.2</v>
      </c>
    </row>
    <row r="179" ht="31.5" spans="1:5">
      <c r="A179" s="174" t="s">
        <v>685</v>
      </c>
      <c r="B179" s="180" t="s">
        <v>686</v>
      </c>
      <c r="C179" s="181" t="s">
        <v>687</v>
      </c>
      <c r="D179" s="180" t="s">
        <v>274</v>
      </c>
      <c r="E179" s="180">
        <v>328</v>
      </c>
    </row>
    <row r="180" spans="1:5">
      <c r="A180" s="189"/>
      <c r="B180" s="180"/>
      <c r="C180" s="203" t="s">
        <v>688</v>
      </c>
      <c r="D180" s="180"/>
      <c r="E180" s="180"/>
    </row>
    <row r="181" spans="1:5">
      <c r="A181" s="174" t="s">
        <v>689</v>
      </c>
      <c r="B181" s="180" t="s">
        <v>690</v>
      </c>
      <c r="C181" s="181" t="s">
        <v>691</v>
      </c>
      <c r="D181" s="180" t="s">
        <v>321</v>
      </c>
      <c r="E181" s="183">
        <v>5</v>
      </c>
    </row>
    <row r="182" hidden="1" spans="1:5">
      <c r="A182" s="204"/>
      <c r="B182" s="190"/>
      <c r="C182" s="205"/>
      <c r="D182" s="190"/>
      <c r="E182" s="172"/>
    </row>
    <row r="183" hidden="1" spans="1:5">
      <c r="A183" s="204"/>
      <c r="B183" s="190"/>
      <c r="C183" s="205"/>
      <c r="D183" s="190"/>
      <c r="E183" s="172"/>
    </row>
    <row r="184" spans="1:5">
      <c r="A184" s="177" t="s">
        <v>693</v>
      </c>
      <c r="B184" s="177"/>
      <c r="C184" s="177"/>
      <c r="D184" s="180"/>
      <c r="E184" s="183"/>
    </row>
    <row r="185" ht="47.25" spans="1:5">
      <c r="A185" s="174" t="s">
        <v>694</v>
      </c>
      <c r="B185" s="180" t="s">
        <v>695</v>
      </c>
      <c r="C185" s="181" t="s">
        <v>696</v>
      </c>
      <c r="D185" s="180" t="s">
        <v>274</v>
      </c>
      <c r="E185" s="183">
        <v>5740</v>
      </c>
    </row>
    <row r="186" spans="1:5">
      <c r="A186" s="177" t="s">
        <v>698</v>
      </c>
      <c r="B186" s="177"/>
      <c r="C186" s="177"/>
      <c r="D186" s="180"/>
      <c r="E186" s="183"/>
    </row>
    <row r="187" ht="31.5" spans="1:5">
      <c r="A187" s="174" t="s">
        <v>699</v>
      </c>
      <c r="B187" s="175" t="s">
        <v>700</v>
      </c>
      <c r="C187" s="175" t="s">
        <v>461</v>
      </c>
      <c r="D187" s="172" t="s">
        <v>321</v>
      </c>
      <c r="E187" s="172">
        <v>1</v>
      </c>
    </row>
    <row r="188" spans="1:5">
      <c r="A188" s="177" t="s">
        <v>702</v>
      </c>
      <c r="B188" s="177"/>
      <c r="C188" s="177"/>
      <c r="D188" s="180"/>
      <c r="E188" s="180"/>
    </row>
    <row r="189" spans="1:5">
      <c r="A189" s="177" t="s">
        <v>703</v>
      </c>
      <c r="B189" s="177"/>
      <c r="C189" s="177"/>
      <c r="D189" s="180"/>
      <c r="E189" s="180"/>
    </row>
    <row r="190" spans="1:5">
      <c r="A190" s="174" t="s">
        <v>704</v>
      </c>
      <c r="B190" s="180" t="s">
        <v>705</v>
      </c>
      <c r="C190" s="181" t="s">
        <v>706</v>
      </c>
      <c r="D190" s="180" t="s">
        <v>274</v>
      </c>
      <c r="E190" s="180">
        <v>250</v>
      </c>
    </row>
    <row r="191" spans="1:5">
      <c r="A191" s="174" t="s">
        <v>707</v>
      </c>
      <c r="B191" s="180" t="s">
        <v>708</v>
      </c>
      <c r="C191" s="181" t="s">
        <v>709</v>
      </c>
      <c r="D191" s="180" t="s">
        <v>274</v>
      </c>
      <c r="E191" s="180">
        <v>340</v>
      </c>
    </row>
    <row r="192" spans="1:5">
      <c r="A192" s="174" t="s">
        <v>710</v>
      </c>
      <c r="B192" s="180" t="s">
        <v>711</v>
      </c>
      <c r="C192" s="181" t="s">
        <v>712</v>
      </c>
      <c r="D192" s="180" t="s">
        <v>274</v>
      </c>
      <c r="E192" s="180">
        <v>340</v>
      </c>
    </row>
    <row r="193" spans="1:5">
      <c r="A193" s="174" t="s">
        <v>713</v>
      </c>
      <c r="B193" s="180" t="s">
        <v>714</v>
      </c>
      <c r="C193" s="181" t="s">
        <v>715</v>
      </c>
      <c r="D193" s="180" t="s">
        <v>578</v>
      </c>
      <c r="E193" s="180">
        <v>1819</v>
      </c>
    </row>
    <row r="194" ht="47.25" spans="1:5">
      <c r="A194" s="174" t="s">
        <v>716</v>
      </c>
      <c r="B194" s="180" t="s">
        <v>717</v>
      </c>
      <c r="C194" s="181" t="s">
        <v>718</v>
      </c>
      <c r="D194" s="180" t="s">
        <v>578</v>
      </c>
      <c r="E194" s="180">
        <v>88</v>
      </c>
    </row>
    <row r="195" spans="1:5">
      <c r="A195" s="189"/>
      <c r="B195" s="180"/>
      <c r="C195" s="200" t="s">
        <v>719</v>
      </c>
      <c r="D195" s="180"/>
      <c r="E195" s="180"/>
    </row>
    <row r="196" ht="31.5" spans="1:5">
      <c r="A196" s="174" t="s">
        <v>720</v>
      </c>
      <c r="B196" s="180" t="s">
        <v>721</v>
      </c>
      <c r="C196" s="181" t="s">
        <v>722</v>
      </c>
      <c r="D196" s="180" t="s">
        <v>578</v>
      </c>
      <c r="E196" s="180">
        <v>1535</v>
      </c>
    </row>
    <row r="197" spans="1:5">
      <c r="A197" s="177" t="s">
        <v>724</v>
      </c>
      <c r="B197" s="177"/>
      <c r="C197" s="177"/>
      <c r="D197" s="180"/>
      <c r="E197" s="180"/>
    </row>
    <row r="198" spans="1:5">
      <c r="A198" s="186"/>
      <c r="B198" s="180"/>
      <c r="C198" s="200" t="s">
        <v>725</v>
      </c>
      <c r="D198" s="180"/>
      <c r="E198" s="180"/>
    </row>
    <row r="199" spans="1:5">
      <c r="A199" s="174" t="s">
        <v>726</v>
      </c>
      <c r="B199" s="180" t="s">
        <v>727</v>
      </c>
      <c r="C199" s="181" t="s">
        <v>728</v>
      </c>
      <c r="D199" s="180" t="s">
        <v>274</v>
      </c>
      <c r="E199" s="180">
        <v>100</v>
      </c>
    </row>
    <row r="200" ht="31.5" spans="1:5">
      <c r="A200" s="174" t="s">
        <v>729</v>
      </c>
      <c r="B200" s="180" t="s">
        <v>730</v>
      </c>
      <c r="C200" s="181" t="s">
        <v>731</v>
      </c>
      <c r="D200" s="180" t="s">
        <v>274</v>
      </c>
      <c r="E200" s="180">
        <v>10</v>
      </c>
    </row>
    <row r="201" spans="1:5">
      <c r="A201" s="174" t="s">
        <v>732</v>
      </c>
      <c r="B201" s="180" t="s">
        <v>733</v>
      </c>
      <c r="C201" s="181" t="s">
        <v>479</v>
      </c>
      <c r="D201" s="180" t="s">
        <v>274</v>
      </c>
      <c r="E201" s="180">
        <v>10</v>
      </c>
    </row>
    <row r="202" ht="47.25" spans="1:5">
      <c r="A202" s="174" t="s">
        <v>734</v>
      </c>
      <c r="B202" s="180" t="s">
        <v>735</v>
      </c>
      <c r="C202" s="181" t="s">
        <v>736</v>
      </c>
      <c r="D202" s="180" t="s">
        <v>274</v>
      </c>
      <c r="E202" s="180">
        <v>140</v>
      </c>
    </row>
    <row r="203" spans="1:5">
      <c r="A203" s="174" t="s">
        <v>737</v>
      </c>
      <c r="B203" s="180" t="s">
        <v>738</v>
      </c>
      <c r="C203" s="181" t="s">
        <v>739</v>
      </c>
      <c r="D203" s="180" t="s">
        <v>578</v>
      </c>
      <c r="E203" s="180">
        <v>712</v>
      </c>
    </row>
    <row r="204" ht="31.5" spans="1:5">
      <c r="A204" s="174" t="s">
        <v>740</v>
      </c>
      <c r="B204" s="180" t="s">
        <v>741</v>
      </c>
      <c r="C204" s="181" t="s">
        <v>742</v>
      </c>
      <c r="D204" s="180" t="s">
        <v>578</v>
      </c>
      <c r="E204" s="180">
        <v>203</v>
      </c>
    </row>
    <row r="205" ht="31.5" spans="1:5">
      <c r="A205" s="174" t="s">
        <v>743</v>
      </c>
      <c r="B205" s="180" t="s">
        <v>744</v>
      </c>
      <c r="C205" s="181" t="s">
        <v>722</v>
      </c>
      <c r="D205" s="180" t="s">
        <v>578</v>
      </c>
      <c r="E205" s="180">
        <v>571</v>
      </c>
    </row>
    <row r="206" spans="1:5">
      <c r="A206" s="177" t="s">
        <v>746</v>
      </c>
      <c r="B206" s="177"/>
      <c r="C206" s="177"/>
      <c r="D206" s="180"/>
      <c r="E206" s="180"/>
    </row>
    <row r="207" spans="1:5">
      <c r="A207" s="174" t="s">
        <v>747</v>
      </c>
      <c r="B207" s="180" t="s">
        <v>748</v>
      </c>
      <c r="C207" s="181" t="s">
        <v>706</v>
      </c>
      <c r="D207" s="180" t="s">
        <v>274</v>
      </c>
      <c r="E207" s="180">
        <v>50</v>
      </c>
    </row>
    <row r="208" spans="1:5">
      <c r="A208" s="174" t="s">
        <v>749</v>
      </c>
      <c r="B208" s="180" t="s">
        <v>750</v>
      </c>
      <c r="C208" s="181" t="s">
        <v>751</v>
      </c>
      <c r="D208" s="180" t="s">
        <v>274</v>
      </c>
      <c r="E208" s="180">
        <v>30</v>
      </c>
    </row>
    <row r="209" spans="1:5">
      <c r="A209" s="174" t="s">
        <v>752</v>
      </c>
      <c r="B209" s="180" t="s">
        <v>753</v>
      </c>
      <c r="C209" s="181" t="s">
        <v>712</v>
      </c>
      <c r="D209" s="180" t="s">
        <v>274</v>
      </c>
      <c r="E209" s="180">
        <v>30</v>
      </c>
    </row>
    <row r="210" ht="63" spans="1:5">
      <c r="A210" s="174" t="s">
        <v>754</v>
      </c>
      <c r="B210" s="180" t="s">
        <v>755</v>
      </c>
      <c r="C210" s="181" t="s">
        <v>756</v>
      </c>
      <c r="D210" s="180" t="s">
        <v>274</v>
      </c>
      <c r="E210" s="180">
        <v>15</v>
      </c>
    </row>
    <row r="211" spans="1:5">
      <c r="A211" s="189"/>
      <c r="B211" s="180"/>
      <c r="C211" s="200" t="s">
        <v>757</v>
      </c>
      <c r="D211" s="180"/>
      <c r="E211" s="180"/>
    </row>
    <row r="212" spans="1:5">
      <c r="A212" s="174" t="s">
        <v>758</v>
      </c>
      <c r="B212" s="180" t="s">
        <v>759</v>
      </c>
      <c r="C212" s="181" t="s">
        <v>760</v>
      </c>
      <c r="D212" s="180" t="s">
        <v>578</v>
      </c>
      <c r="E212" s="180">
        <v>388</v>
      </c>
    </row>
    <row r="213" ht="31.5" spans="1:5">
      <c r="A213" s="174" t="s">
        <v>761</v>
      </c>
      <c r="B213" s="180" t="s">
        <v>762</v>
      </c>
      <c r="C213" s="181" t="s">
        <v>742</v>
      </c>
      <c r="D213" s="180" t="s">
        <v>578</v>
      </c>
      <c r="E213" s="180">
        <v>40</v>
      </c>
    </row>
    <row r="214" spans="1:5">
      <c r="A214" s="189"/>
      <c r="B214" s="190"/>
      <c r="C214" s="206" t="s">
        <v>763</v>
      </c>
      <c r="D214" s="190"/>
      <c r="E214" s="190"/>
    </row>
    <row r="215" ht="31.5" spans="1:5">
      <c r="A215" s="174" t="s">
        <v>764</v>
      </c>
      <c r="B215" s="190" t="s">
        <v>765</v>
      </c>
      <c r="C215" s="175" t="s">
        <v>722</v>
      </c>
      <c r="D215" s="190" t="s">
        <v>578</v>
      </c>
      <c r="E215" s="190">
        <v>303</v>
      </c>
    </row>
    <row r="216" spans="1:5">
      <c r="A216" s="207" t="s">
        <v>767</v>
      </c>
      <c r="B216" s="207"/>
      <c r="C216" s="207"/>
      <c r="D216" s="190"/>
      <c r="E216" s="190"/>
    </row>
    <row r="217" ht="31.5" spans="1:5">
      <c r="A217" s="174" t="s">
        <v>768</v>
      </c>
      <c r="B217" s="190" t="s">
        <v>769</v>
      </c>
      <c r="C217" s="175" t="s">
        <v>770</v>
      </c>
      <c r="D217" s="190" t="s">
        <v>578</v>
      </c>
      <c r="E217" s="190">
        <v>20</v>
      </c>
    </row>
    <row r="218" ht="31.5" spans="1:5">
      <c r="A218" s="174" t="s">
        <v>771</v>
      </c>
      <c r="B218" s="190" t="s">
        <v>772</v>
      </c>
      <c r="C218" s="175" t="s">
        <v>773</v>
      </c>
      <c r="D218" s="190" t="s">
        <v>534</v>
      </c>
      <c r="E218" s="190">
        <v>23</v>
      </c>
    </row>
    <row r="219" spans="1:5">
      <c r="A219" s="207" t="s">
        <v>775</v>
      </c>
      <c r="B219" s="207"/>
      <c r="C219" s="207"/>
      <c r="D219" s="190"/>
      <c r="E219" s="190"/>
    </row>
    <row r="220" ht="31.5" spans="1:5">
      <c r="A220" s="174" t="s">
        <v>776</v>
      </c>
      <c r="B220" s="190" t="s">
        <v>777</v>
      </c>
      <c r="C220" s="175" t="s">
        <v>778</v>
      </c>
      <c r="D220" s="190" t="s">
        <v>321</v>
      </c>
      <c r="E220" s="190">
        <v>11</v>
      </c>
    </row>
    <row r="221" ht="31.5" spans="1:5">
      <c r="A221" s="174" t="s">
        <v>779</v>
      </c>
      <c r="B221" s="190" t="s">
        <v>780</v>
      </c>
      <c r="C221" s="175" t="s">
        <v>781</v>
      </c>
      <c r="D221" s="190" t="s">
        <v>274</v>
      </c>
      <c r="E221" s="190">
        <v>3</v>
      </c>
    </row>
    <row r="222" ht="40.5" customHeight="1" spans="1:5">
      <c r="A222" s="174" t="s">
        <v>782</v>
      </c>
      <c r="B222" s="190" t="s">
        <v>783</v>
      </c>
      <c r="C222" s="175" t="s">
        <v>784</v>
      </c>
      <c r="D222" s="190" t="s">
        <v>321</v>
      </c>
      <c r="E222" s="190">
        <v>44</v>
      </c>
    </row>
    <row r="223" spans="1:5">
      <c r="A223" s="207" t="s">
        <v>787</v>
      </c>
      <c r="B223" s="207"/>
      <c r="C223" s="207"/>
      <c r="D223" s="190"/>
      <c r="E223" s="190"/>
    </row>
    <row r="224" spans="1:5">
      <c r="A224" s="204"/>
      <c r="B224" s="190"/>
      <c r="C224" s="173" t="s">
        <v>535</v>
      </c>
      <c r="D224" s="190"/>
      <c r="E224" s="190"/>
    </row>
    <row r="225" spans="1:5">
      <c r="A225" s="174" t="s">
        <v>788</v>
      </c>
      <c r="B225" s="190" t="s">
        <v>789</v>
      </c>
      <c r="C225" s="175" t="s">
        <v>538</v>
      </c>
      <c r="D225" s="190" t="s">
        <v>274</v>
      </c>
      <c r="E225" s="190">
        <v>5</v>
      </c>
    </row>
    <row r="226" ht="47.25" spans="1:5">
      <c r="A226" s="174" t="s">
        <v>790</v>
      </c>
      <c r="B226" s="190" t="s">
        <v>791</v>
      </c>
      <c r="C226" s="175" t="s">
        <v>792</v>
      </c>
      <c r="D226" s="190" t="s">
        <v>321</v>
      </c>
      <c r="E226" s="190">
        <v>7</v>
      </c>
    </row>
    <row r="227" ht="31.5" spans="1:5">
      <c r="A227" s="174" t="s">
        <v>793</v>
      </c>
      <c r="B227" s="190" t="s">
        <v>794</v>
      </c>
      <c r="C227" s="175" t="s">
        <v>795</v>
      </c>
      <c r="D227" s="190" t="s">
        <v>321</v>
      </c>
      <c r="E227" s="190">
        <v>2</v>
      </c>
    </row>
    <row r="228" ht="31.5" spans="1:5">
      <c r="A228" s="174" t="s">
        <v>796</v>
      </c>
      <c r="B228" s="190" t="s">
        <v>797</v>
      </c>
      <c r="C228" s="175" t="s">
        <v>798</v>
      </c>
      <c r="D228" s="190" t="s">
        <v>321</v>
      </c>
      <c r="E228" s="190">
        <v>1</v>
      </c>
    </row>
    <row r="229" ht="31.5" spans="1:5">
      <c r="A229" s="174" t="s">
        <v>799</v>
      </c>
      <c r="B229" s="190" t="s">
        <v>800</v>
      </c>
      <c r="C229" s="175" t="s">
        <v>801</v>
      </c>
      <c r="D229" s="190" t="s">
        <v>321</v>
      </c>
      <c r="E229" s="190">
        <v>2</v>
      </c>
    </row>
    <row r="230" ht="31.5" spans="1:5">
      <c r="A230" s="174" t="s">
        <v>802</v>
      </c>
      <c r="B230" s="190" t="s">
        <v>803</v>
      </c>
      <c r="C230" s="175" t="s">
        <v>804</v>
      </c>
      <c r="D230" s="190" t="s">
        <v>321</v>
      </c>
      <c r="E230" s="172">
        <v>4</v>
      </c>
    </row>
    <row r="231" ht="31.5" spans="1:5">
      <c r="A231" s="174" t="s">
        <v>805</v>
      </c>
      <c r="B231" s="190" t="s">
        <v>806</v>
      </c>
      <c r="C231" s="176" t="s">
        <v>807</v>
      </c>
      <c r="D231" s="190" t="s">
        <v>321</v>
      </c>
      <c r="E231" s="172">
        <v>2</v>
      </c>
    </row>
    <row r="232" spans="1:5">
      <c r="A232" s="204"/>
      <c r="B232" s="190"/>
      <c r="C232" s="207" t="s">
        <v>810</v>
      </c>
      <c r="D232" s="190"/>
      <c r="E232" s="190"/>
    </row>
    <row r="233" spans="1:5">
      <c r="A233" s="174" t="s">
        <v>811</v>
      </c>
      <c r="B233" s="175" t="s">
        <v>812</v>
      </c>
      <c r="C233" s="175" t="s">
        <v>813</v>
      </c>
      <c r="D233" s="172" t="s">
        <v>321</v>
      </c>
      <c r="E233" s="172">
        <v>13</v>
      </c>
    </row>
    <row r="234" spans="1:5">
      <c r="A234" s="174" t="s">
        <v>814</v>
      </c>
      <c r="B234" s="175" t="s">
        <v>815</v>
      </c>
      <c r="C234" s="175" t="s">
        <v>816</v>
      </c>
      <c r="D234" s="172" t="s">
        <v>274</v>
      </c>
      <c r="E234" s="172">
        <v>23</v>
      </c>
    </row>
    <row r="235" spans="1:5">
      <c r="A235" s="174" t="s">
        <v>817</v>
      </c>
      <c r="B235" s="175" t="s">
        <v>818</v>
      </c>
      <c r="C235" s="175" t="s">
        <v>819</v>
      </c>
      <c r="D235" s="172" t="s">
        <v>444</v>
      </c>
      <c r="E235" s="172">
        <v>13</v>
      </c>
    </row>
    <row r="236" spans="1:5">
      <c r="A236" s="174" t="s">
        <v>820</v>
      </c>
      <c r="B236" s="175" t="s">
        <v>821</v>
      </c>
      <c r="C236" s="176" t="s">
        <v>822</v>
      </c>
      <c r="D236" s="172" t="s">
        <v>274</v>
      </c>
      <c r="E236" s="172">
        <v>2</v>
      </c>
    </row>
    <row r="237" ht="31.5" spans="1:5">
      <c r="A237" s="174" t="s">
        <v>823</v>
      </c>
      <c r="B237" s="175" t="s">
        <v>824</v>
      </c>
      <c r="C237" s="175" t="s">
        <v>825</v>
      </c>
      <c r="D237" s="172" t="s">
        <v>444</v>
      </c>
      <c r="E237" s="172" t="s">
        <v>826</v>
      </c>
    </row>
    <row r="238" spans="1:5">
      <c r="A238" s="174" t="s">
        <v>827</v>
      </c>
      <c r="B238" s="175" t="s">
        <v>828</v>
      </c>
      <c r="C238" s="175" t="s">
        <v>829</v>
      </c>
      <c r="D238" s="172" t="s">
        <v>444</v>
      </c>
      <c r="E238" s="172" t="s">
        <v>830</v>
      </c>
    </row>
    <row r="239" spans="1:5">
      <c r="A239" s="174" t="s">
        <v>831</v>
      </c>
      <c r="B239" s="175" t="s">
        <v>832</v>
      </c>
      <c r="C239" s="175" t="s">
        <v>833</v>
      </c>
      <c r="D239" s="172" t="s">
        <v>444</v>
      </c>
      <c r="E239" s="172" t="s">
        <v>242</v>
      </c>
    </row>
    <row r="240" ht="31.5" spans="1:5">
      <c r="A240" s="174" t="s">
        <v>834</v>
      </c>
      <c r="B240" s="175" t="s">
        <v>835</v>
      </c>
      <c r="C240" s="176" t="s">
        <v>836</v>
      </c>
      <c r="D240" s="172" t="s">
        <v>444</v>
      </c>
      <c r="E240" s="172" t="s">
        <v>503</v>
      </c>
    </row>
    <row r="241" spans="1:5">
      <c r="A241" s="174" t="s">
        <v>837</v>
      </c>
      <c r="B241" s="175" t="s">
        <v>838</v>
      </c>
      <c r="C241" s="175" t="s">
        <v>839</v>
      </c>
      <c r="D241" s="172" t="s">
        <v>840</v>
      </c>
      <c r="E241" s="172">
        <v>15</v>
      </c>
    </row>
    <row r="242" ht="31.5" spans="1:5">
      <c r="A242" s="174" t="s">
        <v>841</v>
      </c>
      <c r="B242" s="175" t="s">
        <v>842</v>
      </c>
      <c r="C242" s="176" t="s">
        <v>843</v>
      </c>
      <c r="D242" s="172" t="s">
        <v>844</v>
      </c>
      <c r="E242" s="172">
        <v>10</v>
      </c>
    </row>
    <row r="243" ht="31.5" spans="1:5">
      <c r="A243" s="174" t="s">
        <v>845</v>
      </c>
      <c r="B243" s="175" t="s">
        <v>846</v>
      </c>
      <c r="C243" s="176" t="s">
        <v>847</v>
      </c>
      <c r="D243" s="172" t="s">
        <v>844</v>
      </c>
      <c r="E243" s="172">
        <v>418</v>
      </c>
    </row>
    <row r="244" ht="31.5" spans="1:5">
      <c r="A244" s="174" t="s">
        <v>848</v>
      </c>
      <c r="B244" s="175" t="s">
        <v>849</v>
      </c>
      <c r="C244" s="176" t="s">
        <v>850</v>
      </c>
      <c r="D244" s="172" t="s">
        <v>844</v>
      </c>
      <c r="E244" s="172">
        <v>47</v>
      </c>
    </row>
    <row r="245" spans="1:5">
      <c r="A245" s="174" t="s">
        <v>851</v>
      </c>
      <c r="B245" s="175" t="s">
        <v>852</v>
      </c>
      <c r="C245" s="175" t="s">
        <v>853</v>
      </c>
      <c r="D245" s="172" t="s">
        <v>854</v>
      </c>
      <c r="E245" s="172" t="s">
        <v>240</v>
      </c>
    </row>
    <row r="246" s="152" customFormat="1" spans="1:5">
      <c r="A246" s="186"/>
      <c r="B246" s="180"/>
      <c r="C246" s="177"/>
      <c r="D246" s="180"/>
      <c r="E246" s="180"/>
    </row>
    <row r="247" s="152" customFormat="1" spans="1:5">
      <c r="A247" s="186"/>
      <c r="B247" s="180"/>
      <c r="C247" s="177" t="s">
        <v>856</v>
      </c>
      <c r="D247" s="180"/>
      <c r="E247" s="180"/>
    </row>
    <row r="248" s="152" customFormat="1" spans="1:5">
      <c r="A248" s="174" t="s">
        <v>857</v>
      </c>
      <c r="B248" s="175" t="s">
        <v>812</v>
      </c>
      <c r="C248" s="175" t="s">
        <v>813</v>
      </c>
      <c r="D248" s="172" t="s">
        <v>444</v>
      </c>
      <c r="E248" s="172">
        <v>6</v>
      </c>
    </row>
    <row r="249" s="152" customFormat="1" spans="1:5">
      <c r="A249" s="174" t="s">
        <v>858</v>
      </c>
      <c r="B249" s="175" t="s">
        <v>815</v>
      </c>
      <c r="C249" s="175" t="s">
        <v>816</v>
      </c>
      <c r="D249" s="172" t="s">
        <v>274</v>
      </c>
      <c r="E249" s="172">
        <v>0.4</v>
      </c>
    </row>
    <row r="250" s="152" customFormat="1" spans="1:5">
      <c r="A250" s="174" t="s">
        <v>859</v>
      </c>
      <c r="B250" s="175" t="s">
        <v>818</v>
      </c>
      <c r="C250" s="175" t="s">
        <v>819</v>
      </c>
      <c r="D250" s="172" t="s">
        <v>444</v>
      </c>
      <c r="E250" s="172">
        <v>6</v>
      </c>
    </row>
    <row r="251" s="152" customFormat="1" spans="1:5">
      <c r="A251" s="174" t="s">
        <v>860</v>
      </c>
      <c r="B251" s="175" t="s">
        <v>821</v>
      </c>
      <c r="C251" s="176" t="s">
        <v>822</v>
      </c>
      <c r="D251" s="172" t="s">
        <v>274</v>
      </c>
      <c r="E251" s="172">
        <v>1.5</v>
      </c>
    </row>
    <row r="252" s="152" customFormat="1" ht="31.5" spans="1:5">
      <c r="A252" s="174" t="s">
        <v>861</v>
      </c>
      <c r="B252" s="175" t="s">
        <v>862</v>
      </c>
      <c r="C252" s="175" t="s">
        <v>863</v>
      </c>
      <c r="D252" s="172" t="s">
        <v>444</v>
      </c>
      <c r="E252" s="172">
        <v>8</v>
      </c>
    </row>
    <row r="253" s="152" customFormat="1" ht="31.5" spans="1:5">
      <c r="A253" s="174" t="s">
        <v>864</v>
      </c>
      <c r="B253" s="175" t="s">
        <v>865</v>
      </c>
      <c r="C253" s="175" t="s">
        <v>825</v>
      </c>
      <c r="D253" s="172" t="s">
        <v>444</v>
      </c>
      <c r="E253" s="172">
        <v>8</v>
      </c>
    </row>
    <row r="254" s="152" customFormat="1" spans="1:5">
      <c r="A254" s="174" t="s">
        <v>866</v>
      </c>
      <c r="B254" s="175" t="s">
        <v>828</v>
      </c>
      <c r="C254" s="175" t="s">
        <v>829</v>
      </c>
      <c r="D254" s="172" t="s">
        <v>444</v>
      </c>
      <c r="E254" s="172">
        <v>6</v>
      </c>
    </row>
    <row r="255" s="152" customFormat="1" spans="1:5">
      <c r="A255" s="174" t="s">
        <v>867</v>
      </c>
      <c r="B255" s="175" t="s">
        <v>832</v>
      </c>
      <c r="C255" s="175" t="s">
        <v>833</v>
      </c>
      <c r="D255" s="172" t="s">
        <v>444</v>
      </c>
      <c r="E255" s="172">
        <v>2</v>
      </c>
    </row>
    <row r="256" s="152" customFormat="1" ht="31.5" spans="1:5">
      <c r="A256" s="174" t="s">
        <v>868</v>
      </c>
      <c r="B256" s="175" t="s">
        <v>869</v>
      </c>
      <c r="C256" s="176" t="s">
        <v>836</v>
      </c>
      <c r="D256" s="172" t="s">
        <v>444</v>
      </c>
      <c r="E256" s="172">
        <v>10</v>
      </c>
    </row>
    <row r="257" s="152" customFormat="1" spans="1:5">
      <c r="A257" s="174" t="s">
        <v>870</v>
      </c>
      <c r="B257" s="175" t="s">
        <v>838</v>
      </c>
      <c r="C257" s="175" t="s">
        <v>839</v>
      </c>
      <c r="D257" s="172" t="s">
        <v>840</v>
      </c>
      <c r="E257" s="172">
        <v>10</v>
      </c>
    </row>
    <row r="258" s="152" customFormat="1" ht="31.5" spans="1:5">
      <c r="A258" s="174" t="s">
        <v>871</v>
      </c>
      <c r="B258" s="175" t="s">
        <v>842</v>
      </c>
      <c r="C258" s="176" t="s">
        <v>843</v>
      </c>
      <c r="D258" s="172" t="s">
        <v>844</v>
      </c>
      <c r="E258" s="172">
        <v>5</v>
      </c>
    </row>
    <row r="259" s="152" customFormat="1" ht="31.5" spans="1:5">
      <c r="A259" s="174" t="s">
        <v>872</v>
      </c>
      <c r="B259" s="175" t="s">
        <v>846</v>
      </c>
      <c r="C259" s="176" t="s">
        <v>873</v>
      </c>
      <c r="D259" s="172" t="s">
        <v>844</v>
      </c>
      <c r="E259" s="172">
        <v>145</v>
      </c>
    </row>
    <row r="260" s="152" customFormat="1" spans="1:5">
      <c r="A260" s="174" t="s">
        <v>874</v>
      </c>
      <c r="B260" s="175" t="s">
        <v>852</v>
      </c>
      <c r="C260" s="175" t="s">
        <v>853</v>
      </c>
      <c r="D260" s="172" t="s">
        <v>854</v>
      </c>
      <c r="E260" s="172" t="s">
        <v>240</v>
      </c>
    </row>
    <row r="261" spans="1:5">
      <c r="A261" s="186"/>
      <c r="B261" s="180"/>
      <c r="C261" s="181"/>
      <c r="D261" s="180"/>
      <c r="E261" s="183"/>
    </row>
    <row r="262" spans="1:5">
      <c r="A262" s="179" t="s">
        <v>876</v>
      </c>
      <c r="B262" s="179"/>
      <c r="C262" s="179"/>
      <c r="D262" s="180"/>
      <c r="E262" s="183"/>
    </row>
    <row r="263" ht="47.25" spans="1:5">
      <c r="A263" s="174" t="s">
        <v>877</v>
      </c>
      <c r="B263" s="196" t="s">
        <v>878</v>
      </c>
      <c r="C263" s="181" t="s">
        <v>879</v>
      </c>
      <c r="D263" s="180" t="s">
        <v>330</v>
      </c>
      <c r="E263" s="183">
        <f>1.904</f>
        <v>1.904</v>
      </c>
    </row>
    <row r="264" ht="47.25" spans="1:5">
      <c r="A264" s="174" t="s">
        <v>880</v>
      </c>
      <c r="B264" s="196" t="s">
        <v>881</v>
      </c>
      <c r="C264" s="181" t="s">
        <v>882</v>
      </c>
      <c r="D264" s="180" t="s">
        <v>330</v>
      </c>
      <c r="E264" s="183">
        <f>1.904</f>
        <v>1.904</v>
      </c>
    </row>
    <row r="265" ht="47.25" spans="1:5">
      <c r="A265" s="174" t="s">
        <v>883</v>
      </c>
      <c r="B265" s="196" t="s">
        <v>884</v>
      </c>
      <c r="C265" s="181" t="s">
        <v>885</v>
      </c>
      <c r="D265" s="180" t="s">
        <v>330</v>
      </c>
      <c r="E265" s="183">
        <f>1.904</f>
        <v>1.904</v>
      </c>
    </row>
    <row r="266" spans="1:5">
      <c r="A266" s="179" t="s">
        <v>887</v>
      </c>
      <c r="B266" s="179"/>
      <c r="C266" s="179"/>
      <c r="D266" s="180"/>
      <c r="E266" s="183"/>
    </row>
    <row r="267" ht="47.25" spans="1:5">
      <c r="A267" s="174" t="s">
        <v>888</v>
      </c>
      <c r="B267" s="180" t="s">
        <v>889</v>
      </c>
      <c r="C267" s="181" t="s">
        <v>879</v>
      </c>
      <c r="D267" s="180" t="s">
        <v>330</v>
      </c>
      <c r="E267" s="183">
        <f>1.904</f>
        <v>1.904</v>
      </c>
    </row>
    <row r="268" ht="47.25" spans="1:5">
      <c r="A268" s="174" t="s">
        <v>890</v>
      </c>
      <c r="B268" s="180" t="s">
        <v>891</v>
      </c>
      <c r="C268" s="181" t="s">
        <v>882</v>
      </c>
      <c r="D268" s="180" t="s">
        <v>330</v>
      </c>
      <c r="E268" s="183">
        <f>1.904</f>
        <v>1.904</v>
      </c>
    </row>
    <row r="269" ht="47.25" spans="1:5">
      <c r="A269" s="174" t="s">
        <v>892</v>
      </c>
      <c r="B269" s="180" t="s">
        <v>893</v>
      </c>
      <c r="C269" s="181" t="s">
        <v>885</v>
      </c>
      <c r="D269" s="180" t="s">
        <v>330</v>
      </c>
      <c r="E269" s="183">
        <f>1.904</f>
        <v>1.904</v>
      </c>
    </row>
    <row r="270" ht="31.5" spans="1:5">
      <c r="A270" s="174" t="s">
        <v>894</v>
      </c>
      <c r="B270" s="180" t="s">
        <v>895</v>
      </c>
      <c r="C270" s="181" t="s">
        <v>896</v>
      </c>
      <c r="D270" s="180" t="s">
        <v>274</v>
      </c>
      <c r="E270" s="183">
        <v>51.072</v>
      </c>
    </row>
    <row r="271" ht="31.5" spans="1:5">
      <c r="A271" s="174" t="s">
        <v>897</v>
      </c>
      <c r="B271" s="180" t="s">
        <v>898</v>
      </c>
      <c r="C271" s="181" t="s">
        <v>899</v>
      </c>
      <c r="D271" s="180" t="s">
        <v>274</v>
      </c>
      <c r="E271" s="183">
        <v>96</v>
      </c>
    </row>
    <row r="272" ht="31.5" spans="1:5">
      <c r="A272" s="174" t="s">
        <v>900</v>
      </c>
      <c r="B272" s="180" t="s">
        <v>901</v>
      </c>
      <c r="C272" s="181" t="s">
        <v>902</v>
      </c>
      <c r="D272" s="180" t="s">
        <v>903</v>
      </c>
      <c r="E272" s="183">
        <v>36</v>
      </c>
    </row>
    <row r="274" s="154" customFormat="1" spans="1:5">
      <c r="A274" s="208" t="s">
        <v>149</v>
      </c>
      <c r="B274" s="209" t="s">
        <v>920</v>
      </c>
      <c r="C274" s="209"/>
      <c r="D274" s="210" t="s">
        <v>151</v>
      </c>
      <c r="E274" s="210"/>
    </row>
    <row r="275" s="154" customFormat="1" spans="1:5">
      <c r="A275" s="208"/>
      <c r="B275" s="208"/>
      <c r="C275" s="208"/>
      <c r="D275" s="211"/>
      <c r="E275" s="211"/>
    </row>
    <row r="276" s="154" customFormat="1" spans="1:5">
      <c r="A276" s="212"/>
      <c r="B276" s="212"/>
    </row>
    <row r="277" s="154" customFormat="1" spans="1:5">
      <c r="A277" s="212"/>
      <c r="B277" s="212"/>
    </row>
    <row r="278" spans="1:5">
      <c r="A278" s="213"/>
      <c r="B278" s="213"/>
      <c r="C278" s="214"/>
      <c r="D278" s="215"/>
      <c r="E278" s="215"/>
    </row>
    <row r="285" s="152" customFormat="1" spans="1:5">
      <c r="D285" s="155"/>
      <c r="E285" s="155"/>
    </row>
    <row r="286" s="152" customFormat="1" spans="1:5">
      <c r="D286" s="155"/>
      <c r="E286" s="155"/>
    </row>
    <row r="287" s="152" customFormat="1" spans="1:5">
      <c r="D287" s="155"/>
      <c r="E287" s="155"/>
    </row>
    <row r="288" s="152" customFormat="1" spans="1:5">
      <c r="D288" s="155"/>
      <c r="E288" s="155"/>
    </row>
  </sheetData>
  <mergeCells count="35">
    <mergeCell ref="D1:E1"/>
    <mergeCell ref="C2:E2"/>
    <mergeCell ref="C3:E3"/>
    <mergeCell ref="C4:E4"/>
    <mergeCell ref="A6:E6"/>
    <mergeCell ref="A7:E7"/>
    <mergeCell ref="A8:E8"/>
    <mergeCell ref="A12:C12"/>
    <mergeCell ref="A13:C13"/>
    <mergeCell ref="A16:C16"/>
    <mergeCell ref="A19:C19"/>
    <mergeCell ref="A20:C20"/>
    <mergeCell ref="A32:C32"/>
    <mergeCell ref="A37:C37"/>
    <mergeCell ref="A40:C40"/>
    <mergeCell ref="A134:C134"/>
    <mergeCell ref="A135:C135"/>
    <mergeCell ref="A184:C184"/>
    <mergeCell ref="A186:C186"/>
    <mergeCell ref="A188:C188"/>
    <mergeCell ref="A189:C189"/>
    <mergeCell ref="A197:C197"/>
    <mergeCell ref="A206:C206"/>
    <mergeCell ref="A216:C216"/>
    <mergeCell ref="A219:C219"/>
    <mergeCell ref="A223:C223"/>
    <mergeCell ref="A262:C262"/>
    <mergeCell ref="A266:C266"/>
    <mergeCell ref="B274:C274"/>
    <mergeCell ref="D274:E274"/>
    <mergeCell ref="A9:A10"/>
    <mergeCell ref="B9:B10"/>
    <mergeCell ref="C9:C10"/>
    <mergeCell ref="D9:D10"/>
    <mergeCell ref="E9:E10"/>
  </mergeCells>
  <pageMargins left="0.7" right="0.7" top="0.75" bottom="0.75" header="0.3" footer="0.3"/>
  <pageSetup paperSize="9" scale="5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74"/>
  <sheetViews>
    <sheetView zoomScale="86" zoomScaleNormal="86" workbookViewId="0">
      <selection activeCell="H22" sqref="H22"/>
    </sheetView>
  </sheetViews>
  <sheetFormatPr defaultColWidth="9" defaultRowHeight="15"/>
  <cols>
    <col min="1" max="1" width="30.1428571428571" style="4" customWidth="1"/>
    <col min="2" max="2" width="22.7142857142857" style="4" customWidth="1"/>
    <col min="3" max="3" width="20.8571428571429" style="4" customWidth="1"/>
    <col min="4" max="4" width="12.5714285714286" style="4" customWidth="1"/>
    <col min="5" max="5" width="9.28571428571429" style="4" customWidth="1"/>
    <col min="6" max="6" width="10" style="4" customWidth="1"/>
    <col min="7" max="7" width="11" style="4" customWidth="1"/>
    <col min="8" max="11" width="5.42857142857143" style="4" customWidth="1"/>
    <col min="12" max="17" width="11.8571428571429" style="4" customWidth="1"/>
    <col min="18" max="18" width="25.2857142857143" style="4" customWidth="1"/>
    <col min="19" max="229" width="9.14285714285714" style="4"/>
    <col min="230" max="230" width="4.14285714285714" style="4" customWidth="1"/>
    <col min="231" max="231" width="27.8571428571429" style="4" customWidth="1"/>
    <col min="232" max="233" width="19.8571428571429" style="4" customWidth="1"/>
    <col min="234" max="234" width="14.2857142857143" style="4" customWidth="1"/>
    <col min="235" max="235" width="15.7142857142857" style="4" customWidth="1"/>
    <col min="236" max="236" width="14.2857142857143" style="4" customWidth="1"/>
    <col min="237" max="237" width="16.1428571428571" style="4" customWidth="1"/>
    <col min="238" max="238" width="14.2857142857143" style="4" customWidth="1"/>
    <col min="239" max="239" width="16.1428571428571" style="4" customWidth="1"/>
    <col min="240" max="240" width="15.1428571428571" style="4" customWidth="1"/>
    <col min="241" max="241" width="19.1428571428571" style="4" customWidth="1"/>
    <col min="242" max="242" width="15.7142857142857" style="4" customWidth="1"/>
    <col min="243" max="244" width="19.1428571428571" style="4" customWidth="1"/>
    <col min="245" max="245" width="16.8571428571429" style="4" customWidth="1"/>
    <col min="246" max="485" width="9.14285714285714" style="4"/>
    <col min="486" max="486" width="4.14285714285714" style="4" customWidth="1"/>
    <col min="487" max="487" width="27.8571428571429" style="4" customWidth="1"/>
    <col min="488" max="489" width="19.8571428571429" style="4" customWidth="1"/>
    <col min="490" max="490" width="14.2857142857143" style="4" customWidth="1"/>
    <col min="491" max="491" width="15.7142857142857" style="4" customWidth="1"/>
    <col min="492" max="492" width="14.2857142857143" style="4" customWidth="1"/>
    <col min="493" max="493" width="16.1428571428571" style="4" customWidth="1"/>
    <col min="494" max="494" width="14.2857142857143" style="4" customWidth="1"/>
    <col min="495" max="495" width="16.1428571428571" style="4" customWidth="1"/>
    <col min="496" max="496" width="15.1428571428571" style="4" customWidth="1"/>
    <col min="497" max="497" width="19.1428571428571" style="4" customWidth="1"/>
    <col min="498" max="498" width="15.7142857142857" style="4" customWidth="1"/>
    <col min="499" max="500" width="19.1428571428571" style="4" customWidth="1"/>
    <col min="501" max="501" width="16.8571428571429" style="4" customWidth="1"/>
    <col min="502" max="741" width="9.14285714285714" style="4"/>
    <col min="742" max="742" width="4.14285714285714" style="4" customWidth="1"/>
    <col min="743" max="743" width="27.8571428571429" style="4" customWidth="1"/>
    <col min="744" max="745" width="19.8571428571429" style="4" customWidth="1"/>
    <col min="746" max="746" width="14.2857142857143" style="4" customWidth="1"/>
    <col min="747" max="747" width="15.7142857142857" style="4" customWidth="1"/>
    <col min="748" max="748" width="14.2857142857143" style="4" customWidth="1"/>
    <col min="749" max="749" width="16.1428571428571" style="4" customWidth="1"/>
    <col min="750" max="750" width="14.2857142857143" style="4" customWidth="1"/>
    <col min="751" max="751" width="16.1428571428571" style="4" customWidth="1"/>
    <col min="752" max="752" width="15.1428571428571" style="4" customWidth="1"/>
    <col min="753" max="753" width="19.1428571428571" style="4" customWidth="1"/>
    <col min="754" max="754" width="15.7142857142857" style="4" customWidth="1"/>
    <col min="755" max="756" width="19.1428571428571" style="4" customWidth="1"/>
    <col min="757" max="757" width="16.8571428571429" style="4" customWidth="1"/>
    <col min="758" max="997" width="9.14285714285714" style="4"/>
    <col min="998" max="998" width="4.14285714285714" style="4" customWidth="1"/>
    <col min="999" max="999" width="27.8571428571429" style="4" customWidth="1"/>
    <col min="1000" max="1001" width="19.8571428571429" style="4" customWidth="1"/>
    <col min="1002" max="1002" width="14.2857142857143" style="4" customWidth="1"/>
    <col min="1003" max="1003" width="15.7142857142857" style="4" customWidth="1"/>
    <col min="1004" max="1004" width="14.2857142857143" style="4" customWidth="1"/>
    <col min="1005" max="1005" width="16.1428571428571" style="4" customWidth="1"/>
    <col min="1006" max="1006" width="14.2857142857143" style="4" customWidth="1"/>
    <col min="1007" max="1007" width="16.1428571428571" style="4" customWidth="1"/>
    <col min="1008" max="1008" width="15.1428571428571" style="4" customWidth="1"/>
    <col min="1009" max="1009" width="19.1428571428571" style="4" customWidth="1"/>
    <col min="1010" max="1010" width="15.7142857142857" style="4" customWidth="1"/>
    <col min="1011" max="1012" width="19.1428571428571" style="4" customWidth="1"/>
    <col min="1013" max="1013" width="16.8571428571429" style="4" customWidth="1"/>
    <col min="1014" max="1253" width="9.14285714285714" style="4"/>
    <col min="1254" max="1254" width="4.14285714285714" style="4" customWidth="1"/>
    <col min="1255" max="1255" width="27.8571428571429" style="4" customWidth="1"/>
    <col min="1256" max="1257" width="19.8571428571429" style="4" customWidth="1"/>
    <col min="1258" max="1258" width="14.2857142857143" style="4" customWidth="1"/>
    <col min="1259" max="1259" width="15.7142857142857" style="4" customWidth="1"/>
    <col min="1260" max="1260" width="14.2857142857143" style="4" customWidth="1"/>
    <col min="1261" max="1261" width="16.1428571428571" style="4" customWidth="1"/>
    <col min="1262" max="1262" width="14.2857142857143" style="4" customWidth="1"/>
    <col min="1263" max="1263" width="16.1428571428571" style="4" customWidth="1"/>
    <col min="1264" max="1264" width="15.1428571428571" style="4" customWidth="1"/>
    <col min="1265" max="1265" width="19.1428571428571" style="4" customWidth="1"/>
    <col min="1266" max="1266" width="15.7142857142857" style="4" customWidth="1"/>
    <col min="1267" max="1268" width="19.1428571428571" style="4" customWidth="1"/>
    <col min="1269" max="1269" width="16.8571428571429" style="4" customWidth="1"/>
    <col min="1270" max="1509" width="9.14285714285714" style="4"/>
    <col min="1510" max="1510" width="4.14285714285714" style="4" customWidth="1"/>
    <col min="1511" max="1511" width="27.8571428571429" style="4" customWidth="1"/>
    <col min="1512" max="1513" width="19.8571428571429" style="4" customWidth="1"/>
    <col min="1514" max="1514" width="14.2857142857143" style="4" customWidth="1"/>
    <col min="1515" max="1515" width="15.7142857142857" style="4" customWidth="1"/>
    <col min="1516" max="1516" width="14.2857142857143" style="4" customWidth="1"/>
    <col min="1517" max="1517" width="16.1428571428571" style="4" customWidth="1"/>
    <col min="1518" max="1518" width="14.2857142857143" style="4" customWidth="1"/>
    <col min="1519" max="1519" width="16.1428571428571" style="4" customWidth="1"/>
    <col min="1520" max="1520" width="15.1428571428571" style="4" customWidth="1"/>
    <col min="1521" max="1521" width="19.1428571428571" style="4" customWidth="1"/>
    <col min="1522" max="1522" width="15.7142857142857" style="4" customWidth="1"/>
    <col min="1523" max="1524" width="19.1428571428571" style="4" customWidth="1"/>
    <col min="1525" max="1525" width="16.8571428571429" style="4" customWidth="1"/>
    <col min="1526" max="1765" width="9.14285714285714" style="4"/>
    <col min="1766" max="1766" width="4.14285714285714" style="4" customWidth="1"/>
    <col min="1767" max="1767" width="27.8571428571429" style="4" customWidth="1"/>
    <col min="1768" max="1769" width="19.8571428571429" style="4" customWidth="1"/>
    <col min="1770" max="1770" width="14.2857142857143" style="4" customWidth="1"/>
    <col min="1771" max="1771" width="15.7142857142857" style="4" customWidth="1"/>
    <col min="1772" max="1772" width="14.2857142857143" style="4" customWidth="1"/>
    <col min="1773" max="1773" width="16.1428571428571" style="4" customWidth="1"/>
    <col min="1774" max="1774" width="14.2857142857143" style="4" customWidth="1"/>
    <col min="1775" max="1775" width="16.1428571428571" style="4" customWidth="1"/>
    <col min="1776" max="1776" width="15.1428571428571" style="4" customWidth="1"/>
    <col min="1777" max="1777" width="19.1428571428571" style="4" customWidth="1"/>
    <col min="1778" max="1778" width="15.7142857142857" style="4" customWidth="1"/>
    <col min="1779" max="1780" width="19.1428571428571" style="4" customWidth="1"/>
    <col min="1781" max="1781" width="16.8571428571429" style="4" customWidth="1"/>
    <col min="1782" max="2021" width="9.14285714285714" style="4"/>
    <col min="2022" max="2022" width="4.14285714285714" style="4" customWidth="1"/>
    <col min="2023" max="2023" width="27.8571428571429" style="4" customWidth="1"/>
    <col min="2024" max="2025" width="19.8571428571429" style="4" customWidth="1"/>
    <col min="2026" max="2026" width="14.2857142857143" style="4" customWidth="1"/>
    <col min="2027" max="2027" width="15.7142857142857" style="4" customWidth="1"/>
    <col min="2028" max="2028" width="14.2857142857143" style="4" customWidth="1"/>
    <col min="2029" max="2029" width="16.1428571428571" style="4" customWidth="1"/>
    <col min="2030" max="2030" width="14.2857142857143" style="4" customWidth="1"/>
    <col min="2031" max="2031" width="16.1428571428571" style="4" customWidth="1"/>
    <col min="2032" max="2032" width="15.1428571428571" style="4" customWidth="1"/>
    <col min="2033" max="2033" width="19.1428571428571" style="4" customWidth="1"/>
    <col min="2034" max="2034" width="15.7142857142857" style="4" customWidth="1"/>
    <col min="2035" max="2036" width="19.1428571428571" style="4" customWidth="1"/>
    <col min="2037" max="2037" width="16.8571428571429" style="4" customWidth="1"/>
    <col min="2038" max="2277" width="9.14285714285714" style="4"/>
    <col min="2278" max="2278" width="4.14285714285714" style="4" customWidth="1"/>
    <col min="2279" max="2279" width="27.8571428571429" style="4" customWidth="1"/>
    <col min="2280" max="2281" width="19.8571428571429" style="4" customWidth="1"/>
    <col min="2282" max="2282" width="14.2857142857143" style="4" customWidth="1"/>
    <col min="2283" max="2283" width="15.7142857142857" style="4" customWidth="1"/>
    <col min="2284" max="2284" width="14.2857142857143" style="4" customWidth="1"/>
    <col min="2285" max="2285" width="16.1428571428571" style="4" customWidth="1"/>
    <col min="2286" max="2286" width="14.2857142857143" style="4" customWidth="1"/>
    <col min="2287" max="2287" width="16.1428571428571" style="4" customWidth="1"/>
    <col min="2288" max="2288" width="15.1428571428571" style="4" customWidth="1"/>
    <col min="2289" max="2289" width="19.1428571428571" style="4" customWidth="1"/>
    <col min="2290" max="2290" width="15.7142857142857" style="4" customWidth="1"/>
    <col min="2291" max="2292" width="19.1428571428571" style="4" customWidth="1"/>
    <col min="2293" max="2293" width="16.8571428571429" style="4" customWidth="1"/>
    <col min="2294" max="2533" width="9.14285714285714" style="4"/>
    <col min="2534" max="2534" width="4.14285714285714" style="4" customWidth="1"/>
    <col min="2535" max="2535" width="27.8571428571429" style="4" customWidth="1"/>
    <col min="2536" max="2537" width="19.8571428571429" style="4" customWidth="1"/>
    <col min="2538" max="2538" width="14.2857142857143" style="4" customWidth="1"/>
    <col min="2539" max="2539" width="15.7142857142857" style="4" customWidth="1"/>
    <col min="2540" max="2540" width="14.2857142857143" style="4" customWidth="1"/>
    <col min="2541" max="2541" width="16.1428571428571" style="4" customWidth="1"/>
    <col min="2542" max="2542" width="14.2857142857143" style="4" customWidth="1"/>
    <col min="2543" max="2543" width="16.1428571428571" style="4" customWidth="1"/>
    <col min="2544" max="2544" width="15.1428571428571" style="4" customWidth="1"/>
    <col min="2545" max="2545" width="19.1428571428571" style="4" customWidth="1"/>
    <col min="2546" max="2546" width="15.7142857142857" style="4" customWidth="1"/>
    <col min="2547" max="2548" width="19.1428571428571" style="4" customWidth="1"/>
    <col min="2549" max="2549" width="16.8571428571429" style="4" customWidth="1"/>
    <col min="2550" max="2789" width="9.14285714285714" style="4"/>
    <col min="2790" max="2790" width="4.14285714285714" style="4" customWidth="1"/>
    <col min="2791" max="2791" width="27.8571428571429" style="4" customWidth="1"/>
    <col min="2792" max="2793" width="19.8571428571429" style="4" customWidth="1"/>
    <col min="2794" max="2794" width="14.2857142857143" style="4" customWidth="1"/>
    <col min="2795" max="2795" width="15.7142857142857" style="4" customWidth="1"/>
    <col min="2796" max="2796" width="14.2857142857143" style="4" customWidth="1"/>
    <col min="2797" max="2797" width="16.1428571428571" style="4" customWidth="1"/>
    <col min="2798" max="2798" width="14.2857142857143" style="4" customWidth="1"/>
    <col min="2799" max="2799" width="16.1428571428571" style="4" customWidth="1"/>
    <col min="2800" max="2800" width="15.1428571428571" style="4" customWidth="1"/>
    <col min="2801" max="2801" width="19.1428571428571" style="4" customWidth="1"/>
    <col min="2802" max="2802" width="15.7142857142857" style="4" customWidth="1"/>
    <col min="2803" max="2804" width="19.1428571428571" style="4" customWidth="1"/>
    <col min="2805" max="2805" width="16.8571428571429" style="4" customWidth="1"/>
    <col min="2806" max="3045" width="9.14285714285714" style="4"/>
    <col min="3046" max="3046" width="4.14285714285714" style="4" customWidth="1"/>
    <col min="3047" max="3047" width="27.8571428571429" style="4" customWidth="1"/>
    <col min="3048" max="3049" width="19.8571428571429" style="4" customWidth="1"/>
    <col min="3050" max="3050" width="14.2857142857143" style="4" customWidth="1"/>
    <col min="3051" max="3051" width="15.7142857142857" style="4" customWidth="1"/>
    <col min="3052" max="3052" width="14.2857142857143" style="4" customWidth="1"/>
    <col min="3053" max="3053" width="16.1428571428571" style="4" customWidth="1"/>
    <col min="3054" max="3054" width="14.2857142857143" style="4" customWidth="1"/>
    <col min="3055" max="3055" width="16.1428571428571" style="4" customWidth="1"/>
    <col min="3056" max="3056" width="15.1428571428571" style="4" customWidth="1"/>
    <col min="3057" max="3057" width="19.1428571428571" style="4" customWidth="1"/>
    <col min="3058" max="3058" width="15.7142857142857" style="4" customWidth="1"/>
    <col min="3059" max="3060" width="19.1428571428571" style="4" customWidth="1"/>
    <col min="3061" max="3061" width="16.8571428571429" style="4" customWidth="1"/>
    <col min="3062" max="3301" width="9.14285714285714" style="4"/>
    <col min="3302" max="3302" width="4.14285714285714" style="4" customWidth="1"/>
    <col min="3303" max="3303" width="27.8571428571429" style="4" customWidth="1"/>
    <col min="3304" max="3305" width="19.8571428571429" style="4" customWidth="1"/>
    <col min="3306" max="3306" width="14.2857142857143" style="4" customWidth="1"/>
    <col min="3307" max="3307" width="15.7142857142857" style="4" customWidth="1"/>
    <col min="3308" max="3308" width="14.2857142857143" style="4" customWidth="1"/>
    <col min="3309" max="3309" width="16.1428571428571" style="4" customWidth="1"/>
    <col min="3310" max="3310" width="14.2857142857143" style="4" customWidth="1"/>
    <col min="3311" max="3311" width="16.1428571428571" style="4" customWidth="1"/>
    <col min="3312" max="3312" width="15.1428571428571" style="4" customWidth="1"/>
    <col min="3313" max="3313" width="19.1428571428571" style="4" customWidth="1"/>
    <col min="3314" max="3314" width="15.7142857142857" style="4" customWidth="1"/>
    <col min="3315" max="3316" width="19.1428571428571" style="4" customWidth="1"/>
    <col min="3317" max="3317" width="16.8571428571429" style="4" customWidth="1"/>
    <col min="3318" max="3557" width="9.14285714285714" style="4"/>
    <col min="3558" max="3558" width="4.14285714285714" style="4" customWidth="1"/>
    <col min="3559" max="3559" width="27.8571428571429" style="4" customWidth="1"/>
    <col min="3560" max="3561" width="19.8571428571429" style="4" customWidth="1"/>
    <col min="3562" max="3562" width="14.2857142857143" style="4" customWidth="1"/>
    <col min="3563" max="3563" width="15.7142857142857" style="4" customWidth="1"/>
    <col min="3564" max="3564" width="14.2857142857143" style="4" customWidth="1"/>
    <col min="3565" max="3565" width="16.1428571428571" style="4" customWidth="1"/>
    <col min="3566" max="3566" width="14.2857142857143" style="4" customWidth="1"/>
    <col min="3567" max="3567" width="16.1428571428571" style="4" customWidth="1"/>
    <col min="3568" max="3568" width="15.1428571428571" style="4" customWidth="1"/>
    <col min="3569" max="3569" width="19.1428571428571" style="4" customWidth="1"/>
    <col min="3570" max="3570" width="15.7142857142857" style="4" customWidth="1"/>
    <col min="3571" max="3572" width="19.1428571428571" style="4" customWidth="1"/>
    <col min="3573" max="3573" width="16.8571428571429" style="4" customWidth="1"/>
    <col min="3574" max="3813" width="9.14285714285714" style="4"/>
    <col min="3814" max="3814" width="4.14285714285714" style="4" customWidth="1"/>
    <col min="3815" max="3815" width="27.8571428571429" style="4" customWidth="1"/>
    <col min="3816" max="3817" width="19.8571428571429" style="4" customWidth="1"/>
    <col min="3818" max="3818" width="14.2857142857143" style="4" customWidth="1"/>
    <col min="3819" max="3819" width="15.7142857142857" style="4" customWidth="1"/>
    <col min="3820" max="3820" width="14.2857142857143" style="4" customWidth="1"/>
    <col min="3821" max="3821" width="16.1428571428571" style="4" customWidth="1"/>
    <col min="3822" max="3822" width="14.2857142857143" style="4" customWidth="1"/>
    <col min="3823" max="3823" width="16.1428571428571" style="4" customWidth="1"/>
    <col min="3824" max="3824" width="15.1428571428571" style="4" customWidth="1"/>
    <col min="3825" max="3825" width="19.1428571428571" style="4" customWidth="1"/>
    <col min="3826" max="3826" width="15.7142857142857" style="4" customWidth="1"/>
    <col min="3827" max="3828" width="19.1428571428571" style="4" customWidth="1"/>
    <col min="3829" max="3829" width="16.8571428571429" style="4" customWidth="1"/>
    <col min="3830" max="4069" width="9.14285714285714" style="4"/>
    <col min="4070" max="4070" width="4.14285714285714" style="4" customWidth="1"/>
    <col min="4071" max="4071" width="27.8571428571429" style="4" customWidth="1"/>
    <col min="4072" max="4073" width="19.8571428571429" style="4" customWidth="1"/>
    <col min="4074" max="4074" width="14.2857142857143" style="4" customWidth="1"/>
    <col min="4075" max="4075" width="15.7142857142857" style="4" customWidth="1"/>
    <col min="4076" max="4076" width="14.2857142857143" style="4" customWidth="1"/>
    <col min="4077" max="4077" width="16.1428571428571" style="4" customWidth="1"/>
    <col min="4078" max="4078" width="14.2857142857143" style="4" customWidth="1"/>
    <col min="4079" max="4079" width="16.1428571428571" style="4" customWidth="1"/>
    <col min="4080" max="4080" width="15.1428571428571" style="4" customWidth="1"/>
    <col min="4081" max="4081" width="19.1428571428571" style="4" customWidth="1"/>
    <col min="4082" max="4082" width="15.7142857142857" style="4" customWidth="1"/>
    <col min="4083" max="4084" width="19.1428571428571" style="4" customWidth="1"/>
    <col min="4085" max="4085" width="16.8571428571429" style="4" customWidth="1"/>
    <col min="4086" max="4325" width="9.14285714285714" style="4"/>
    <col min="4326" max="4326" width="4.14285714285714" style="4" customWidth="1"/>
    <col min="4327" max="4327" width="27.8571428571429" style="4" customWidth="1"/>
    <col min="4328" max="4329" width="19.8571428571429" style="4" customWidth="1"/>
    <col min="4330" max="4330" width="14.2857142857143" style="4" customWidth="1"/>
    <col min="4331" max="4331" width="15.7142857142857" style="4" customWidth="1"/>
    <col min="4332" max="4332" width="14.2857142857143" style="4" customWidth="1"/>
    <col min="4333" max="4333" width="16.1428571428571" style="4" customWidth="1"/>
    <col min="4334" max="4334" width="14.2857142857143" style="4" customWidth="1"/>
    <col min="4335" max="4335" width="16.1428571428571" style="4" customWidth="1"/>
    <col min="4336" max="4336" width="15.1428571428571" style="4" customWidth="1"/>
    <col min="4337" max="4337" width="19.1428571428571" style="4" customWidth="1"/>
    <col min="4338" max="4338" width="15.7142857142857" style="4" customWidth="1"/>
    <col min="4339" max="4340" width="19.1428571428571" style="4" customWidth="1"/>
    <col min="4341" max="4341" width="16.8571428571429" style="4" customWidth="1"/>
    <col min="4342" max="4581" width="9.14285714285714" style="4"/>
    <col min="4582" max="4582" width="4.14285714285714" style="4" customWidth="1"/>
    <col min="4583" max="4583" width="27.8571428571429" style="4" customWidth="1"/>
    <col min="4584" max="4585" width="19.8571428571429" style="4" customWidth="1"/>
    <col min="4586" max="4586" width="14.2857142857143" style="4" customWidth="1"/>
    <col min="4587" max="4587" width="15.7142857142857" style="4" customWidth="1"/>
    <col min="4588" max="4588" width="14.2857142857143" style="4" customWidth="1"/>
    <col min="4589" max="4589" width="16.1428571428571" style="4" customWidth="1"/>
    <col min="4590" max="4590" width="14.2857142857143" style="4" customWidth="1"/>
    <col min="4591" max="4591" width="16.1428571428571" style="4" customWidth="1"/>
    <col min="4592" max="4592" width="15.1428571428571" style="4" customWidth="1"/>
    <col min="4593" max="4593" width="19.1428571428571" style="4" customWidth="1"/>
    <col min="4594" max="4594" width="15.7142857142857" style="4" customWidth="1"/>
    <col min="4595" max="4596" width="19.1428571428571" style="4" customWidth="1"/>
    <col min="4597" max="4597" width="16.8571428571429" style="4" customWidth="1"/>
    <col min="4598" max="4837" width="9.14285714285714" style="4"/>
    <col min="4838" max="4838" width="4.14285714285714" style="4" customWidth="1"/>
    <col min="4839" max="4839" width="27.8571428571429" style="4" customWidth="1"/>
    <col min="4840" max="4841" width="19.8571428571429" style="4" customWidth="1"/>
    <col min="4842" max="4842" width="14.2857142857143" style="4" customWidth="1"/>
    <col min="4843" max="4843" width="15.7142857142857" style="4" customWidth="1"/>
    <col min="4844" max="4844" width="14.2857142857143" style="4" customWidth="1"/>
    <col min="4845" max="4845" width="16.1428571428571" style="4" customWidth="1"/>
    <col min="4846" max="4846" width="14.2857142857143" style="4" customWidth="1"/>
    <col min="4847" max="4847" width="16.1428571428571" style="4" customWidth="1"/>
    <col min="4848" max="4848" width="15.1428571428571" style="4" customWidth="1"/>
    <col min="4849" max="4849" width="19.1428571428571" style="4" customWidth="1"/>
    <col min="4850" max="4850" width="15.7142857142857" style="4" customWidth="1"/>
    <col min="4851" max="4852" width="19.1428571428571" style="4" customWidth="1"/>
    <col min="4853" max="4853" width="16.8571428571429" style="4" customWidth="1"/>
    <col min="4854" max="5093" width="9.14285714285714" style="4"/>
    <col min="5094" max="5094" width="4.14285714285714" style="4" customWidth="1"/>
    <col min="5095" max="5095" width="27.8571428571429" style="4" customWidth="1"/>
    <col min="5096" max="5097" width="19.8571428571429" style="4" customWidth="1"/>
    <col min="5098" max="5098" width="14.2857142857143" style="4" customWidth="1"/>
    <col min="5099" max="5099" width="15.7142857142857" style="4" customWidth="1"/>
    <col min="5100" max="5100" width="14.2857142857143" style="4" customWidth="1"/>
    <col min="5101" max="5101" width="16.1428571428571" style="4" customWidth="1"/>
    <col min="5102" max="5102" width="14.2857142857143" style="4" customWidth="1"/>
    <col min="5103" max="5103" width="16.1428571428571" style="4" customWidth="1"/>
    <col min="5104" max="5104" width="15.1428571428571" style="4" customWidth="1"/>
    <col min="5105" max="5105" width="19.1428571428571" style="4" customWidth="1"/>
    <col min="5106" max="5106" width="15.7142857142857" style="4" customWidth="1"/>
    <col min="5107" max="5108" width="19.1428571428571" style="4" customWidth="1"/>
    <col min="5109" max="5109" width="16.8571428571429" style="4" customWidth="1"/>
    <col min="5110" max="5349" width="9.14285714285714" style="4"/>
    <col min="5350" max="5350" width="4.14285714285714" style="4" customWidth="1"/>
    <col min="5351" max="5351" width="27.8571428571429" style="4" customWidth="1"/>
    <col min="5352" max="5353" width="19.8571428571429" style="4" customWidth="1"/>
    <col min="5354" max="5354" width="14.2857142857143" style="4" customWidth="1"/>
    <col min="5355" max="5355" width="15.7142857142857" style="4" customWidth="1"/>
    <col min="5356" max="5356" width="14.2857142857143" style="4" customWidth="1"/>
    <col min="5357" max="5357" width="16.1428571428571" style="4" customWidth="1"/>
    <col min="5358" max="5358" width="14.2857142857143" style="4" customWidth="1"/>
    <col min="5359" max="5359" width="16.1428571428571" style="4" customWidth="1"/>
    <col min="5360" max="5360" width="15.1428571428571" style="4" customWidth="1"/>
    <col min="5361" max="5361" width="19.1428571428571" style="4" customWidth="1"/>
    <col min="5362" max="5362" width="15.7142857142857" style="4" customWidth="1"/>
    <col min="5363" max="5364" width="19.1428571428571" style="4" customWidth="1"/>
    <col min="5365" max="5365" width="16.8571428571429" style="4" customWidth="1"/>
    <col min="5366" max="5605" width="9.14285714285714" style="4"/>
    <col min="5606" max="5606" width="4.14285714285714" style="4" customWidth="1"/>
    <col min="5607" max="5607" width="27.8571428571429" style="4" customWidth="1"/>
    <col min="5608" max="5609" width="19.8571428571429" style="4" customWidth="1"/>
    <col min="5610" max="5610" width="14.2857142857143" style="4" customWidth="1"/>
    <col min="5611" max="5611" width="15.7142857142857" style="4" customWidth="1"/>
    <col min="5612" max="5612" width="14.2857142857143" style="4" customWidth="1"/>
    <col min="5613" max="5613" width="16.1428571428571" style="4" customWidth="1"/>
    <col min="5614" max="5614" width="14.2857142857143" style="4" customWidth="1"/>
    <col min="5615" max="5615" width="16.1428571428571" style="4" customWidth="1"/>
    <col min="5616" max="5616" width="15.1428571428571" style="4" customWidth="1"/>
    <col min="5617" max="5617" width="19.1428571428571" style="4" customWidth="1"/>
    <col min="5618" max="5618" width="15.7142857142857" style="4" customWidth="1"/>
    <col min="5619" max="5620" width="19.1428571428571" style="4" customWidth="1"/>
    <col min="5621" max="5621" width="16.8571428571429" style="4" customWidth="1"/>
    <col min="5622" max="5861" width="9.14285714285714" style="4"/>
    <col min="5862" max="5862" width="4.14285714285714" style="4" customWidth="1"/>
    <col min="5863" max="5863" width="27.8571428571429" style="4" customWidth="1"/>
    <col min="5864" max="5865" width="19.8571428571429" style="4" customWidth="1"/>
    <col min="5866" max="5866" width="14.2857142857143" style="4" customWidth="1"/>
    <col min="5867" max="5867" width="15.7142857142857" style="4" customWidth="1"/>
    <col min="5868" max="5868" width="14.2857142857143" style="4" customWidth="1"/>
    <col min="5869" max="5869" width="16.1428571428571" style="4" customWidth="1"/>
    <col min="5870" max="5870" width="14.2857142857143" style="4" customWidth="1"/>
    <col min="5871" max="5871" width="16.1428571428571" style="4" customWidth="1"/>
    <col min="5872" max="5872" width="15.1428571428571" style="4" customWidth="1"/>
    <col min="5873" max="5873" width="19.1428571428571" style="4" customWidth="1"/>
    <col min="5874" max="5874" width="15.7142857142857" style="4" customWidth="1"/>
    <col min="5875" max="5876" width="19.1428571428571" style="4" customWidth="1"/>
    <col min="5877" max="5877" width="16.8571428571429" style="4" customWidth="1"/>
    <col min="5878" max="6117" width="9.14285714285714" style="4"/>
    <col min="6118" max="6118" width="4.14285714285714" style="4" customWidth="1"/>
    <col min="6119" max="6119" width="27.8571428571429" style="4" customWidth="1"/>
    <col min="6120" max="6121" width="19.8571428571429" style="4" customWidth="1"/>
    <col min="6122" max="6122" width="14.2857142857143" style="4" customWidth="1"/>
    <col min="6123" max="6123" width="15.7142857142857" style="4" customWidth="1"/>
    <col min="6124" max="6124" width="14.2857142857143" style="4" customWidth="1"/>
    <col min="6125" max="6125" width="16.1428571428571" style="4" customWidth="1"/>
    <col min="6126" max="6126" width="14.2857142857143" style="4" customWidth="1"/>
    <col min="6127" max="6127" width="16.1428571428571" style="4" customWidth="1"/>
    <col min="6128" max="6128" width="15.1428571428571" style="4" customWidth="1"/>
    <col min="6129" max="6129" width="19.1428571428571" style="4" customWidth="1"/>
    <col min="6130" max="6130" width="15.7142857142857" style="4" customWidth="1"/>
    <col min="6131" max="6132" width="19.1428571428571" style="4" customWidth="1"/>
    <col min="6133" max="6133" width="16.8571428571429" style="4" customWidth="1"/>
    <col min="6134" max="6373" width="9.14285714285714" style="4"/>
    <col min="6374" max="6374" width="4.14285714285714" style="4" customWidth="1"/>
    <col min="6375" max="6375" width="27.8571428571429" style="4" customWidth="1"/>
    <col min="6376" max="6377" width="19.8571428571429" style="4" customWidth="1"/>
    <col min="6378" max="6378" width="14.2857142857143" style="4" customWidth="1"/>
    <col min="6379" max="6379" width="15.7142857142857" style="4" customWidth="1"/>
    <col min="6380" max="6380" width="14.2857142857143" style="4" customWidth="1"/>
    <col min="6381" max="6381" width="16.1428571428571" style="4" customWidth="1"/>
    <col min="6382" max="6382" width="14.2857142857143" style="4" customWidth="1"/>
    <col min="6383" max="6383" width="16.1428571428571" style="4" customWidth="1"/>
    <col min="6384" max="6384" width="15.1428571428571" style="4" customWidth="1"/>
    <col min="6385" max="6385" width="19.1428571428571" style="4" customWidth="1"/>
    <col min="6386" max="6386" width="15.7142857142857" style="4" customWidth="1"/>
    <col min="6387" max="6388" width="19.1428571428571" style="4" customWidth="1"/>
    <col min="6389" max="6389" width="16.8571428571429" style="4" customWidth="1"/>
    <col min="6390" max="6629" width="9.14285714285714" style="4"/>
    <col min="6630" max="6630" width="4.14285714285714" style="4" customWidth="1"/>
    <col min="6631" max="6631" width="27.8571428571429" style="4" customWidth="1"/>
    <col min="6632" max="6633" width="19.8571428571429" style="4" customWidth="1"/>
    <col min="6634" max="6634" width="14.2857142857143" style="4" customWidth="1"/>
    <col min="6635" max="6635" width="15.7142857142857" style="4" customWidth="1"/>
    <col min="6636" max="6636" width="14.2857142857143" style="4" customWidth="1"/>
    <col min="6637" max="6637" width="16.1428571428571" style="4" customWidth="1"/>
    <col min="6638" max="6638" width="14.2857142857143" style="4" customWidth="1"/>
    <col min="6639" max="6639" width="16.1428571428571" style="4" customWidth="1"/>
    <col min="6640" max="6640" width="15.1428571428571" style="4" customWidth="1"/>
    <col min="6641" max="6641" width="19.1428571428571" style="4" customWidth="1"/>
    <col min="6642" max="6642" width="15.7142857142857" style="4" customWidth="1"/>
    <col min="6643" max="6644" width="19.1428571428571" style="4" customWidth="1"/>
    <col min="6645" max="6645" width="16.8571428571429" style="4" customWidth="1"/>
    <col min="6646" max="6885" width="9.14285714285714" style="4"/>
    <col min="6886" max="6886" width="4.14285714285714" style="4" customWidth="1"/>
    <col min="6887" max="6887" width="27.8571428571429" style="4" customWidth="1"/>
    <col min="6888" max="6889" width="19.8571428571429" style="4" customWidth="1"/>
    <col min="6890" max="6890" width="14.2857142857143" style="4" customWidth="1"/>
    <col min="6891" max="6891" width="15.7142857142857" style="4" customWidth="1"/>
    <col min="6892" max="6892" width="14.2857142857143" style="4" customWidth="1"/>
    <col min="6893" max="6893" width="16.1428571428571" style="4" customWidth="1"/>
    <col min="6894" max="6894" width="14.2857142857143" style="4" customWidth="1"/>
    <col min="6895" max="6895" width="16.1428571428571" style="4" customWidth="1"/>
    <col min="6896" max="6896" width="15.1428571428571" style="4" customWidth="1"/>
    <col min="6897" max="6897" width="19.1428571428571" style="4" customWidth="1"/>
    <col min="6898" max="6898" width="15.7142857142857" style="4" customWidth="1"/>
    <col min="6899" max="6900" width="19.1428571428571" style="4" customWidth="1"/>
    <col min="6901" max="6901" width="16.8571428571429" style="4" customWidth="1"/>
    <col min="6902" max="7141" width="9.14285714285714" style="4"/>
    <col min="7142" max="7142" width="4.14285714285714" style="4" customWidth="1"/>
    <col min="7143" max="7143" width="27.8571428571429" style="4" customWidth="1"/>
    <col min="7144" max="7145" width="19.8571428571429" style="4" customWidth="1"/>
    <col min="7146" max="7146" width="14.2857142857143" style="4" customWidth="1"/>
    <col min="7147" max="7147" width="15.7142857142857" style="4" customWidth="1"/>
    <col min="7148" max="7148" width="14.2857142857143" style="4" customWidth="1"/>
    <col min="7149" max="7149" width="16.1428571428571" style="4" customWidth="1"/>
    <col min="7150" max="7150" width="14.2857142857143" style="4" customWidth="1"/>
    <col min="7151" max="7151" width="16.1428571428571" style="4" customWidth="1"/>
    <col min="7152" max="7152" width="15.1428571428571" style="4" customWidth="1"/>
    <col min="7153" max="7153" width="19.1428571428571" style="4" customWidth="1"/>
    <col min="7154" max="7154" width="15.7142857142857" style="4" customWidth="1"/>
    <col min="7155" max="7156" width="19.1428571428571" style="4" customWidth="1"/>
    <col min="7157" max="7157" width="16.8571428571429" style="4" customWidth="1"/>
    <col min="7158" max="7397" width="9.14285714285714" style="4"/>
    <col min="7398" max="7398" width="4.14285714285714" style="4" customWidth="1"/>
    <col min="7399" max="7399" width="27.8571428571429" style="4" customWidth="1"/>
    <col min="7400" max="7401" width="19.8571428571429" style="4" customWidth="1"/>
    <col min="7402" max="7402" width="14.2857142857143" style="4" customWidth="1"/>
    <col min="7403" max="7403" width="15.7142857142857" style="4" customWidth="1"/>
    <col min="7404" max="7404" width="14.2857142857143" style="4" customWidth="1"/>
    <col min="7405" max="7405" width="16.1428571428571" style="4" customWidth="1"/>
    <col min="7406" max="7406" width="14.2857142857143" style="4" customWidth="1"/>
    <col min="7407" max="7407" width="16.1428571428571" style="4" customWidth="1"/>
    <col min="7408" max="7408" width="15.1428571428571" style="4" customWidth="1"/>
    <col min="7409" max="7409" width="19.1428571428571" style="4" customWidth="1"/>
    <col min="7410" max="7410" width="15.7142857142857" style="4" customWidth="1"/>
    <col min="7411" max="7412" width="19.1428571428571" style="4" customWidth="1"/>
    <col min="7413" max="7413" width="16.8571428571429" style="4" customWidth="1"/>
    <col min="7414" max="7653" width="9.14285714285714" style="4"/>
    <col min="7654" max="7654" width="4.14285714285714" style="4" customWidth="1"/>
    <col min="7655" max="7655" width="27.8571428571429" style="4" customWidth="1"/>
    <col min="7656" max="7657" width="19.8571428571429" style="4" customWidth="1"/>
    <col min="7658" max="7658" width="14.2857142857143" style="4" customWidth="1"/>
    <col min="7659" max="7659" width="15.7142857142857" style="4" customWidth="1"/>
    <col min="7660" max="7660" width="14.2857142857143" style="4" customWidth="1"/>
    <col min="7661" max="7661" width="16.1428571428571" style="4" customWidth="1"/>
    <col min="7662" max="7662" width="14.2857142857143" style="4" customWidth="1"/>
    <col min="7663" max="7663" width="16.1428571428571" style="4" customWidth="1"/>
    <col min="7664" max="7664" width="15.1428571428571" style="4" customWidth="1"/>
    <col min="7665" max="7665" width="19.1428571428571" style="4" customWidth="1"/>
    <col min="7666" max="7666" width="15.7142857142857" style="4" customWidth="1"/>
    <col min="7667" max="7668" width="19.1428571428571" style="4" customWidth="1"/>
    <col min="7669" max="7669" width="16.8571428571429" style="4" customWidth="1"/>
    <col min="7670" max="7909" width="9.14285714285714" style="4"/>
    <col min="7910" max="7910" width="4.14285714285714" style="4" customWidth="1"/>
    <col min="7911" max="7911" width="27.8571428571429" style="4" customWidth="1"/>
    <col min="7912" max="7913" width="19.8571428571429" style="4" customWidth="1"/>
    <col min="7914" max="7914" width="14.2857142857143" style="4" customWidth="1"/>
    <col min="7915" max="7915" width="15.7142857142857" style="4" customWidth="1"/>
    <col min="7916" max="7916" width="14.2857142857143" style="4" customWidth="1"/>
    <col min="7917" max="7917" width="16.1428571428571" style="4" customWidth="1"/>
    <col min="7918" max="7918" width="14.2857142857143" style="4" customWidth="1"/>
    <col min="7919" max="7919" width="16.1428571428571" style="4" customWidth="1"/>
    <col min="7920" max="7920" width="15.1428571428571" style="4" customWidth="1"/>
    <col min="7921" max="7921" width="19.1428571428571" style="4" customWidth="1"/>
    <col min="7922" max="7922" width="15.7142857142857" style="4" customWidth="1"/>
    <col min="7923" max="7924" width="19.1428571428571" style="4" customWidth="1"/>
    <col min="7925" max="7925" width="16.8571428571429" style="4" customWidth="1"/>
    <col min="7926" max="8165" width="9.14285714285714" style="4"/>
    <col min="8166" max="8166" width="4.14285714285714" style="4" customWidth="1"/>
    <col min="8167" max="8167" width="27.8571428571429" style="4" customWidth="1"/>
    <col min="8168" max="8169" width="19.8571428571429" style="4" customWidth="1"/>
    <col min="8170" max="8170" width="14.2857142857143" style="4" customWidth="1"/>
    <col min="8171" max="8171" width="15.7142857142857" style="4" customWidth="1"/>
    <col min="8172" max="8172" width="14.2857142857143" style="4" customWidth="1"/>
    <col min="8173" max="8173" width="16.1428571428571" style="4" customWidth="1"/>
    <col min="8174" max="8174" width="14.2857142857143" style="4" customWidth="1"/>
    <col min="8175" max="8175" width="16.1428571428571" style="4" customWidth="1"/>
    <col min="8176" max="8176" width="15.1428571428571" style="4" customWidth="1"/>
    <col min="8177" max="8177" width="19.1428571428571" style="4" customWidth="1"/>
    <col min="8178" max="8178" width="15.7142857142857" style="4" customWidth="1"/>
    <col min="8179" max="8180" width="19.1428571428571" style="4" customWidth="1"/>
    <col min="8181" max="8181" width="16.8571428571429" style="4" customWidth="1"/>
    <col min="8182" max="8421" width="9.14285714285714" style="4"/>
    <col min="8422" max="8422" width="4.14285714285714" style="4" customWidth="1"/>
    <col min="8423" max="8423" width="27.8571428571429" style="4" customWidth="1"/>
    <col min="8424" max="8425" width="19.8571428571429" style="4" customWidth="1"/>
    <col min="8426" max="8426" width="14.2857142857143" style="4" customWidth="1"/>
    <col min="8427" max="8427" width="15.7142857142857" style="4" customWidth="1"/>
    <col min="8428" max="8428" width="14.2857142857143" style="4" customWidth="1"/>
    <col min="8429" max="8429" width="16.1428571428571" style="4" customWidth="1"/>
    <col min="8430" max="8430" width="14.2857142857143" style="4" customWidth="1"/>
    <col min="8431" max="8431" width="16.1428571428571" style="4" customWidth="1"/>
    <col min="8432" max="8432" width="15.1428571428571" style="4" customWidth="1"/>
    <col min="8433" max="8433" width="19.1428571428571" style="4" customWidth="1"/>
    <col min="8434" max="8434" width="15.7142857142857" style="4" customWidth="1"/>
    <col min="8435" max="8436" width="19.1428571428571" style="4" customWidth="1"/>
    <col min="8437" max="8437" width="16.8571428571429" style="4" customWidth="1"/>
    <col min="8438" max="8677" width="9.14285714285714" style="4"/>
    <col min="8678" max="8678" width="4.14285714285714" style="4" customWidth="1"/>
    <col min="8679" max="8679" width="27.8571428571429" style="4" customWidth="1"/>
    <col min="8680" max="8681" width="19.8571428571429" style="4" customWidth="1"/>
    <col min="8682" max="8682" width="14.2857142857143" style="4" customWidth="1"/>
    <col min="8683" max="8683" width="15.7142857142857" style="4" customWidth="1"/>
    <col min="8684" max="8684" width="14.2857142857143" style="4" customWidth="1"/>
    <col min="8685" max="8685" width="16.1428571428571" style="4" customWidth="1"/>
    <col min="8686" max="8686" width="14.2857142857143" style="4" customWidth="1"/>
    <col min="8687" max="8687" width="16.1428571428571" style="4" customWidth="1"/>
    <col min="8688" max="8688" width="15.1428571428571" style="4" customWidth="1"/>
    <col min="8689" max="8689" width="19.1428571428571" style="4" customWidth="1"/>
    <col min="8690" max="8690" width="15.7142857142857" style="4" customWidth="1"/>
    <col min="8691" max="8692" width="19.1428571428571" style="4" customWidth="1"/>
    <col min="8693" max="8693" width="16.8571428571429" style="4" customWidth="1"/>
    <col min="8694" max="8933" width="9.14285714285714" style="4"/>
    <col min="8934" max="8934" width="4.14285714285714" style="4" customWidth="1"/>
    <col min="8935" max="8935" width="27.8571428571429" style="4" customWidth="1"/>
    <col min="8936" max="8937" width="19.8571428571429" style="4" customWidth="1"/>
    <col min="8938" max="8938" width="14.2857142857143" style="4" customWidth="1"/>
    <col min="8939" max="8939" width="15.7142857142857" style="4" customWidth="1"/>
    <col min="8940" max="8940" width="14.2857142857143" style="4" customWidth="1"/>
    <col min="8941" max="8941" width="16.1428571428571" style="4" customWidth="1"/>
    <col min="8942" max="8942" width="14.2857142857143" style="4" customWidth="1"/>
    <col min="8943" max="8943" width="16.1428571428571" style="4" customWidth="1"/>
    <col min="8944" max="8944" width="15.1428571428571" style="4" customWidth="1"/>
    <col min="8945" max="8945" width="19.1428571428571" style="4" customWidth="1"/>
    <col min="8946" max="8946" width="15.7142857142857" style="4" customWidth="1"/>
    <col min="8947" max="8948" width="19.1428571428571" style="4" customWidth="1"/>
    <col min="8949" max="8949" width="16.8571428571429" style="4" customWidth="1"/>
    <col min="8950" max="9189" width="9.14285714285714" style="4"/>
    <col min="9190" max="9190" width="4.14285714285714" style="4" customWidth="1"/>
    <col min="9191" max="9191" width="27.8571428571429" style="4" customWidth="1"/>
    <col min="9192" max="9193" width="19.8571428571429" style="4" customWidth="1"/>
    <col min="9194" max="9194" width="14.2857142857143" style="4" customWidth="1"/>
    <col min="9195" max="9195" width="15.7142857142857" style="4" customWidth="1"/>
    <col min="9196" max="9196" width="14.2857142857143" style="4" customWidth="1"/>
    <col min="9197" max="9197" width="16.1428571428571" style="4" customWidth="1"/>
    <col min="9198" max="9198" width="14.2857142857143" style="4" customWidth="1"/>
    <col min="9199" max="9199" width="16.1428571428571" style="4" customWidth="1"/>
    <col min="9200" max="9200" width="15.1428571428571" style="4" customWidth="1"/>
    <col min="9201" max="9201" width="19.1428571428571" style="4" customWidth="1"/>
    <col min="9202" max="9202" width="15.7142857142857" style="4" customWidth="1"/>
    <col min="9203" max="9204" width="19.1428571428571" style="4" customWidth="1"/>
    <col min="9205" max="9205" width="16.8571428571429" style="4" customWidth="1"/>
    <col min="9206" max="9445" width="9.14285714285714" style="4"/>
    <col min="9446" max="9446" width="4.14285714285714" style="4" customWidth="1"/>
    <col min="9447" max="9447" width="27.8571428571429" style="4" customWidth="1"/>
    <col min="9448" max="9449" width="19.8571428571429" style="4" customWidth="1"/>
    <col min="9450" max="9450" width="14.2857142857143" style="4" customWidth="1"/>
    <col min="9451" max="9451" width="15.7142857142857" style="4" customWidth="1"/>
    <col min="9452" max="9452" width="14.2857142857143" style="4" customWidth="1"/>
    <col min="9453" max="9453" width="16.1428571428571" style="4" customWidth="1"/>
    <col min="9454" max="9454" width="14.2857142857143" style="4" customWidth="1"/>
    <col min="9455" max="9455" width="16.1428571428571" style="4" customWidth="1"/>
    <col min="9456" max="9456" width="15.1428571428571" style="4" customWidth="1"/>
    <col min="9457" max="9457" width="19.1428571428571" style="4" customWidth="1"/>
    <col min="9458" max="9458" width="15.7142857142857" style="4" customWidth="1"/>
    <col min="9459" max="9460" width="19.1428571428571" style="4" customWidth="1"/>
    <col min="9461" max="9461" width="16.8571428571429" style="4" customWidth="1"/>
    <col min="9462" max="9701" width="9.14285714285714" style="4"/>
    <col min="9702" max="9702" width="4.14285714285714" style="4" customWidth="1"/>
    <col min="9703" max="9703" width="27.8571428571429" style="4" customWidth="1"/>
    <col min="9704" max="9705" width="19.8571428571429" style="4" customWidth="1"/>
    <col min="9706" max="9706" width="14.2857142857143" style="4" customWidth="1"/>
    <col min="9707" max="9707" width="15.7142857142857" style="4" customWidth="1"/>
    <col min="9708" max="9708" width="14.2857142857143" style="4" customWidth="1"/>
    <col min="9709" max="9709" width="16.1428571428571" style="4" customWidth="1"/>
    <col min="9710" max="9710" width="14.2857142857143" style="4" customWidth="1"/>
    <col min="9711" max="9711" width="16.1428571428571" style="4" customWidth="1"/>
    <col min="9712" max="9712" width="15.1428571428571" style="4" customWidth="1"/>
    <col min="9713" max="9713" width="19.1428571428571" style="4" customWidth="1"/>
    <col min="9714" max="9714" width="15.7142857142857" style="4" customWidth="1"/>
    <col min="9715" max="9716" width="19.1428571428571" style="4" customWidth="1"/>
    <col min="9717" max="9717" width="16.8571428571429" style="4" customWidth="1"/>
    <col min="9718" max="9957" width="9.14285714285714" style="4"/>
    <col min="9958" max="9958" width="4.14285714285714" style="4" customWidth="1"/>
    <col min="9959" max="9959" width="27.8571428571429" style="4" customWidth="1"/>
    <col min="9960" max="9961" width="19.8571428571429" style="4" customWidth="1"/>
    <col min="9962" max="9962" width="14.2857142857143" style="4" customWidth="1"/>
    <col min="9963" max="9963" width="15.7142857142857" style="4" customWidth="1"/>
    <col min="9964" max="9964" width="14.2857142857143" style="4" customWidth="1"/>
    <col min="9965" max="9965" width="16.1428571428571" style="4" customWidth="1"/>
    <col min="9966" max="9966" width="14.2857142857143" style="4" customWidth="1"/>
    <col min="9967" max="9967" width="16.1428571428571" style="4" customWidth="1"/>
    <col min="9968" max="9968" width="15.1428571428571" style="4" customWidth="1"/>
    <col min="9969" max="9969" width="19.1428571428571" style="4" customWidth="1"/>
    <col min="9970" max="9970" width="15.7142857142857" style="4" customWidth="1"/>
    <col min="9971" max="9972" width="19.1428571428571" style="4" customWidth="1"/>
    <col min="9973" max="9973" width="16.8571428571429" style="4" customWidth="1"/>
    <col min="9974" max="10213" width="9.14285714285714" style="4"/>
    <col min="10214" max="10214" width="4.14285714285714" style="4" customWidth="1"/>
    <col min="10215" max="10215" width="27.8571428571429" style="4" customWidth="1"/>
    <col min="10216" max="10217" width="19.8571428571429" style="4" customWidth="1"/>
    <col min="10218" max="10218" width="14.2857142857143" style="4" customWidth="1"/>
    <col min="10219" max="10219" width="15.7142857142857" style="4" customWidth="1"/>
    <col min="10220" max="10220" width="14.2857142857143" style="4" customWidth="1"/>
    <col min="10221" max="10221" width="16.1428571428571" style="4" customWidth="1"/>
    <col min="10222" max="10222" width="14.2857142857143" style="4" customWidth="1"/>
    <col min="10223" max="10223" width="16.1428571428571" style="4" customWidth="1"/>
    <col min="10224" max="10224" width="15.1428571428571" style="4" customWidth="1"/>
    <col min="10225" max="10225" width="19.1428571428571" style="4" customWidth="1"/>
    <col min="10226" max="10226" width="15.7142857142857" style="4" customWidth="1"/>
    <col min="10227" max="10228" width="19.1428571428571" style="4" customWidth="1"/>
    <col min="10229" max="10229" width="16.8571428571429" style="4" customWidth="1"/>
    <col min="10230" max="10469" width="9.14285714285714" style="4"/>
    <col min="10470" max="10470" width="4.14285714285714" style="4" customWidth="1"/>
    <col min="10471" max="10471" width="27.8571428571429" style="4" customWidth="1"/>
    <col min="10472" max="10473" width="19.8571428571429" style="4" customWidth="1"/>
    <col min="10474" max="10474" width="14.2857142857143" style="4" customWidth="1"/>
    <col min="10475" max="10475" width="15.7142857142857" style="4" customWidth="1"/>
    <col min="10476" max="10476" width="14.2857142857143" style="4" customWidth="1"/>
    <col min="10477" max="10477" width="16.1428571428571" style="4" customWidth="1"/>
    <col min="10478" max="10478" width="14.2857142857143" style="4" customWidth="1"/>
    <col min="10479" max="10479" width="16.1428571428571" style="4" customWidth="1"/>
    <col min="10480" max="10480" width="15.1428571428571" style="4" customWidth="1"/>
    <col min="10481" max="10481" width="19.1428571428571" style="4" customWidth="1"/>
    <col min="10482" max="10482" width="15.7142857142857" style="4" customWidth="1"/>
    <col min="10483" max="10484" width="19.1428571428571" style="4" customWidth="1"/>
    <col min="10485" max="10485" width="16.8571428571429" style="4" customWidth="1"/>
    <col min="10486" max="10725" width="9.14285714285714" style="4"/>
    <col min="10726" max="10726" width="4.14285714285714" style="4" customWidth="1"/>
    <col min="10727" max="10727" width="27.8571428571429" style="4" customWidth="1"/>
    <col min="10728" max="10729" width="19.8571428571429" style="4" customWidth="1"/>
    <col min="10730" max="10730" width="14.2857142857143" style="4" customWidth="1"/>
    <col min="10731" max="10731" width="15.7142857142857" style="4" customWidth="1"/>
    <col min="10732" max="10732" width="14.2857142857143" style="4" customWidth="1"/>
    <col min="10733" max="10733" width="16.1428571428571" style="4" customWidth="1"/>
    <col min="10734" max="10734" width="14.2857142857143" style="4" customWidth="1"/>
    <col min="10735" max="10735" width="16.1428571428571" style="4" customWidth="1"/>
    <col min="10736" max="10736" width="15.1428571428571" style="4" customWidth="1"/>
    <col min="10737" max="10737" width="19.1428571428571" style="4" customWidth="1"/>
    <col min="10738" max="10738" width="15.7142857142857" style="4" customWidth="1"/>
    <col min="10739" max="10740" width="19.1428571428571" style="4" customWidth="1"/>
    <col min="10741" max="10741" width="16.8571428571429" style="4" customWidth="1"/>
    <col min="10742" max="10981" width="9.14285714285714" style="4"/>
    <col min="10982" max="10982" width="4.14285714285714" style="4" customWidth="1"/>
    <col min="10983" max="10983" width="27.8571428571429" style="4" customWidth="1"/>
    <col min="10984" max="10985" width="19.8571428571429" style="4" customWidth="1"/>
    <col min="10986" max="10986" width="14.2857142857143" style="4" customWidth="1"/>
    <col min="10987" max="10987" width="15.7142857142857" style="4" customWidth="1"/>
    <col min="10988" max="10988" width="14.2857142857143" style="4" customWidth="1"/>
    <col min="10989" max="10989" width="16.1428571428571" style="4" customWidth="1"/>
    <col min="10990" max="10990" width="14.2857142857143" style="4" customWidth="1"/>
    <col min="10991" max="10991" width="16.1428571428571" style="4" customWidth="1"/>
    <col min="10992" max="10992" width="15.1428571428571" style="4" customWidth="1"/>
    <col min="10993" max="10993" width="19.1428571428571" style="4" customWidth="1"/>
    <col min="10994" max="10994" width="15.7142857142857" style="4" customWidth="1"/>
    <col min="10995" max="10996" width="19.1428571428571" style="4" customWidth="1"/>
    <col min="10997" max="10997" width="16.8571428571429" style="4" customWidth="1"/>
    <col min="10998" max="11237" width="9.14285714285714" style="4"/>
    <col min="11238" max="11238" width="4.14285714285714" style="4" customWidth="1"/>
    <col min="11239" max="11239" width="27.8571428571429" style="4" customWidth="1"/>
    <col min="11240" max="11241" width="19.8571428571429" style="4" customWidth="1"/>
    <col min="11242" max="11242" width="14.2857142857143" style="4" customWidth="1"/>
    <col min="11243" max="11243" width="15.7142857142857" style="4" customWidth="1"/>
    <col min="11244" max="11244" width="14.2857142857143" style="4" customWidth="1"/>
    <col min="11245" max="11245" width="16.1428571428571" style="4" customWidth="1"/>
    <col min="11246" max="11246" width="14.2857142857143" style="4" customWidth="1"/>
    <col min="11247" max="11247" width="16.1428571428571" style="4" customWidth="1"/>
    <col min="11248" max="11248" width="15.1428571428571" style="4" customWidth="1"/>
    <col min="11249" max="11249" width="19.1428571428571" style="4" customWidth="1"/>
    <col min="11250" max="11250" width="15.7142857142857" style="4" customWidth="1"/>
    <col min="11251" max="11252" width="19.1428571428571" style="4" customWidth="1"/>
    <col min="11253" max="11253" width="16.8571428571429" style="4" customWidth="1"/>
    <col min="11254" max="11493" width="9.14285714285714" style="4"/>
    <col min="11494" max="11494" width="4.14285714285714" style="4" customWidth="1"/>
    <col min="11495" max="11495" width="27.8571428571429" style="4" customWidth="1"/>
    <col min="11496" max="11497" width="19.8571428571429" style="4" customWidth="1"/>
    <col min="11498" max="11498" width="14.2857142857143" style="4" customWidth="1"/>
    <col min="11499" max="11499" width="15.7142857142857" style="4" customWidth="1"/>
    <col min="11500" max="11500" width="14.2857142857143" style="4" customWidth="1"/>
    <col min="11501" max="11501" width="16.1428571428571" style="4" customWidth="1"/>
    <col min="11502" max="11502" width="14.2857142857143" style="4" customWidth="1"/>
    <col min="11503" max="11503" width="16.1428571428571" style="4" customWidth="1"/>
    <col min="11504" max="11504" width="15.1428571428571" style="4" customWidth="1"/>
    <col min="11505" max="11505" width="19.1428571428571" style="4" customWidth="1"/>
    <col min="11506" max="11506" width="15.7142857142857" style="4" customWidth="1"/>
    <col min="11507" max="11508" width="19.1428571428571" style="4" customWidth="1"/>
    <col min="11509" max="11509" width="16.8571428571429" style="4" customWidth="1"/>
    <col min="11510" max="11749" width="9.14285714285714" style="4"/>
    <col min="11750" max="11750" width="4.14285714285714" style="4" customWidth="1"/>
    <col min="11751" max="11751" width="27.8571428571429" style="4" customWidth="1"/>
    <col min="11752" max="11753" width="19.8571428571429" style="4" customWidth="1"/>
    <col min="11754" max="11754" width="14.2857142857143" style="4" customWidth="1"/>
    <col min="11755" max="11755" width="15.7142857142857" style="4" customWidth="1"/>
    <col min="11756" max="11756" width="14.2857142857143" style="4" customWidth="1"/>
    <col min="11757" max="11757" width="16.1428571428571" style="4" customWidth="1"/>
    <col min="11758" max="11758" width="14.2857142857143" style="4" customWidth="1"/>
    <col min="11759" max="11759" width="16.1428571428571" style="4" customWidth="1"/>
    <col min="11760" max="11760" width="15.1428571428571" style="4" customWidth="1"/>
    <col min="11761" max="11761" width="19.1428571428571" style="4" customWidth="1"/>
    <col min="11762" max="11762" width="15.7142857142857" style="4" customWidth="1"/>
    <col min="11763" max="11764" width="19.1428571428571" style="4" customWidth="1"/>
    <col min="11765" max="11765" width="16.8571428571429" style="4" customWidth="1"/>
    <col min="11766" max="12005" width="9.14285714285714" style="4"/>
    <col min="12006" max="12006" width="4.14285714285714" style="4" customWidth="1"/>
    <col min="12007" max="12007" width="27.8571428571429" style="4" customWidth="1"/>
    <col min="12008" max="12009" width="19.8571428571429" style="4" customWidth="1"/>
    <col min="12010" max="12010" width="14.2857142857143" style="4" customWidth="1"/>
    <col min="12011" max="12011" width="15.7142857142857" style="4" customWidth="1"/>
    <col min="12012" max="12012" width="14.2857142857143" style="4" customWidth="1"/>
    <col min="12013" max="12013" width="16.1428571428571" style="4" customWidth="1"/>
    <col min="12014" max="12014" width="14.2857142857143" style="4" customWidth="1"/>
    <col min="12015" max="12015" width="16.1428571428571" style="4" customWidth="1"/>
    <col min="12016" max="12016" width="15.1428571428571" style="4" customWidth="1"/>
    <col min="12017" max="12017" width="19.1428571428571" style="4" customWidth="1"/>
    <col min="12018" max="12018" width="15.7142857142857" style="4" customWidth="1"/>
    <col min="12019" max="12020" width="19.1428571428571" style="4" customWidth="1"/>
    <col min="12021" max="12021" width="16.8571428571429" style="4" customWidth="1"/>
    <col min="12022" max="12261" width="9.14285714285714" style="4"/>
    <col min="12262" max="12262" width="4.14285714285714" style="4" customWidth="1"/>
    <col min="12263" max="12263" width="27.8571428571429" style="4" customWidth="1"/>
    <col min="12264" max="12265" width="19.8571428571429" style="4" customWidth="1"/>
    <col min="12266" max="12266" width="14.2857142857143" style="4" customWidth="1"/>
    <col min="12267" max="12267" width="15.7142857142857" style="4" customWidth="1"/>
    <col min="12268" max="12268" width="14.2857142857143" style="4" customWidth="1"/>
    <col min="12269" max="12269" width="16.1428571428571" style="4" customWidth="1"/>
    <col min="12270" max="12270" width="14.2857142857143" style="4" customWidth="1"/>
    <col min="12271" max="12271" width="16.1428571428571" style="4" customWidth="1"/>
    <col min="12272" max="12272" width="15.1428571428571" style="4" customWidth="1"/>
    <col min="12273" max="12273" width="19.1428571428571" style="4" customWidth="1"/>
    <col min="12274" max="12274" width="15.7142857142857" style="4" customWidth="1"/>
    <col min="12275" max="12276" width="19.1428571428571" style="4" customWidth="1"/>
    <col min="12277" max="12277" width="16.8571428571429" style="4" customWidth="1"/>
    <col min="12278" max="12517" width="9.14285714285714" style="4"/>
    <col min="12518" max="12518" width="4.14285714285714" style="4" customWidth="1"/>
    <col min="12519" max="12519" width="27.8571428571429" style="4" customWidth="1"/>
    <col min="12520" max="12521" width="19.8571428571429" style="4" customWidth="1"/>
    <col min="12522" max="12522" width="14.2857142857143" style="4" customWidth="1"/>
    <col min="12523" max="12523" width="15.7142857142857" style="4" customWidth="1"/>
    <col min="12524" max="12524" width="14.2857142857143" style="4" customWidth="1"/>
    <col min="12525" max="12525" width="16.1428571428571" style="4" customWidth="1"/>
    <col min="12526" max="12526" width="14.2857142857143" style="4" customWidth="1"/>
    <col min="12527" max="12527" width="16.1428571428571" style="4" customWidth="1"/>
    <col min="12528" max="12528" width="15.1428571428571" style="4" customWidth="1"/>
    <col min="12529" max="12529" width="19.1428571428571" style="4" customWidth="1"/>
    <col min="12530" max="12530" width="15.7142857142857" style="4" customWidth="1"/>
    <col min="12531" max="12532" width="19.1428571428571" style="4" customWidth="1"/>
    <col min="12533" max="12533" width="16.8571428571429" style="4" customWidth="1"/>
    <col min="12534" max="12773" width="9.14285714285714" style="4"/>
    <col min="12774" max="12774" width="4.14285714285714" style="4" customWidth="1"/>
    <col min="12775" max="12775" width="27.8571428571429" style="4" customWidth="1"/>
    <col min="12776" max="12777" width="19.8571428571429" style="4" customWidth="1"/>
    <col min="12778" max="12778" width="14.2857142857143" style="4" customWidth="1"/>
    <col min="12779" max="12779" width="15.7142857142857" style="4" customWidth="1"/>
    <col min="12780" max="12780" width="14.2857142857143" style="4" customWidth="1"/>
    <col min="12781" max="12781" width="16.1428571428571" style="4" customWidth="1"/>
    <col min="12782" max="12782" width="14.2857142857143" style="4" customWidth="1"/>
    <col min="12783" max="12783" width="16.1428571428571" style="4" customWidth="1"/>
    <col min="12784" max="12784" width="15.1428571428571" style="4" customWidth="1"/>
    <col min="12785" max="12785" width="19.1428571428571" style="4" customWidth="1"/>
    <col min="12786" max="12786" width="15.7142857142857" style="4" customWidth="1"/>
    <col min="12787" max="12788" width="19.1428571428571" style="4" customWidth="1"/>
    <col min="12789" max="12789" width="16.8571428571429" style="4" customWidth="1"/>
    <col min="12790" max="13029" width="9.14285714285714" style="4"/>
    <col min="13030" max="13030" width="4.14285714285714" style="4" customWidth="1"/>
    <col min="13031" max="13031" width="27.8571428571429" style="4" customWidth="1"/>
    <col min="13032" max="13033" width="19.8571428571429" style="4" customWidth="1"/>
    <col min="13034" max="13034" width="14.2857142857143" style="4" customWidth="1"/>
    <col min="13035" max="13035" width="15.7142857142857" style="4" customWidth="1"/>
    <col min="13036" max="13036" width="14.2857142857143" style="4" customWidth="1"/>
    <col min="13037" max="13037" width="16.1428571428571" style="4" customWidth="1"/>
    <col min="13038" max="13038" width="14.2857142857143" style="4" customWidth="1"/>
    <col min="13039" max="13039" width="16.1428571428571" style="4" customWidth="1"/>
    <col min="13040" max="13040" width="15.1428571428571" style="4" customWidth="1"/>
    <col min="13041" max="13041" width="19.1428571428571" style="4" customWidth="1"/>
    <col min="13042" max="13042" width="15.7142857142857" style="4" customWidth="1"/>
    <col min="13043" max="13044" width="19.1428571428571" style="4" customWidth="1"/>
    <col min="13045" max="13045" width="16.8571428571429" style="4" customWidth="1"/>
    <col min="13046" max="13285" width="9.14285714285714" style="4"/>
    <col min="13286" max="13286" width="4.14285714285714" style="4" customWidth="1"/>
    <col min="13287" max="13287" width="27.8571428571429" style="4" customWidth="1"/>
    <col min="13288" max="13289" width="19.8571428571429" style="4" customWidth="1"/>
    <col min="13290" max="13290" width="14.2857142857143" style="4" customWidth="1"/>
    <col min="13291" max="13291" width="15.7142857142857" style="4" customWidth="1"/>
    <col min="13292" max="13292" width="14.2857142857143" style="4" customWidth="1"/>
    <col min="13293" max="13293" width="16.1428571428571" style="4" customWidth="1"/>
    <col min="13294" max="13294" width="14.2857142857143" style="4" customWidth="1"/>
    <col min="13295" max="13295" width="16.1428571428571" style="4" customWidth="1"/>
    <col min="13296" max="13296" width="15.1428571428571" style="4" customWidth="1"/>
    <col min="13297" max="13297" width="19.1428571428571" style="4" customWidth="1"/>
    <col min="13298" max="13298" width="15.7142857142857" style="4" customWidth="1"/>
    <col min="13299" max="13300" width="19.1428571428571" style="4" customWidth="1"/>
    <col min="13301" max="13301" width="16.8571428571429" style="4" customWidth="1"/>
    <col min="13302" max="13541" width="9.14285714285714" style="4"/>
    <col min="13542" max="13542" width="4.14285714285714" style="4" customWidth="1"/>
    <col min="13543" max="13543" width="27.8571428571429" style="4" customWidth="1"/>
    <col min="13544" max="13545" width="19.8571428571429" style="4" customWidth="1"/>
    <col min="13546" max="13546" width="14.2857142857143" style="4" customWidth="1"/>
    <col min="13547" max="13547" width="15.7142857142857" style="4" customWidth="1"/>
    <col min="13548" max="13548" width="14.2857142857143" style="4" customWidth="1"/>
    <col min="13549" max="13549" width="16.1428571428571" style="4" customWidth="1"/>
    <col min="13550" max="13550" width="14.2857142857143" style="4" customWidth="1"/>
    <col min="13551" max="13551" width="16.1428571428571" style="4" customWidth="1"/>
    <col min="13552" max="13552" width="15.1428571428571" style="4" customWidth="1"/>
    <col min="13553" max="13553" width="19.1428571428571" style="4" customWidth="1"/>
    <col min="13554" max="13554" width="15.7142857142857" style="4" customWidth="1"/>
    <col min="13555" max="13556" width="19.1428571428571" style="4" customWidth="1"/>
    <col min="13557" max="13557" width="16.8571428571429" style="4" customWidth="1"/>
    <col min="13558" max="13797" width="9.14285714285714" style="4"/>
    <col min="13798" max="13798" width="4.14285714285714" style="4" customWidth="1"/>
    <col min="13799" max="13799" width="27.8571428571429" style="4" customWidth="1"/>
    <col min="13800" max="13801" width="19.8571428571429" style="4" customWidth="1"/>
    <col min="13802" max="13802" width="14.2857142857143" style="4" customWidth="1"/>
    <col min="13803" max="13803" width="15.7142857142857" style="4" customWidth="1"/>
    <col min="13804" max="13804" width="14.2857142857143" style="4" customWidth="1"/>
    <col min="13805" max="13805" width="16.1428571428571" style="4" customWidth="1"/>
    <col min="13806" max="13806" width="14.2857142857143" style="4" customWidth="1"/>
    <col min="13807" max="13807" width="16.1428571428571" style="4" customWidth="1"/>
    <col min="13808" max="13808" width="15.1428571428571" style="4" customWidth="1"/>
    <col min="13809" max="13809" width="19.1428571428571" style="4" customWidth="1"/>
    <col min="13810" max="13810" width="15.7142857142857" style="4" customWidth="1"/>
    <col min="13811" max="13812" width="19.1428571428571" style="4" customWidth="1"/>
    <col min="13813" max="13813" width="16.8571428571429" style="4" customWidth="1"/>
    <col min="13814" max="14053" width="9.14285714285714" style="4"/>
    <col min="14054" max="14054" width="4.14285714285714" style="4" customWidth="1"/>
    <col min="14055" max="14055" width="27.8571428571429" style="4" customWidth="1"/>
    <col min="14056" max="14057" width="19.8571428571429" style="4" customWidth="1"/>
    <col min="14058" max="14058" width="14.2857142857143" style="4" customWidth="1"/>
    <col min="14059" max="14059" width="15.7142857142857" style="4" customWidth="1"/>
    <col min="14060" max="14060" width="14.2857142857143" style="4" customWidth="1"/>
    <col min="14061" max="14061" width="16.1428571428571" style="4" customWidth="1"/>
    <col min="14062" max="14062" width="14.2857142857143" style="4" customWidth="1"/>
    <col min="14063" max="14063" width="16.1428571428571" style="4" customWidth="1"/>
    <col min="14064" max="14064" width="15.1428571428571" style="4" customWidth="1"/>
    <col min="14065" max="14065" width="19.1428571428571" style="4" customWidth="1"/>
    <col min="14066" max="14066" width="15.7142857142857" style="4" customWidth="1"/>
    <col min="14067" max="14068" width="19.1428571428571" style="4" customWidth="1"/>
    <col min="14069" max="14069" width="16.8571428571429" style="4" customWidth="1"/>
    <col min="14070" max="14309" width="9.14285714285714" style="4"/>
    <col min="14310" max="14310" width="4.14285714285714" style="4" customWidth="1"/>
    <col min="14311" max="14311" width="27.8571428571429" style="4" customWidth="1"/>
    <col min="14312" max="14313" width="19.8571428571429" style="4" customWidth="1"/>
    <col min="14314" max="14314" width="14.2857142857143" style="4" customWidth="1"/>
    <col min="14315" max="14315" width="15.7142857142857" style="4" customWidth="1"/>
    <col min="14316" max="14316" width="14.2857142857143" style="4" customWidth="1"/>
    <col min="14317" max="14317" width="16.1428571428571" style="4" customWidth="1"/>
    <col min="14318" max="14318" width="14.2857142857143" style="4" customWidth="1"/>
    <col min="14319" max="14319" width="16.1428571428571" style="4" customWidth="1"/>
    <col min="14320" max="14320" width="15.1428571428571" style="4" customWidth="1"/>
    <col min="14321" max="14321" width="19.1428571428571" style="4" customWidth="1"/>
    <col min="14322" max="14322" width="15.7142857142857" style="4" customWidth="1"/>
    <col min="14323" max="14324" width="19.1428571428571" style="4" customWidth="1"/>
    <col min="14325" max="14325" width="16.8571428571429" style="4" customWidth="1"/>
    <col min="14326" max="14565" width="9.14285714285714" style="4"/>
    <col min="14566" max="14566" width="4.14285714285714" style="4" customWidth="1"/>
    <col min="14567" max="14567" width="27.8571428571429" style="4" customWidth="1"/>
    <col min="14568" max="14569" width="19.8571428571429" style="4" customWidth="1"/>
    <col min="14570" max="14570" width="14.2857142857143" style="4" customWidth="1"/>
    <col min="14571" max="14571" width="15.7142857142857" style="4" customWidth="1"/>
    <col min="14572" max="14572" width="14.2857142857143" style="4" customWidth="1"/>
    <col min="14573" max="14573" width="16.1428571428571" style="4" customWidth="1"/>
    <col min="14574" max="14574" width="14.2857142857143" style="4" customWidth="1"/>
    <col min="14575" max="14575" width="16.1428571428571" style="4" customWidth="1"/>
    <col min="14576" max="14576" width="15.1428571428571" style="4" customWidth="1"/>
    <col min="14577" max="14577" width="19.1428571428571" style="4" customWidth="1"/>
    <col min="14578" max="14578" width="15.7142857142857" style="4" customWidth="1"/>
    <col min="14579" max="14580" width="19.1428571428571" style="4" customWidth="1"/>
    <col min="14581" max="14581" width="16.8571428571429" style="4" customWidth="1"/>
    <col min="14582" max="14821" width="9.14285714285714" style="4"/>
    <col min="14822" max="14822" width="4.14285714285714" style="4" customWidth="1"/>
    <col min="14823" max="14823" width="27.8571428571429" style="4" customWidth="1"/>
    <col min="14824" max="14825" width="19.8571428571429" style="4" customWidth="1"/>
    <col min="14826" max="14826" width="14.2857142857143" style="4" customWidth="1"/>
    <col min="14827" max="14827" width="15.7142857142857" style="4" customWidth="1"/>
    <col min="14828" max="14828" width="14.2857142857143" style="4" customWidth="1"/>
    <col min="14829" max="14829" width="16.1428571428571" style="4" customWidth="1"/>
    <col min="14830" max="14830" width="14.2857142857143" style="4" customWidth="1"/>
    <col min="14831" max="14831" width="16.1428571428571" style="4" customWidth="1"/>
    <col min="14832" max="14832" width="15.1428571428571" style="4" customWidth="1"/>
    <col min="14833" max="14833" width="19.1428571428571" style="4" customWidth="1"/>
    <col min="14834" max="14834" width="15.7142857142857" style="4" customWidth="1"/>
    <col min="14835" max="14836" width="19.1428571428571" style="4" customWidth="1"/>
    <col min="14837" max="14837" width="16.8571428571429" style="4" customWidth="1"/>
    <col min="14838" max="15077" width="9.14285714285714" style="4"/>
    <col min="15078" max="15078" width="4.14285714285714" style="4" customWidth="1"/>
    <col min="15079" max="15079" width="27.8571428571429" style="4" customWidth="1"/>
    <col min="15080" max="15081" width="19.8571428571429" style="4" customWidth="1"/>
    <col min="15082" max="15082" width="14.2857142857143" style="4" customWidth="1"/>
    <col min="15083" max="15083" width="15.7142857142857" style="4" customWidth="1"/>
    <col min="15084" max="15084" width="14.2857142857143" style="4" customWidth="1"/>
    <col min="15085" max="15085" width="16.1428571428571" style="4" customWidth="1"/>
    <col min="15086" max="15086" width="14.2857142857143" style="4" customWidth="1"/>
    <col min="15087" max="15087" width="16.1428571428571" style="4" customWidth="1"/>
    <col min="15088" max="15088" width="15.1428571428571" style="4" customWidth="1"/>
    <col min="15089" max="15089" width="19.1428571428571" style="4" customWidth="1"/>
    <col min="15090" max="15090" width="15.7142857142857" style="4" customWidth="1"/>
    <col min="15091" max="15092" width="19.1428571428571" style="4" customWidth="1"/>
    <col min="15093" max="15093" width="16.8571428571429" style="4" customWidth="1"/>
    <col min="15094" max="15333" width="9.14285714285714" style="4"/>
    <col min="15334" max="15334" width="4.14285714285714" style="4" customWidth="1"/>
    <col min="15335" max="15335" width="27.8571428571429" style="4" customWidth="1"/>
    <col min="15336" max="15337" width="19.8571428571429" style="4" customWidth="1"/>
    <col min="15338" max="15338" width="14.2857142857143" style="4" customWidth="1"/>
    <col min="15339" max="15339" width="15.7142857142857" style="4" customWidth="1"/>
    <col min="15340" max="15340" width="14.2857142857143" style="4" customWidth="1"/>
    <col min="15341" max="15341" width="16.1428571428571" style="4" customWidth="1"/>
    <col min="15342" max="15342" width="14.2857142857143" style="4" customWidth="1"/>
    <col min="15343" max="15343" width="16.1428571428571" style="4" customWidth="1"/>
    <col min="15344" max="15344" width="15.1428571428571" style="4" customWidth="1"/>
    <col min="15345" max="15345" width="19.1428571428571" style="4" customWidth="1"/>
    <col min="15346" max="15346" width="15.7142857142857" style="4" customWidth="1"/>
    <col min="15347" max="15348" width="19.1428571428571" style="4" customWidth="1"/>
    <col min="15349" max="15349" width="16.8571428571429" style="4" customWidth="1"/>
    <col min="15350" max="15589" width="9.14285714285714" style="4"/>
    <col min="15590" max="15590" width="4.14285714285714" style="4" customWidth="1"/>
    <col min="15591" max="15591" width="27.8571428571429" style="4" customWidth="1"/>
    <col min="15592" max="15593" width="19.8571428571429" style="4" customWidth="1"/>
    <col min="15594" max="15594" width="14.2857142857143" style="4" customWidth="1"/>
    <col min="15595" max="15595" width="15.7142857142857" style="4" customWidth="1"/>
    <col min="15596" max="15596" width="14.2857142857143" style="4" customWidth="1"/>
    <col min="15597" max="15597" width="16.1428571428571" style="4" customWidth="1"/>
    <col min="15598" max="15598" width="14.2857142857143" style="4" customWidth="1"/>
    <col min="15599" max="15599" width="16.1428571428571" style="4" customWidth="1"/>
    <col min="15600" max="15600" width="15.1428571428571" style="4" customWidth="1"/>
    <col min="15601" max="15601" width="19.1428571428571" style="4" customWidth="1"/>
    <col min="15602" max="15602" width="15.7142857142857" style="4" customWidth="1"/>
    <col min="15603" max="15604" width="19.1428571428571" style="4" customWidth="1"/>
    <col min="15605" max="15605" width="16.8571428571429" style="4" customWidth="1"/>
    <col min="15606" max="15845" width="9.14285714285714" style="4"/>
    <col min="15846" max="15846" width="4.14285714285714" style="4" customWidth="1"/>
    <col min="15847" max="15847" width="27.8571428571429" style="4" customWidth="1"/>
    <col min="15848" max="15849" width="19.8571428571429" style="4" customWidth="1"/>
    <col min="15850" max="15850" width="14.2857142857143" style="4" customWidth="1"/>
    <col min="15851" max="15851" width="15.7142857142857" style="4" customWidth="1"/>
    <col min="15852" max="15852" width="14.2857142857143" style="4" customWidth="1"/>
    <col min="15853" max="15853" width="16.1428571428571" style="4" customWidth="1"/>
    <col min="15854" max="15854" width="14.2857142857143" style="4" customWidth="1"/>
    <col min="15855" max="15855" width="16.1428571428571" style="4" customWidth="1"/>
    <col min="15856" max="15856" width="15.1428571428571" style="4" customWidth="1"/>
    <col min="15857" max="15857" width="19.1428571428571" style="4" customWidth="1"/>
    <col min="15858" max="15858" width="15.7142857142857" style="4" customWidth="1"/>
    <col min="15859" max="15860" width="19.1428571428571" style="4" customWidth="1"/>
    <col min="15861" max="15861" width="16.8571428571429" style="4" customWidth="1"/>
    <col min="15862" max="16101" width="9.14285714285714" style="4"/>
    <col min="16102" max="16102" width="4.14285714285714" style="4" customWidth="1"/>
    <col min="16103" max="16103" width="27.8571428571429" style="4" customWidth="1"/>
    <col min="16104" max="16105" width="19.8571428571429" style="4" customWidth="1"/>
    <col min="16106" max="16106" width="14.2857142857143" style="4" customWidth="1"/>
    <col min="16107" max="16107" width="15.7142857142857" style="4" customWidth="1"/>
    <col min="16108" max="16108" width="14.2857142857143" style="4" customWidth="1"/>
    <col min="16109" max="16109" width="16.1428571428571" style="4" customWidth="1"/>
    <col min="16110" max="16110" width="14.2857142857143" style="4" customWidth="1"/>
    <col min="16111" max="16111" width="16.1428571428571" style="4" customWidth="1"/>
    <col min="16112" max="16112" width="15.1428571428571" style="4" customWidth="1"/>
    <col min="16113" max="16113" width="19.1428571428571" style="4" customWidth="1"/>
    <col min="16114" max="16114" width="15.7142857142857" style="4" customWidth="1"/>
    <col min="16115" max="16116" width="19.1428571428571" style="4" customWidth="1"/>
    <col min="16117" max="16117" width="16.8571428571429" style="4" customWidth="1"/>
    <col min="16118" max="16384" width="9.14285714285714" style="4"/>
  </cols>
  <sheetData>
    <row r="1" ht="21" customHeight="1" spans="1:19">
      <c r="A1" s="5"/>
      <c r="B1" s="6"/>
      <c r="C1" s="6"/>
      <c r="D1" s="6"/>
      <c r="E1" s="6"/>
      <c r="F1" s="6"/>
      <c r="K1" s="7"/>
      <c r="M1" s="8"/>
      <c r="N1" s="8"/>
      <c r="O1" s="9" t="s">
        <v>105</v>
      </c>
      <c r="P1" s="9"/>
      <c r="Q1" s="9"/>
    </row>
    <row r="2" ht="33" customHeight="1" spans="1:19">
      <c r="A2" s="5"/>
      <c r="B2" s="6"/>
      <c r="C2" s="6"/>
      <c r="D2" s="6"/>
      <c r="E2" s="6"/>
      <c r="F2" s="10"/>
      <c r="K2" s="10"/>
      <c r="M2" s="11"/>
      <c r="N2" s="11"/>
      <c r="O2" s="12" t="s">
        <v>107</v>
      </c>
      <c r="P2" s="12"/>
      <c r="Q2" s="12"/>
    </row>
    <row r="3" s="1" customFormat="1" ht="25.5" customHeight="1" spans="1:19">
      <c r="A3" s="13"/>
      <c r="B3" s="14"/>
      <c r="C3" s="14"/>
      <c r="D3" s="14"/>
      <c r="E3" s="14"/>
      <c r="F3" s="14"/>
      <c r="K3" s="15"/>
      <c r="M3" s="16"/>
      <c r="N3" s="16"/>
      <c r="O3" s="17" t="s">
        <v>921</v>
      </c>
      <c r="P3" s="17"/>
      <c r="Q3" s="17"/>
    </row>
    <row r="4" s="1" customFormat="1" ht="25.5" customHeight="1" spans="1:19">
      <c r="A4" s="13"/>
      <c r="B4" s="14"/>
      <c r="C4" s="14"/>
      <c r="D4" s="14"/>
      <c r="E4" s="14"/>
      <c r="F4" s="14"/>
      <c r="K4" s="18"/>
      <c r="M4" s="16"/>
      <c r="N4" s="16"/>
      <c r="O4" s="17" t="s">
        <v>110</v>
      </c>
      <c r="P4" s="17"/>
      <c r="Q4" s="17"/>
    </row>
    <row r="5" ht="18.75" spans="1:19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Q5"/>
      <c r="R5"/>
    </row>
    <row r="6" ht="18.75" customHeight="1" spans="1:19">
      <c r="A6" s="20" t="s">
        <v>111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</row>
    <row r="7" ht="24.75" customHeight="1" spans="1:19">
      <c r="A7" s="22" t="s">
        <v>922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ht="25.5" customHeight="1" spans="1:19">
      <c r="A8" s="23" t="s">
        <v>113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  <c r="Q8" s="26"/>
      <c r="R8" s="26"/>
    </row>
    <row r="9" ht="31.5" customHeight="1" spans="1:19">
      <c r="A9" s="27" t="str">
        <f>'НМЦК подряд'!A10:F10</f>
        <v>1. Приказ КГКУ "Камчатуправтодор" от 29.07.2022г. №402 Об утверждении проектной документации "Строительство причальных сооружений через протоку Озерная в Усть-Камчатском районе Камчатского края"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6"/>
    </row>
    <row r="10" ht="26.25" customHeight="1" spans="1:19">
      <c r="A10" s="27" t="str">
        <f>'НМЦК подряд'!A11:F11</f>
        <v>2. Положительное заключение государственной экспертизы проектной документации и результатов инженерных изысканий №41-1-1-2-049246-2022 от 22.07.2022г.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6"/>
    </row>
    <row r="11" ht="15.75" spans="1:19">
      <c r="A11" s="28" t="s">
        <v>116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18.75" customHeight="1" spans="1:19">
      <c r="A12" s="29"/>
      <c r="B12" s="30"/>
      <c r="C12" s="30"/>
      <c r="D12" s="30"/>
      <c r="E12" s="30"/>
      <c r="F12" s="30"/>
      <c r="G12" s="30"/>
      <c r="M12" s="31"/>
      <c r="N12" s="31"/>
      <c r="O12" s="31"/>
      <c r="Q12" s="31" t="s">
        <v>117</v>
      </c>
      <c r="R12" s="23"/>
    </row>
    <row r="13" s="2" customFormat="1" ht="69" customHeight="1" spans="1:19">
      <c r="A13" s="32" t="s">
        <v>118</v>
      </c>
      <c r="B13" s="32" t="s">
        <v>923</v>
      </c>
      <c r="C13" s="32" t="s">
        <v>41</v>
      </c>
      <c r="D13" s="32" t="s">
        <v>11</v>
      </c>
      <c r="E13" s="32"/>
      <c r="F13" s="32" t="s">
        <v>121</v>
      </c>
      <c r="G13" s="32"/>
      <c r="H13" s="32" t="s">
        <v>13</v>
      </c>
      <c r="I13" s="32"/>
      <c r="J13" s="32"/>
      <c r="K13" s="32"/>
      <c r="L13" s="33" t="s">
        <v>924</v>
      </c>
      <c r="M13" s="33"/>
      <c r="N13" s="33"/>
      <c r="O13" s="33" t="s">
        <v>925</v>
      </c>
      <c r="P13" s="33"/>
      <c r="Q13" s="33"/>
      <c r="R13" s="34"/>
      <c r="S13" s="35"/>
    </row>
    <row r="14" s="2" customFormat="1" ht="24" customHeight="1" spans="1:19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>
        <v>2025</v>
      </c>
      <c r="M14" s="32">
        <v>2026</v>
      </c>
      <c r="N14" s="36">
        <v>2027</v>
      </c>
      <c r="O14" s="32">
        <v>2025</v>
      </c>
      <c r="P14" s="32">
        <v>2026</v>
      </c>
      <c r="Q14" s="36">
        <v>2027</v>
      </c>
      <c r="R14" s="34"/>
      <c r="S14" s="35"/>
    </row>
    <row r="15" ht="16.5" spans="1:19">
      <c r="A15" s="37">
        <v>1</v>
      </c>
      <c r="B15" s="38">
        <v>2</v>
      </c>
      <c r="C15" s="38">
        <v>3</v>
      </c>
      <c r="D15" s="37">
        <v>4</v>
      </c>
      <c r="E15" s="37"/>
      <c r="F15" s="38">
        <v>5</v>
      </c>
      <c r="G15" s="38"/>
      <c r="H15" s="37">
        <v>6</v>
      </c>
      <c r="I15" s="37"/>
      <c r="J15" s="37"/>
      <c r="K15" s="37"/>
      <c r="L15" s="32">
        <v>7</v>
      </c>
      <c r="M15" s="32">
        <v>8</v>
      </c>
      <c r="N15" s="36">
        <v>9</v>
      </c>
      <c r="O15" s="39">
        <v>10</v>
      </c>
      <c r="P15" s="39">
        <v>11</v>
      </c>
      <c r="Q15" s="39">
        <v>12</v>
      </c>
      <c r="R15" s="40"/>
      <c r="S15" s="41"/>
    </row>
    <row r="16" ht="78.75" spans="1:19">
      <c r="A16" s="42" t="s">
        <v>926</v>
      </c>
      <c r="B16" s="43">
        <f>Затраты!I16*1000/1.2</f>
        <v>4228440</v>
      </c>
      <c r="C16" s="44">
        <f>C34</f>
        <v>1.3062</v>
      </c>
      <c r="D16" s="43">
        <f>B16*C16</f>
        <v>5523188</v>
      </c>
      <c r="E16" s="43"/>
      <c r="F16" s="44">
        <f>H61</f>
        <v>0</v>
      </c>
      <c r="G16" s="44"/>
      <c r="H16" s="43">
        <f>D16*F16</f>
        <v>0</v>
      </c>
      <c r="I16" s="43"/>
      <c r="J16" s="43"/>
      <c r="K16" s="43"/>
      <c r="L16" s="43">
        <f>B16*D49</f>
        <v>0</v>
      </c>
      <c r="M16" s="43">
        <f>B16*D50</f>
        <v>2306403</v>
      </c>
      <c r="N16" s="43">
        <f>B16*D51</f>
        <v>1922037</v>
      </c>
      <c r="O16" s="43">
        <f>H16*D49</f>
        <v>0</v>
      </c>
      <c r="P16" s="43">
        <f>H16*D50</f>
        <v>0</v>
      </c>
      <c r="Q16" s="45">
        <f>H16*D51</f>
        <v>0</v>
      </c>
      <c r="R16" s="34"/>
      <c r="S16" s="35"/>
    </row>
    <row r="17" ht="21.75" customHeight="1" spans="1:19">
      <c r="A17" s="46" t="s">
        <v>927</v>
      </c>
      <c r="B17" s="47">
        <f>B16*20%</f>
        <v>845688</v>
      </c>
      <c r="C17" s="48"/>
      <c r="D17" s="47">
        <f>D16*20%</f>
        <v>1104638</v>
      </c>
      <c r="E17" s="47"/>
      <c r="F17" s="48"/>
      <c r="G17" s="48"/>
      <c r="H17" s="47">
        <f>H16*20%</f>
        <v>0</v>
      </c>
      <c r="I17" s="47"/>
      <c r="J17" s="47"/>
      <c r="K17" s="47"/>
      <c r="L17" s="47">
        <f>L16*20%</f>
        <v>0</v>
      </c>
      <c r="M17" s="47">
        <f t="shared" ref="M17:Q17" si="0">M16*20%</f>
        <v>461281</v>
      </c>
      <c r="N17" s="47">
        <f t="shared" si="0"/>
        <v>384407</v>
      </c>
      <c r="O17" s="47">
        <f t="shared" si="0"/>
        <v>0</v>
      </c>
      <c r="P17" s="47">
        <f t="shared" si="0"/>
        <v>0</v>
      </c>
      <c r="Q17" s="51">
        <f t="shared" si="0"/>
        <v>0</v>
      </c>
      <c r="R17" s="34"/>
      <c r="S17" s="52"/>
    </row>
    <row r="18" ht="22.5" customHeight="1" spans="1:19">
      <c r="A18" s="53" t="s">
        <v>928</v>
      </c>
      <c r="B18" s="54">
        <f>B16+B17</f>
        <v>5074128</v>
      </c>
      <c r="C18" s="55"/>
      <c r="D18" s="54">
        <f>SUM(D16:E17)</f>
        <v>6627826</v>
      </c>
      <c r="E18" s="54"/>
      <c r="F18" s="55"/>
      <c r="G18" s="55"/>
      <c r="H18" s="54">
        <f>SUM(H16:K17)</f>
        <v>0</v>
      </c>
      <c r="I18" s="54"/>
      <c r="J18" s="54"/>
      <c r="K18" s="54"/>
      <c r="L18" s="54">
        <f>L16+L17</f>
        <v>0</v>
      </c>
      <c r="M18" s="54">
        <f t="shared" ref="M18:O18" si="1">M16+M17</f>
        <v>2767684</v>
      </c>
      <c r="N18" s="54">
        <f t="shared" si="1"/>
        <v>2306444</v>
      </c>
      <c r="O18" s="54">
        <f t="shared" si="1"/>
        <v>0</v>
      </c>
      <c r="P18" s="54">
        <f t="shared" ref="P18:Q18" si="2">P16+P17</f>
        <v>0</v>
      </c>
      <c r="Q18" s="58">
        <f t="shared" si="2"/>
        <v>0</v>
      </c>
      <c r="R18"/>
      <c r="S18" s="59"/>
    </row>
    <row r="19" ht="15.75" spans="1:19">
      <c r="A19" s="60" t="s">
        <v>929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R19" s="23"/>
      <c r="S19" s="35"/>
    </row>
    <row r="21" ht="15.75" spans="1:19">
      <c r="A21" s="3" t="s">
        <v>26</v>
      </c>
      <c r="B21" s="61" t="s">
        <v>930</v>
      </c>
      <c r="C21" s="61"/>
      <c r="D21" s="61"/>
      <c r="O21" s="10"/>
      <c r="P21" s="10"/>
      <c r="Q21" s="10"/>
    </row>
    <row r="22" s="3" customFormat="1" ht="15.75" spans="1:19">
      <c r="A22" s="62" t="s">
        <v>931</v>
      </c>
      <c r="B22" s="61"/>
      <c r="O22" s="10"/>
      <c r="P22" s="10"/>
      <c r="Q22" s="10"/>
      <c r="R22" s="63"/>
    </row>
    <row r="23" s="3" customFormat="1" ht="15.75" spans="1:19">
      <c r="A23" s="62" t="s">
        <v>932</v>
      </c>
      <c r="B23" s="61"/>
      <c r="O23" s="64"/>
      <c r="P23" s="64"/>
      <c r="R23" s="63"/>
    </row>
    <row r="24" s="3" customFormat="1" ht="15.75" spans="1:19">
      <c r="A24" s="61"/>
      <c r="B24" s="61"/>
      <c r="O24" s="64"/>
      <c r="P24" s="64"/>
      <c r="R24" s="63"/>
    </row>
    <row r="25" s="3" customFormat="1" ht="15.75" spans="1:19">
      <c r="A25" s="65" t="s">
        <v>933</v>
      </c>
      <c r="B25" s="66"/>
      <c r="C25" s="66"/>
      <c r="D25" s="66"/>
      <c r="E25" s="66"/>
    </row>
    <row r="26" s="3" customFormat="1" ht="15.75" spans="1:19">
      <c r="A26" s="67"/>
      <c r="B26" s="66"/>
      <c r="C26" s="66"/>
      <c r="D26" s="66"/>
      <c r="E26" s="66"/>
    </row>
    <row r="27" s="3" customFormat="1" ht="15.75" spans="1:19">
      <c r="A27" s="68" t="str">
        <f>Справка!A24</f>
        <v>март 2023 / март 2022</v>
      </c>
      <c r="B27" s="68">
        <f>Справка!B24</f>
        <v>108.6</v>
      </c>
      <c r="C27" s="69">
        <f>B27/100</f>
        <v>1.086</v>
      </c>
      <c r="D27" s="70"/>
      <c r="E27" s="70"/>
    </row>
    <row r="28" s="3" customFormat="1" ht="15.75" spans="1:19">
      <c r="A28" s="68" t="str">
        <f>Справка!A25</f>
        <v>март 2024 / март 2023</v>
      </c>
      <c r="B28" s="68">
        <f>Справка!B25</f>
        <v>109.53</v>
      </c>
      <c r="C28" s="69">
        <f t="shared" ref="C28:C33" si="3">B28/100</f>
        <v>1.0953</v>
      </c>
      <c r="D28" s="70"/>
      <c r="E28" s="70"/>
    </row>
    <row r="29" s="3" customFormat="1" ht="15.75" spans="1:19">
      <c r="A29" s="68" t="str">
        <f>Справка!A26</f>
        <v>март 2025 / март  2024</v>
      </c>
      <c r="B29" s="68">
        <f>Справка!B26</f>
        <v>106.56</v>
      </c>
      <c r="C29" s="69">
        <f t="shared" si="3"/>
        <v>1.0656</v>
      </c>
      <c r="D29" s="70"/>
      <c r="E29" s="70"/>
    </row>
    <row r="30" s="3" customFormat="1" ht="15.75" spans="1:19">
      <c r="A30" s="68">
        <f>Справка!A27</f>
        <v>45748</v>
      </c>
      <c r="B30" s="68">
        <f>Справка!B27</f>
        <v>98.08</v>
      </c>
      <c r="C30" s="69">
        <f t="shared" si="3"/>
        <v>0.9808</v>
      </c>
      <c r="D30" s="70"/>
      <c r="E30" s="70"/>
    </row>
    <row r="31" s="3" customFormat="1" ht="15.75" spans="1:19">
      <c r="A31" s="68">
        <f>Справка!A28</f>
        <v>45778</v>
      </c>
      <c r="B31" s="68">
        <f>Справка!B28</f>
        <v>101.17</v>
      </c>
      <c r="C31" s="69">
        <f t="shared" si="3"/>
        <v>1.0117</v>
      </c>
      <c r="D31" s="70"/>
      <c r="E31" s="70"/>
    </row>
    <row r="32" s="3" customFormat="1" ht="15.75" spans="1:19">
      <c r="A32" s="68">
        <f>Справка!A29</f>
        <v>45809</v>
      </c>
      <c r="B32" s="68">
        <f>Справка!B29</f>
        <v>103.19</v>
      </c>
      <c r="C32" s="69">
        <f t="shared" si="3"/>
        <v>1.0319</v>
      </c>
      <c r="D32" s="70"/>
      <c r="E32" s="70"/>
    </row>
    <row r="33" s="3" customFormat="1" ht="15.75" spans="1:12">
      <c r="A33" s="68">
        <f>Справка!A30</f>
        <v>45839</v>
      </c>
      <c r="B33" s="68">
        <f>Справка!B30</f>
        <v>100.64</v>
      </c>
      <c r="C33" s="69">
        <f t="shared" si="3"/>
        <v>1.0064</v>
      </c>
      <c r="D33" s="70"/>
      <c r="E33" s="70"/>
    </row>
    <row r="34" s="3" customFormat="1" ht="15.75" spans="1:12">
      <c r="A34" s="73"/>
      <c r="B34" s="74" t="s">
        <v>41</v>
      </c>
      <c r="C34" s="75">
        <f>C27*C28*C29*C30*C31*C32*C33</f>
        <v>1.3062</v>
      </c>
      <c r="D34" s="66"/>
      <c r="E34" s="66"/>
    </row>
    <row r="35" s="3" customFormat="1" ht="15.75" spans="1:12">
      <c r="A35" s="61"/>
      <c r="B35" s="61"/>
    </row>
    <row r="36" ht="15.75" customHeight="1" spans="1:12">
      <c r="A36" s="76" t="s">
        <v>934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</row>
    <row r="37" ht="15.75" customHeight="1" spans="1:12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</row>
    <row r="38" ht="15.75" customHeight="1" spans="1:12">
      <c r="A38" s="77"/>
      <c r="B38" s="77"/>
      <c r="C38" s="78"/>
      <c r="D38" s="78"/>
      <c r="E38" s="79"/>
      <c r="F38" s="79"/>
      <c r="G38" s="80"/>
      <c r="H38" s="80"/>
      <c r="I38" s="80"/>
      <c r="J38" s="80"/>
      <c r="K38" s="80"/>
      <c r="L38" s="81"/>
    </row>
    <row r="39" ht="15.75" customHeight="1" spans="1:12">
      <c r="A39" s="82" t="s">
        <v>34</v>
      </c>
      <c r="E39" s="83"/>
      <c r="F39" s="83"/>
      <c r="G39" s="84">
        <v>12</v>
      </c>
      <c r="H39" s="85" t="s">
        <v>39</v>
      </c>
      <c r="I39" s="86">
        <f>B40</f>
        <v>0</v>
      </c>
      <c r="J39" s="87" t="s">
        <v>40</v>
      </c>
      <c r="K39" s="88">
        <f>I39^(1/G39)</f>
        <v>0</v>
      </c>
      <c r="L39" s="88"/>
    </row>
    <row r="40" ht="15.75" customHeight="1" spans="1:12">
      <c r="A40" s="82"/>
      <c r="B40" s="81">
        <f>Справка!F26</f>
        <v>0</v>
      </c>
      <c r="C40" s="89" t="s">
        <v>935</v>
      </c>
      <c r="D40" s="89"/>
      <c r="E40" s="83"/>
      <c r="F40" s="83"/>
      <c r="G40" s="84"/>
      <c r="H40" s="85"/>
      <c r="I40" s="90"/>
      <c r="J40" s="87"/>
      <c r="K40" s="88"/>
      <c r="L40" s="88"/>
    </row>
    <row r="41" ht="15.75" customHeight="1" spans="1:12">
      <c r="A41" s="82"/>
      <c r="B41" s="81"/>
      <c r="C41" s="83"/>
      <c r="D41" s="83"/>
      <c r="E41" s="83"/>
      <c r="F41" s="83"/>
      <c r="G41" s="84"/>
      <c r="H41" s="85"/>
      <c r="I41" s="90"/>
      <c r="J41" s="87"/>
      <c r="K41" s="88"/>
      <c r="L41" s="88"/>
    </row>
    <row r="42" ht="15.75" customHeight="1" spans="1:12">
      <c r="A42" s="82" t="s">
        <v>38</v>
      </c>
      <c r="B42" s="81"/>
      <c r="E42" s="83"/>
      <c r="F42" s="83"/>
      <c r="G42" s="91">
        <v>12</v>
      </c>
      <c r="H42" s="85" t="s">
        <v>39</v>
      </c>
      <c r="I42" s="86">
        <f>B43</f>
        <v>1.078</v>
      </c>
      <c r="J42" s="87" t="s">
        <v>40</v>
      </c>
      <c r="K42" s="88">
        <f>I42^(1/G42)</f>
        <v>1.0063</v>
      </c>
      <c r="L42" s="88"/>
    </row>
    <row r="43" ht="15.75" customHeight="1" spans="1:12">
      <c r="A43" s="82"/>
      <c r="B43" s="81">
        <f>Справка!F41</f>
        <v>1.078</v>
      </c>
      <c r="C43" s="89" t="s">
        <v>936</v>
      </c>
      <c r="D43" s="89"/>
      <c r="E43" s="83"/>
      <c r="F43" s="83"/>
      <c r="G43" s="91"/>
      <c r="H43" s="85"/>
      <c r="I43" s="90"/>
      <c r="J43" s="87"/>
      <c r="K43" s="88"/>
      <c r="L43" s="88"/>
    </row>
    <row r="44" ht="15.75" customHeight="1" spans="1:12">
      <c r="A44" s="82"/>
      <c r="B44" s="81"/>
      <c r="C44" s="83"/>
      <c r="D44" s="83"/>
      <c r="E44" s="83"/>
      <c r="F44" s="83"/>
      <c r="G44" s="91"/>
      <c r="H44" s="85"/>
      <c r="I44" s="90"/>
      <c r="J44" s="87"/>
      <c r="K44" s="88"/>
      <c r="L44" s="88"/>
    </row>
    <row r="45" ht="15.75" customHeight="1" spans="1:12">
      <c r="A45" s="82" t="s">
        <v>42</v>
      </c>
      <c r="B45" s="81"/>
      <c r="E45" s="83"/>
      <c r="F45" s="83"/>
      <c r="G45" s="91">
        <v>12</v>
      </c>
      <c r="H45" s="85" t="s">
        <v>39</v>
      </c>
      <c r="I45" s="86">
        <f>B46</f>
        <v>1.077</v>
      </c>
      <c r="J45" s="87" t="s">
        <v>40</v>
      </c>
      <c r="K45" s="88">
        <f>I45^(1/G45)</f>
        <v>1.0062</v>
      </c>
      <c r="L45" s="88"/>
    </row>
    <row r="46" ht="15.75" customHeight="1" spans="1:12">
      <c r="A46" s="82"/>
      <c r="B46" s="81">
        <f>Справка!F44</f>
        <v>1.077</v>
      </c>
      <c r="C46" s="89" t="s">
        <v>937</v>
      </c>
      <c r="D46" s="89"/>
      <c r="E46" s="83"/>
      <c r="F46" s="83"/>
      <c r="G46" s="91"/>
      <c r="H46" s="85"/>
      <c r="I46" s="90"/>
      <c r="J46" s="87"/>
      <c r="K46" s="88"/>
      <c r="L46" s="88"/>
    </row>
    <row r="47" ht="15.75" spans="1:12">
      <c r="A47" s="82"/>
      <c r="B47" s="80"/>
      <c r="C47" s="83"/>
      <c r="D47" s="83"/>
      <c r="E47" s="83"/>
      <c r="F47" s="83"/>
      <c r="G47" s="91"/>
      <c r="H47" s="85"/>
      <c r="I47" s="90"/>
      <c r="J47" s="87"/>
      <c r="K47" s="88"/>
      <c r="L47" s="88"/>
    </row>
    <row r="49" ht="15.75" customHeight="1" spans="1:18">
      <c r="A49" s="66" t="s">
        <v>938</v>
      </c>
      <c r="B49" s="92"/>
      <c r="C49" s="92"/>
      <c r="D49" s="93">
        <f>ROUND(F49/(F49+F50+F51),5)</f>
        <v>0</v>
      </c>
      <c r="E49" s="92"/>
      <c r="F49" s="92">
        <v>0</v>
      </c>
      <c r="G49" s="92" t="s">
        <v>939</v>
      </c>
      <c r="H49" s="92"/>
      <c r="I49" s="92"/>
      <c r="J49" s="92"/>
      <c r="K49" s="92"/>
      <c r="L49" s="92"/>
      <c r="M49" s="92"/>
      <c r="N49" s="92"/>
      <c r="O49" s="92"/>
    </row>
    <row r="50" ht="15.75" spans="1:18">
      <c r="A50" s="66" t="s">
        <v>940</v>
      </c>
      <c r="B50" s="94"/>
      <c r="C50" s="94"/>
      <c r="D50" s="93">
        <f>ROUND(F50/(F50+F51+F49),5)</f>
        <v>0.54545</v>
      </c>
      <c r="E50" s="94"/>
      <c r="F50" s="92">
        <v>12</v>
      </c>
      <c r="G50" s="92" t="s">
        <v>939</v>
      </c>
      <c r="H50" s="94"/>
      <c r="I50" s="94"/>
      <c r="J50" s="94"/>
      <c r="K50" s="94"/>
      <c r="L50" s="94"/>
      <c r="M50" s="94"/>
      <c r="N50" s="94"/>
      <c r="O50" s="94"/>
    </row>
    <row r="51" ht="15.75" spans="1:18">
      <c r="A51" s="66" t="s">
        <v>941</v>
      </c>
      <c r="B51" s="94"/>
      <c r="C51" s="94"/>
      <c r="D51" s="93">
        <f>ROUND(F51/(F51+F50+F49),5)</f>
        <v>0.45455</v>
      </c>
      <c r="E51" s="94"/>
      <c r="F51" s="92">
        <v>10</v>
      </c>
      <c r="G51" s="92" t="s">
        <v>939</v>
      </c>
      <c r="H51" s="94"/>
      <c r="I51" s="94"/>
      <c r="J51" s="94"/>
      <c r="K51" s="94"/>
      <c r="L51" s="94"/>
      <c r="M51" s="94"/>
      <c r="N51" s="94"/>
      <c r="O51" s="94"/>
    </row>
    <row r="52" ht="16.5" customHeight="1" spans="1:18">
      <c r="A52" s="82"/>
      <c r="B52" s="81"/>
      <c r="C52" s="83"/>
      <c r="D52" s="83"/>
      <c r="E52" s="83"/>
      <c r="F52" s="83"/>
      <c r="G52" s="91"/>
      <c r="H52" s="85"/>
      <c r="I52" s="87"/>
      <c r="J52" s="87"/>
      <c r="K52" s="95"/>
      <c r="L52" s="95"/>
    </row>
    <row r="53" ht="16.5" customHeight="1" spans="1:18">
      <c r="A53" s="76" t="s">
        <v>47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</row>
    <row r="54" ht="15.75" spans="1:18">
      <c r="A54" s="79"/>
      <c r="B54" s="79"/>
      <c r="C54" s="79"/>
      <c r="D54" s="79"/>
      <c r="E54" s="79"/>
      <c r="F54" s="79"/>
      <c r="G54" s="96"/>
      <c r="H54" s="96"/>
      <c r="I54" s="96"/>
      <c r="J54" s="96"/>
      <c r="K54" s="97"/>
      <c r="L54" s="98"/>
    </row>
    <row r="55" ht="18" spans="1:18">
      <c r="A55" s="96" t="s">
        <v>942</v>
      </c>
      <c r="B55" s="99" t="s">
        <v>943</v>
      </c>
      <c r="C55" s="100">
        <f>D64</f>
        <v>0</v>
      </c>
      <c r="D55" s="101" t="s">
        <v>944</v>
      </c>
      <c r="E55" s="102">
        <f>(C55-1)/2+1</f>
        <v>0.5</v>
      </c>
      <c r="F55" s="99"/>
      <c r="I55" s="3"/>
      <c r="J55" s="3"/>
      <c r="K55" s="103"/>
      <c r="L55" s="104"/>
      <c r="M55" s="105"/>
      <c r="N55" s="104"/>
      <c r="O55" s="3"/>
      <c r="P55" s="3"/>
      <c r="Q55" s="3"/>
      <c r="R55" s="3"/>
    </row>
    <row r="56" ht="15.75" spans="1:18">
      <c r="A56" s="106"/>
      <c r="B56" s="106"/>
      <c r="C56" s="106"/>
      <c r="D56" s="107"/>
      <c r="E56" s="107"/>
      <c r="F56" s="107"/>
      <c r="G56" s="108"/>
      <c r="H56" s="108"/>
      <c r="I56" s="108"/>
      <c r="J56" s="108"/>
      <c r="K56" s="97"/>
      <c r="L56" s="97"/>
      <c r="M56" s="105"/>
      <c r="N56" s="104"/>
      <c r="O56" s="3"/>
      <c r="P56" s="3"/>
      <c r="Q56" s="3"/>
      <c r="R56" s="3"/>
    </row>
    <row r="57" ht="18" spans="1:18">
      <c r="A57" s="96" t="s">
        <v>48</v>
      </c>
      <c r="B57" s="109" t="s">
        <v>945</v>
      </c>
      <c r="C57" s="109"/>
      <c r="D57" s="100">
        <f>D65</f>
        <v>0</v>
      </c>
      <c r="E57" s="100" t="s">
        <v>946</v>
      </c>
      <c r="F57" s="110">
        <f>D67</f>
        <v>1.0063</v>
      </c>
      <c r="G57" s="110" t="s">
        <v>54</v>
      </c>
      <c r="H57" s="110">
        <f>D68</f>
        <v>1.0783</v>
      </c>
      <c r="I57" s="110"/>
      <c r="J57" s="99" t="s">
        <v>947</v>
      </c>
      <c r="K57" s="111"/>
      <c r="L57" s="112">
        <f>ROUND(D57*(F57+H57)/2,4)</f>
        <v>0</v>
      </c>
      <c r="M57" s="113"/>
      <c r="N57" s="104"/>
      <c r="O57" s="3"/>
      <c r="P57" s="3"/>
      <c r="Q57" s="3"/>
      <c r="R57" s="3"/>
    </row>
    <row r="58" ht="15.75" spans="1:18">
      <c r="A58" s="96"/>
      <c r="B58" s="109"/>
      <c r="C58" s="114"/>
      <c r="D58" s="114"/>
      <c r="E58" s="99"/>
      <c r="F58" s="114"/>
      <c r="G58" s="99"/>
      <c r="H58" s="99"/>
      <c r="I58" s="99"/>
      <c r="J58" s="99"/>
      <c r="K58" s="111"/>
      <c r="L58" s="111"/>
      <c r="M58" s="105"/>
      <c r="N58" s="115"/>
      <c r="O58" s="3"/>
      <c r="P58" s="3"/>
      <c r="Q58" s="3"/>
      <c r="R58" s="3"/>
    </row>
    <row r="59" ht="18" spans="1:18">
      <c r="A59" s="96" t="s">
        <v>50</v>
      </c>
      <c r="B59" s="109" t="s">
        <v>948</v>
      </c>
      <c r="C59" s="109"/>
      <c r="D59" s="109"/>
      <c r="E59" s="100">
        <f>D65</f>
        <v>0</v>
      </c>
      <c r="F59" s="100" t="s">
        <v>53</v>
      </c>
      <c r="G59" s="100">
        <f>D68</f>
        <v>1.0783</v>
      </c>
      <c r="H59" s="100" t="s">
        <v>946</v>
      </c>
      <c r="I59" s="100">
        <f>D70</f>
        <v>1.0062</v>
      </c>
      <c r="J59" s="100"/>
      <c r="K59" s="100" t="s">
        <v>54</v>
      </c>
      <c r="L59" s="110">
        <f>D71</f>
        <v>1.0638</v>
      </c>
      <c r="M59" s="110" t="s">
        <v>947</v>
      </c>
      <c r="N59" s="112">
        <f>ROUND(E59*G59*(I59+L59)/2,4)</f>
        <v>0</v>
      </c>
      <c r="Q59" s="3"/>
      <c r="R59" s="3"/>
    </row>
    <row r="60" ht="15.75" spans="1:18">
      <c r="A60" s="79"/>
      <c r="B60" s="79"/>
      <c r="C60" s="79"/>
      <c r="D60" s="79"/>
      <c r="E60" s="79"/>
      <c r="F60" s="79"/>
      <c r="G60" s="96"/>
      <c r="H60" s="96"/>
      <c r="I60" s="96"/>
      <c r="J60" s="96"/>
      <c r="K60" s="97"/>
      <c r="L60" s="97"/>
      <c r="M60" s="3"/>
      <c r="N60" s="3"/>
      <c r="O60" s="3"/>
      <c r="P60" s="3"/>
      <c r="Q60" s="3"/>
      <c r="R60" s="3"/>
    </row>
    <row r="61" customHeight="1" spans="1:18">
      <c r="A61" s="96" t="s">
        <v>949</v>
      </c>
      <c r="B61" s="96"/>
      <c r="C61" s="96"/>
      <c r="D61" s="116" t="str">
        <f>CONCATENATE(D49,"*",E55,"+",D50,"*",L57,"+",D51,"*",N59," =",)</f>
        <v>0*0,5+0,54545*0+0,45455*0 =</v>
      </c>
      <c r="E61" s="116"/>
      <c r="F61" s="116"/>
      <c r="G61" s="116"/>
      <c r="H61" s="117">
        <f>D49*E55+D50*L57+D51*N59</f>
        <v>0</v>
      </c>
      <c r="I61" s="117"/>
      <c r="J61" s="117"/>
      <c r="K61" s="118"/>
      <c r="M61" s="119"/>
      <c r="O61" s="120"/>
      <c r="P61" s="121"/>
      <c r="Q61" s="120"/>
    </row>
    <row r="62" ht="32.25" customHeight="1" spans="1:18">
      <c r="A62" s="79"/>
      <c r="B62" s="79"/>
      <c r="C62" s="79"/>
      <c r="D62" s="79"/>
      <c r="E62" s="79"/>
      <c r="F62" s="79"/>
      <c r="G62" s="96"/>
      <c r="H62" s="96"/>
      <c r="I62" s="96"/>
      <c r="J62" s="96"/>
      <c r="K62" s="97"/>
      <c r="L62" s="97"/>
    </row>
    <row r="63" ht="20.25" customHeight="1" spans="1:18">
      <c r="A63" s="122" t="s">
        <v>56</v>
      </c>
      <c r="B63" s="89"/>
      <c r="C63" s="89"/>
      <c r="D63" s="89"/>
      <c r="E63" s="123" t="s">
        <v>950</v>
      </c>
      <c r="F63" s="123"/>
      <c r="G63" s="89" t="s">
        <v>58</v>
      </c>
      <c r="H63" s="81"/>
    </row>
    <row r="64" ht="15.75" spans="1:18">
      <c r="A64" s="124"/>
      <c r="B64" s="142">
        <v>2025</v>
      </c>
      <c r="C64" s="143">
        <f>K39</f>
        <v>0</v>
      </c>
      <c r="D64" s="144">
        <f>POWER(C64,E64)</f>
        <v>0</v>
      </c>
      <c r="E64" s="145">
        <v>5</v>
      </c>
      <c r="F64" s="146" t="s">
        <v>951</v>
      </c>
      <c r="G64" s="146"/>
      <c r="H64" s="94"/>
    </row>
    <row r="65" ht="15.75" spans="1:16">
      <c r="A65" s="124"/>
      <c r="B65" s="142"/>
      <c r="C65" s="143">
        <f>C64</f>
        <v>0</v>
      </c>
      <c r="D65" s="144">
        <f>POWER(C65,E65)</f>
        <v>0</v>
      </c>
      <c r="E65" s="145">
        <v>5</v>
      </c>
      <c r="F65" s="146" t="s">
        <v>952</v>
      </c>
      <c r="G65" s="146"/>
      <c r="H65" s="94"/>
    </row>
    <row r="66" ht="15.75" spans="1:16">
      <c r="A66" s="124"/>
      <c r="B66" s="142"/>
      <c r="C66" s="143"/>
      <c r="D66" s="144"/>
      <c r="E66" s="145"/>
      <c r="F66" s="146"/>
      <c r="G66" s="146"/>
      <c r="H66" s="94"/>
    </row>
    <row r="67" ht="15.75" spans="1:16">
      <c r="A67" s="124"/>
      <c r="B67" s="142">
        <v>2026</v>
      </c>
      <c r="C67" s="143">
        <f>K42</f>
        <v>1.0063</v>
      </c>
      <c r="D67" s="144">
        <f>POWER(C67,E67)</f>
        <v>1.0063</v>
      </c>
      <c r="E67" s="145">
        <v>1</v>
      </c>
      <c r="F67" s="147" t="s">
        <v>59</v>
      </c>
      <c r="G67" s="146"/>
      <c r="H67" s="94"/>
    </row>
    <row r="68" ht="15.75" spans="1:16">
      <c r="A68" s="124"/>
      <c r="B68" s="142"/>
      <c r="C68" s="143">
        <f>C67</f>
        <v>1.0063</v>
      </c>
      <c r="D68" s="144">
        <f>POWER(C68,E68)</f>
        <v>1.0783</v>
      </c>
      <c r="E68" s="148">
        <v>12</v>
      </c>
      <c r="F68" s="146" t="s">
        <v>953</v>
      </c>
      <c r="G68" s="149"/>
      <c r="H68" s="149"/>
    </row>
    <row r="69" ht="15.75" spans="1:16">
      <c r="A69" s="124"/>
      <c r="B69" s="142"/>
      <c r="C69" s="143"/>
      <c r="D69" s="144"/>
      <c r="E69" s="148"/>
      <c r="F69" s="146"/>
      <c r="G69" s="149"/>
      <c r="H69" s="149"/>
    </row>
    <row r="70" ht="15.75" spans="1:16">
      <c r="A70" s="124"/>
      <c r="B70" s="150">
        <v>2027</v>
      </c>
      <c r="C70" s="143">
        <f>K45</f>
        <v>1.0062</v>
      </c>
      <c r="D70" s="144">
        <f t="shared" ref="D70:D71" si="4">POWER(C70,E70)</f>
        <v>1.0062</v>
      </c>
      <c r="E70" s="151">
        <v>1</v>
      </c>
      <c r="F70" s="147" t="s">
        <v>61</v>
      </c>
      <c r="G70" s="149"/>
      <c r="H70" s="149"/>
    </row>
    <row r="71" ht="15.75" spans="1:16">
      <c r="B71" s="150"/>
      <c r="C71" s="143">
        <f>C70</f>
        <v>1.0062</v>
      </c>
      <c r="D71" s="144">
        <f t="shared" si="4"/>
        <v>1.0638</v>
      </c>
      <c r="E71" s="151">
        <v>10</v>
      </c>
      <c r="F71" s="146" t="s">
        <v>62</v>
      </c>
      <c r="G71" s="149"/>
      <c r="H71" s="149"/>
      <c r="I71" s="131"/>
      <c r="J71" s="131"/>
      <c r="K71" s="131"/>
      <c r="L71" s="131"/>
    </row>
    <row r="72" ht="15.75" spans="1:16">
      <c r="B72" s="119" t="s">
        <v>149</v>
      </c>
      <c r="C72" s="132" t="s">
        <v>954</v>
      </c>
      <c r="D72" s="132"/>
      <c r="E72" s="132"/>
      <c r="F72" s="132"/>
      <c r="G72" s="132"/>
      <c r="H72" s="132"/>
      <c r="I72" s="132"/>
      <c r="J72" s="132"/>
      <c r="K72" s="132"/>
      <c r="L72" s="133"/>
      <c r="M72" s="133"/>
      <c r="N72" s="134" t="s">
        <v>955</v>
      </c>
      <c r="O72" s="134"/>
      <c r="P72" s="135"/>
    </row>
    <row r="73" ht="15.75" spans="1:16">
      <c r="B73" s="119" t="s">
        <v>152</v>
      </c>
      <c r="C73" s="136" t="s">
        <v>153</v>
      </c>
      <c r="D73" s="136"/>
      <c r="E73" s="136"/>
      <c r="F73" s="136"/>
      <c r="G73" s="136"/>
      <c r="H73" s="136"/>
      <c r="I73" s="136"/>
      <c r="J73" s="136"/>
      <c r="K73" s="136"/>
      <c r="L73" s="137"/>
      <c r="M73" s="137"/>
      <c r="N73" s="134" t="s">
        <v>151</v>
      </c>
      <c r="O73" s="134"/>
      <c r="P73" s="135"/>
    </row>
    <row r="74" spans="1:16">
      <c r="B74" s="138" t="s">
        <v>155</v>
      </c>
      <c r="C74" s="139" t="s">
        <v>956</v>
      </c>
      <c r="D74" s="139"/>
      <c r="E74" s="139"/>
      <c r="F74" s="139"/>
      <c r="G74" s="139"/>
      <c r="H74" s="139"/>
      <c r="I74" s="139"/>
      <c r="J74" s="139"/>
      <c r="K74" s="139"/>
      <c r="L74" s="140"/>
      <c r="M74" s="140"/>
      <c r="N74" s="141" t="s">
        <v>157</v>
      </c>
      <c r="O74" s="141"/>
      <c r="P74" s="135"/>
    </row>
  </sheetData>
  <mergeCells count="64">
    <mergeCell ref="O1:Q1"/>
    <mergeCell ref="O2:Q2"/>
    <mergeCell ref="O3:Q3"/>
    <mergeCell ref="O4:Q4"/>
    <mergeCell ref="A6:Q6"/>
    <mergeCell ref="A7:Q7"/>
    <mergeCell ref="A9:Q9"/>
    <mergeCell ref="A10:Q10"/>
    <mergeCell ref="A11:Q11"/>
    <mergeCell ref="L13:N13"/>
    <mergeCell ref="O13:Q13"/>
    <mergeCell ref="D15:E15"/>
    <mergeCell ref="F15:G15"/>
    <mergeCell ref="H15:K15"/>
    <mergeCell ref="D16:E16"/>
    <mergeCell ref="F16:G16"/>
    <mergeCell ref="H16:K16"/>
    <mergeCell ref="D17:E17"/>
    <mergeCell ref="F17:G17"/>
    <mergeCell ref="H17:K17"/>
    <mergeCell ref="D18:E18"/>
    <mergeCell ref="F18:G18"/>
    <mergeCell ref="H18:K18"/>
    <mergeCell ref="A19:O19"/>
    <mergeCell ref="A53:L53"/>
    <mergeCell ref="B57:C57"/>
    <mergeCell ref="H57:I57"/>
    <mergeCell ref="B59:D59"/>
    <mergeCell ref="I59:J59"/>
    <mergeCell ref="A61:C61"/>
    <mergeCell ref="D61:G61"/>
    <mergeCell ref="H61:J61"/>
    <mergeCell ref="E63:F63"/>
    <mergeCell ref="C72:K72"/>
    <mergeCell ref="N72:O72"/>
    <mergeCell ref="C73:K73"/>
    <mergeCell ref="N73:O73"/>
    <mergeCell ref="C74:K74"/>
    <mergeCell ref="N74:O74"/>
    <mergeCell ref="A13:A14"/>
    <mergeCell ref="A39:A41"/>
    <mergeCell ref="A42:A44"/>
    <mergeCell ref="A45:A47"/>
    <mergeCell ref="B13:B14"/>
    <mergeCell ref="C13:C14"/>
    <mergeCell ref="G39:G41"/>
    <mergeCell ref="G42:G44"/>
    <mergeCell ref="G45:G47"/>
    <mergeCell ref="H39:H41"/>
    <mergeCell ref="H42:H44"/>
    <mergeCell ref="H45:H47"/>
    <mergeCell ref="I39:I41"/>
    <mergeCell ref="I42:I44"/>
    <mergeCell ref="I45:I47"/>
    <mergeCell ref="J39:J41"/>
    <mergeCell ref="J42:J44"/>
    <mergeCell ref="J45:J47"/>
    <mergeCell ref="K45:L47"/>
    <mergeCell ref="K39:L41"/>
    <mergeCell ref="K42:L44"/>
    <mergeCell ref="A36:L37"/>
    <mergeCell ref="D13:E14"/>
    <mergeCell ref="F13:G14"/>
    <mergeCell ref="H13:K14"/>
  </mergeCells>
  <pageMargins left="0.7" right="0.7" top="0.75" bottom="0.75" header="0.3" footer="0.3"/>
  <pageSetup paperSize="9" scale="64" fitToHeight="0" orientation="landscape"/>
  <headerFooter/>
  <rowBreaks count="1" manualBreakCount="1">
    <brk id="34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8"/>
  <sheetViews>
    <sheetView topLeftCell="A7" workbookViewId="0">
      <selection activeCell="D53" sqref="D53"/>
    </sheetView>
  </sheetViews>
  <sheetFormatPr defaultColWidth="9" defaultRowHeight="15"/>
  <cols>
    <col min="1" max="1" width="29.2857142857143" style="4" customWidth="1"/>
    <col min="2" max="2" width="22.7142857142857" style="4" customWidth="1"/>
    <col min="3" max="3" width="20.8571428571429" style="4" customWidth="1"/>
    <col min="4" max="4" width="12.5714285714286" style="4" customWidth="1"/>
    <col min="5" max="5" width="9.28571428571429" style="4" customWidth="1"/>
    <col min="6" max="6" width="10" style="4" customWidth="1"/>
    <col min="7" max="7" width="11" style="4" customWidth="1"/>
    <col min="8" max="11" width="5.42857142857143" style="4" customWidth="1"/>
    <col min="12" max="17" width="11.8571428571429" style="4" customWidth="1"/>
    <col min="18" max="18" width="25.2857142857143" style="4" customWidth="1"/>
    <col min="19" max="229" width="9.14285714285714" style="4"/>
    <col min="230" max="230" width="4.14285714285714" style="4" customWidth="1"/>
    <col min="231" max="231" width="27.8571428571429" style="4" customWidth="1"/>
    <col min="232" max="233" width="19.8571428571429" style="4" customWidth="1"/>
    <col min="234" max="234" width="14.2857142857143" style="4" customWidth="1"/>
    <col min="235" max="235" width="15.7142857142857" style="4" customWidth="1"/>
    <col min="236" max="236" width="14.2857142857143" style="4" customWidth="1"/>
    <col min="237" max="237" width="16.1428571428571" style="4" customWidth="1"/>
    <col min="238" max="238" width="14.2857142857143" style="4" customWidth="1"/>
    <col min="239" max="239" width="16.1428571428571" style="4" customWidth="1"/>
    <col min="240" max="240" width="15.1428571428571" style="4" customWidth="1"/>
    <col min="241" max="241" width="19.1428571428571" style="4" customWidth="1"/>
    <col min="242" max="242" width="15.7142857142857" style="4" customWidth="1"/>
    <col min="243" max="244" width="19.1428571428571" style="4" customWidth="1"/>
    <col min="245" max="245" width="16.8571428571429" style="4" customWidth="1"/>
    <col min="246" max="485" width="9.14285714285714" style="4"/>
    <col min="486" max="486" width="4.14285714285714" style="4" customWidth="1"/>
    <col min="487" max="487" width="27.8571428571429" style="4" customWidth="1"/>
    <col min="488" max="489" width="19.8571428571429" style="4" customWidth="1"/>
    <col min="490" max="490" width="14.2857142857143" style="4" customWidth="1"/>
    <col min="491" max="491" width="15.7142857142857" style="4" customWidth="1"/>
    <col min="492" max="492" width="14.2857142857143" style="4" customWidth="1"/>
    <col min="493" max="493" width="16.1428571428571" style="4" customWidth="1"/>
    <col min="494" max="494" width="14.2857142857143" style="4" customWidth="1"/>
    <col min="495" max="495" width="16.1428571428571" style="4" customWidth="1"/>
    <col min="496" max="496" width="15.1428571428571" style="4" customWidth="1"/>
    <col min="497" max="497" width="19.1428571428571" style="4" customWidth="1"/>
    <col min="498" max="498" width="15.7142857142857" style="4" customWidth="1"/>
    <col min="499" max="500" width="19.1428571428571" style="4" customWidth="1"/>
    <col min="501" max="501" width="16.8571428571429" style="4" customWidth="1"/>
    <col min="502" max="741" width="9.14285714285714" style="4"/>
    <col min="742" max="742" width="4.14285714285714" style="4" customWidth="1"/>
    <col min="743" max="743" width="27.8571428571429" style="4" customWidth="1"/>
    <col min="744" max="745" width="19.8571428571429" style="4" customWidth="1"/>
    <col min="746" max="746" width="14.2857142857143" style="4" customWidth="1"/>
    <col min="747" max="747" width="15.7142857142857" style="4" customWidth="1"/>
    <col min="748" max="748" width="14.2857142857143" style="4" customWidth="1"/>
    <col min="749" max="749" width="16.1428571428571" style="4" customWidth="1"/>
    <col min="750" max="750" width="14.2857142857143" style="4" customWidth="1"/>
    <col min="751" max="751" width="16.1428571428571" style="4" customWidth="1"/>
    <col min="752" max="752" width="15.1428571428571" style="4" customWidth="1"/>
    <col min="753" max="753" width="19.1428571428571" style="4" customWidth="1"/>
    <col min="754" max="754" width="15.7142857142857" style="4" customWidth="1"/>
    <col min="755" max="756" width="19.1428571428571" style="4" customWidth="1"/>
    <col min="757" max="757" width="16.8571428571429" style="4" customWidth="1"/>
    <col min="758" max="997" width="9.14285714285714" style="4"/>
    <col min="998" max="998" width="4.14285714285714" style="4" customWidth="1"/>
    <col min="999" max="999" width="27.8571428571429" style="4" customWidth="1"/>
    <col min="1000" max="1001" width="19.8571428571429" style="4" customWidth="1"/>
    <col min="1002" max="1002" width="14.2857142857143" style="4" customWidth="1"/>
    <col min="1003" max="1003" width="15.7142857142857" style="4" customWidth="1"/>
    <col min="1004" max="1004" width="14.2857142857143" style="4" customWidth="1"/>
    <col min="1005" max="1005" width="16.1428571428571" style="4" customWidth="1"/>
    <col min="1006" max="1006" width="14.2857142857143" style="4" customWidth="1"/>
    <col min="1007" max="1007" width="16.1428571428571" style="4" customWidth="1"/>
    <col min="1008" max="1008" width="15.1428571428571" style="4" customWidth="1"/>
    <col min="1009" max="1009" width="19.1428571428571" style="4" customWidth="1"/>
    <col min="1010" max="1010" width="15.7142857142857" style="4" customWidth="1"/>
    <col min="1011" max="1012" width="19.1428571428571" style="4" customWidth="1"/>
    <col min="1013" max="1013" width="16.8571428571429" style="4" customWidth="1"/>
    <col min="1014" max="1253" width="9.14285714285714" style="4"/>
    <col min="1254" max="1254" width="4.14285714285714" style="4" customWidth="1"/>
    <col min="1255" max="1255" width="27.8571428571429" style="4" customWidth="1"/>
    <col min="1256" max="1257" width="19.8571428571429" style="4" customWidth="1"/>
    <col min="1258" max="1258" width="14.2857142857143" style="4" customWidth="1"/>
    <col min="1259" max="1259" width="15.7142857142857" style="4" customWidth="1"/>
    <col min="1260" max="1260" width="14.2857142857143" style="4" customWidth="1"/>
    <col min="1261" max="1261" width="16.1428571428571" style="4" customWidth="1"/>
    <col min="1262" max="1262" width="14.2857142857143" style="4" customWidth="1"/>
    <col min="1263" max="1263" width="16.1428571428571" style="4" customWidth="1"/>
    <col min="1264" max="1264" width="15.1428571428571" style="4" customWidth="1"/>
    <col min="1265" max="1265" width="19.1428571428571" style="4" customWidth="1"/>
    <col min="1266" max="1266" width="15.7142857142857" style="4" customWidth="1"/>
    <col min="1267" max="1268" width="19.1428571428571" style="4" customWidth="1"/>
    <col min="1269" max="1269" width="16.8571428571429" style="4" customWidth="1"/>
    <col min="1270" max="1509" width="9.14285714285714" style="4"/>
    <col min="1510" max="1510" width="4.14285714285714" style="4" customWidth="1"/>
    <col min="1511" max="1511" width="27.8571428571429" style="4" customWidth="1"/>
    <col min="1512" max="1513" width="19.8571428571429" style="4" customWidth="1"/>
    <col min="1514" max="1514" width="14.2857142857143" style="4" customWidth="1"/>
    <col min="1515" max="1515" width="15.7142857142857" style="4" customWidth="1"/>
    <col min="1516" max="1516" width="14.2857142857143" style="4" customWidth="1"/>
    <col min="1517" max="1517" width="16.1428571428571" style="4" customWidth="1"/>
    <col min="1518" max="1518" width="14.2857142857143" style="4" customWidth="1"/>
    <col min="1519" max="1519" width="16.1428571428571" style="4" customWidth="1"/>
    <col min="1520" max="1520" width="15.1428571428571" style="4" customWidth="1"/>
    <col min="1521" max="1521" width="19.1428571428571" style="4" customWidth="1"/>
    <col min="1522" max="1522" width="15.7142857142857" style="4" customWidth="1"/>
    <col min="1523" max="1524" width="19.1428571428571" style="4" customWidth="1"/>
    <col min="1525" max="1525" width="16.8571428571429" style="4" customWidth="1"/>
    <col min="1526" max="1765" width="9.14285714285714" style="4"/>
    <col min="1766" max="1766" width="4.14285714285714" style="4" customWidth="1"/>
    <col min="1767" max="1767" width="27.8571428571429" style="4" customWidth="1"/>
    <col min="1768" max="1769" width="19.8571428571429" style="4" customWidth="1"/>
    <col min="1770" max="1770" width="14.2857142857143" style="4" customWidth="1"/>
    <col min="1771" max="1771" width="15.7142857142857" style="4" customWidth="1"/>
    <col min="1772" max="1772" width="14.2857142857143" style="4" customWidth="1"/>
    <col min="1773" max="1773" width="16.1428571428571" style="4" customWidth="1"/>
    <col min="1774" max="1774" width="14.2857142857143" style="4" customWidth="1"/>
    <col min="1775" max="1775" width="16.1428571428571" style="4" customWidth="1"/>
    <col min="1776" max="1776" width="15.1428571428571" style="4" customWidth="1"/>
    <col min="1777" max="1777" width="19.1428571428571" style="4" customWidth="1"/>
    <col min="1778" max="1778" width="15.7142857142857" style="4" customWidth="1"/>
    <col min="1779" max="1780" width="19.1428571428571" style="4" customWidth="1"/>
    <col min="1781" max="1781" width="16.8571428571429" style="4" customWidth="1"/>
    <col min="1782" max="2021" width="9.14285714285714" style="4"/>
    <col min="2022" max="2022" width="4.14285714285714" style="4" customWidth="1"/>
    <col min="2023" max="2023" width="27.8571428571429" style="4" customWidth="1"/>
    <col min="2024" max="2025" width="19.8571428571429" style="4" customWidth="1"/>
    <col min="2026" max="2026" width="14.2857142857143" style="4" customWidth="1"/>
    <col min="2027" max="2027" width="15.7142857142857" style="4" customWidth="1"/>
    <col min="2028" max="2028" width="14.2857142857143" style="4" customWidth="1"/>
    <col min="2029" max="2029" width="16.1428571428571" style="4" customWidth="1"/>
    <col min="2030" max="2030" width="14.2857142857143" style="4" customWidth="1"/>
    <col min="2031" max="2031" width="16.1428571428571" style="4" customWidth="1"/>
    <col min="2032" max="2032" width="15.1428571428571" style="4" customWidth="1"/>
    <col min="2033" max="2033" width="19.1428571428571" style="4" customWidth="1"/>
    <col min="2034" max="2034" width="15.7142857142857" style="4" customWidth="1"/>
    <col min="2035" max="2036" width="19.1428571428571" style="4" customWidth="1"/>
    <col min="2037" max="2037" width="16.8571428571429" style="4" customWidth="1"/>
    <col min="2038" max="2277" width="9.14285714285714" style="4"/>
    <col min="2278" max="2278" width="4.14285714285714" style="4" customWidth="1"/>
    <col min="2279" max="2279" width="27.8571428571429" style="4" customWidth="1"/>
    <col min="2280" max="2281" width="19.8571428571429" style="4" customWidth="1"/>
    <col min="2282" max="2282" width="14.2857142857143" style="4" customWidth="1"/>
    <col min="2283" max="2283" width="15.7142857142857" style="4" customWidth="1"/>
    <col min="2284" max="2284" width="14.2857142857143" style="4" customWidth="1"/>
    <col min="2285" max="2285" width="16.1428571428571" style="4" customWidth="1"/>
    <col min="2286" max="2286" width="14.2857142857143" style="4" customWidth="1"/>
    <col min="2287" max="2287" width="16.1428571428571" style="4" customWidth="1"/>
    <col min="2288" max="2288" width="15.1428571428571" style="4" customWidth="1"/>
    <col min="2289" max="2289" width="19.1428571428571" style="4" customWidth="1"/>
    <col min="2290" max="2290" width="15.7142857142857" style="4" customWidth="1"/>
    <col min="2291" max="2292" width="19.1428571428571" style="4" customWidth="1"/>
    <col min="2293" max="2293" width="16.8571428571429" style="4" customWidth="1"/>
    <col min="2294" max="2533" width="9.14285714285714" style="4"/>
    <col min="2534" max="2534" width="4.14285714285714" style="4" customWidth="1"/>
    <col min="2535" max="2535" width="27.8571428571429" style="4" customWidth="1"/>
    <col min="2536" max="2537" width="19.8571428571429" style="4" customWidth="1"/>
    <col min="2538" max="2538" width="14.2857142857143" style="4" customWidth="1"/>
    <col min="2539" max="2539" width="15.7142857142857" style="4" customWidth="1"/>
    <col min="2540" max="2540" width="14.2857142857143" style="4" customWidth="1"/>
    <col min="2541" max="2541" width="16.1428571428571" style="4" customWidth="1"/>
    <col min="2542" max="2542" width="14.2857142857143" style="4" customWidth="1"/>
    <col min="2543" max="2543" width="16.1428571428571" style="4" customWidth="1"/>
    <col min="2544" max="2544" width="15.1428571428571" style="4" customWidth="1"/>
    <col min="2545" max="2545" width="19.1428571428571" style="4" customWidth="1"/>
    <col min="2546" max="2546" width="15.7142857142857" style="4" customWidth="1"/>
    <col min="2547" max="2548" width="19.1428571428571" style="4" customWidth="1"/>
    <col min="2549" max="2549" width="16.8571428571429" style="4" customWidth="1"/>
    <col min="2550" max="2789" width="9.14285714285714" style="4"/>
    <col min="2790" max="2790" width="4.14285714285714" style="4" customWidth="1"/>
    <col min="2791" max="2791" width="27.8571428571429" style="4" customWidth="1"/>
    <col min="2792" max="2793" width="19.8571428571429" style="4" customWidth="1"/>
    <col min="2794" max="2794" width="14.2857142857143" style="4" customWidth="1"/>
    <col min="2795" max="2795" width="15.7142857142857" style="4" customWidth="1"/>
    <col min="2796" max="2796" width="14.2857142857143" style="4" customWidth="1"/>
    <col min="2797" max="2797" width="16.1428571428571" style="4" customWidth="1"/>
    <col min="2798" max="2798" width="14.2857142857143" style="4" customWidth="1"/>
    <col min="2799" max="2799" width="16.1428571428571" style="4" customWidth="1"/>
    <col min="2800" max="2800" width="15.1428571428571" style="4" customWidth="1"/>
    <col min="2801" max="2801" width="19.1428571428571" style="4" customWidth="1"/>
    <col min="2802" max="2802" width="15.7142857142857" style="4" customWidth="1"/>
    <col min="2803" max="2804" width="19.1428571428571" style="4" customWidth="1"/>
    <col min="2805" max="2805" width="16.8571428571429" style="4" customWidth="1"/>
    <col min="2806" max="3045" width="9.14285714285714" style="4"/>
    <col min="3046" max="3046" width="4.14285714285714" style="4" customWidth="1"/>
    <col min="3047" max="3047" width="27.8571428571429" style="4" customWidth="1"/>
    <col min="3048" max="3049" width="19.8571428571429" style="4" customWidth="1"/>
    <col min="3050" max="3050" width="14.2857142857143" style="4" customWidth="1"/>
    <col min="3051" max="3051" width="15.7142857142857" style="4" customWidth="1"/>
    <col min="3052" max="3052" width="14.2857142857143" style="4" customWidth="1"/>
    <col min="3053" max="3053" width="16.1428571428571" style="4" customWidth="1"/>
    <col min="3054" max="3054" width="14.2857142857143" style="4" customWidth="1"/>
    <col min="3055" max="3055" width="16.1428571428571" style="4" customWidth="1"/>
    <col min="3056" max="3056" width="15.1428571428571" style="4" customWidth="1"/>
    <col min="3057" max="3057" width="19.1428571428571" style="4" customWidth="1"/>
    <col min="3058" max="3058" width="15.7142857142857" style="4" customWidth="1"/>
    <col min="3059" max="3060" width="19.1428571428571" style="4" customWidth="1"/>
    <col min="3061" max="3061" width="16.8571428571429" style="4" customWidth="1"/>
    <col min="3062" max="3301" width="9.14285714285714" style="4"/>
    <col min="3302" max="3302" width="4.14285714285714" style="4" customWidth="1"/>
    <col min="3303" max="3303" width="27.8571428571429" style="4" customWidth="1"/>
    <col min="3304" max="3305" width="19.8571428571429" style="4" customWidth="1"/>
    <col min="3306" max="3306" width="14.2857142857143" style="4" customWidth="1"/>
    <col min="3307" max="3307" width="15.7142857142857" style="4" customWidth="1"/>
    <col min="3308" max="3308" width="14.2857142857143" style="4" customWidth="1"/>
    <col min="3309" max="3309" width="16.1428571428571" style="4" customWidth="1"/>
    <col min="3310" max="3310" width="14.2857142857143" style="4" customWidth="1"/>
    <col min="3311" max="3311" width="16.1428571428571" style="4" customWidth="1"/>
    <col min="3312" max="3312" width="15.1428571428571" style="4" customWidth="1"/>
    <col min="3313" max="3313" width="19.1428571428571" style="4" customWidth="1"/>
    <col min="3314" max="3314" width="15.7142857142857" style="4" customWidth="1"/>
    <col min="3315" max="3316" width="19.1428571428571" style="4" customWidth="1"/>
    <col min="3317" max="3317" width="16.8571428571429" style="4" customWidth="1"/>
    <col min="3318" max="3557" width="9.14285714285714" style="4"/>
    <col min="3558" max="3558" width="4.14285714285714" style="4" customWidth="1"/>
    <col min="3559" max="3559" width="27.8571428571429" style="4" customWidth="1"/>
    <col min="3560" max="3561" width="19.8571428571429" style="4" customWidth="1"/>
    <col min="3562" max="3562" width="14.2857142857143" style="4" customWidth="1"/>
    <col min="3563" max="3563" width="15.7142857142857" style="4" customWidth="1"/>
    <col min="3564" max="3564" width="14.2857142857143" style="4" customWidth="1"/>
    <col min="3565" max="3565" width="16.1428571428571" style="4" customWidth="1"/>
    <col min="3566" max="3566" width="14.2857142857143" style="4" customWidth="1"/>
    <col min="3567" max="3567" width="16.1428571428571" style="4" customWidth="1"/>
    <col min="3568" max="3568" width="15.1428571428571" style="4" customWidth="1"/>
    <col min="3569" max="3569" width="19.1428571428571" style="4" customWidth="1"/>
    <col min="3570" max="3570" width="15.7142857142857" style="4" customWidth="1"/>
    <col min="3571" max="3572" width="19.1428571428571" style="4" customWidth="1"/>
    <col min="3573" max="3573" width="16.8571428571429" style="4" customWidth="1"/>
    <col min="3574" max="3813" width="9.14285714285714" style="4"/>
    <col min="3814" max="3814" width="4.14285714285714" style="4" customWidth="1"/>
    <col min="3815" max="3815" width="27.8571428571429" style="4" customWidth="1"/>
    <col min="3816" max="3817" width="19.8571428571429" style="4" customWidth="1"/>
    <col min="3818" max="3818" width="14.2857142857143" style="4" customWidth="1"/>
    <col min="3819" max="3819" width="15.7142857142857" style="4" customWidth="1"/>
    <col min="3820" max="3820" width="14.2857142857143" style="4" customWidth="1"/>
    <col min="3821" max="3821" width="16.1428571428571" style="4" customWidth="1"/>
    <col min="3822" max="3822" width="14.2857142857143" style="4" customWidth="1"/>
    <col min="3823" max="3823" width="16.1428571428571" style="4" customWidth="1"/>
    <col min="3824" max="3824" width="15.1428571428571" style="4" customWidth="1"/>
    <col min="3825" max="3825" width="19.1428571428571" style="4" customWidth="1"/>
    <col min="3826" max="3826" width="15.7142857142857" style="4" customWidth="1"/>
    <col min="3827" max="3828" width="19.1428571428571" style="4" customWidth="1"/>
    <col min="3829" max="3829" width="16.8571428571429" style="4" customWidth="1"/>
    <col min="3830" max="4069" width="9.14285714285714" style="4"/>
    <col min="4070" max="4070" width="4.14285714285714" style="4" customWidth="1"/>
    <col min="4071" max="4071" width="27.8571428571429" style="4" customWidth="1"/>
    <col min="4072" max="4073" width="19.8571428571429" style="4" customWidth="1"/>
    <col min="4074" max="4074" width="14.2857142857143" style="4" customWidth="1"/>
    <col min="4075" max="4075" width="15.7142857142857" style="4" customWidth="1"/>
    <col min="4076" max="4076" width="14.2857142857143" style="4" customWidth="1"/>
    <col min="4077" max="4077" width="16.1428571428571" style="4" customWidth="1"/>
    <col min="4078" max="4078" width="14.2857142857143" style="4" customWidth="1"/>
    <col min="4079" max="4079" width="16.1428571428571" style="4" customWidth="1"/>
    <col min="4080" max="4080" width="15.1428571428571" style="4" customWidth="1"/>
    <col min="4081" max="4081" width="19.1428571428571" style="4" customWidth="1"/>
    <col min="4082" max="4082" width="15.7142857142857" style="4" customWidth="1"/>
    <col min="4083" max="4084" width="19.1428571428571" style="4" customWidth="1"/>
    <col min="4085" max="4085" width="16.8571428571429" style="4" customWidth="1"/>
    <col min="4086" max="4325" width="9.14285714285714" style="4"/>
    <col min="4326" max="4326" width="4.14285714285714" style="4" customWidth="1"/>
    <col min="4327" max="4327" width="27.8571428571429" style="4" customWidth="1"/>
    <col min="4328" max="4329" width="19.8571428571429" style="4" customWidth="1"/>
    <col min="4330" max="4330" width="14.2857142857143" style="4" customWidth="1"/>
    <col min="4331" max="4331" width="15.7142857142857" style="4" customWidth="1"/>
    <col min="4332" max="4332" width="14.2857142857143" style="4" customWidth="1"/>
    <col min="4333" max="4333" width="16.1428571428571" style="4" customWidth="1"/>
    <col min="4334" max="4334" width="14.2857142857143" style="4" customWidth="1"/>
    <col min="4335" max="4335" width="16.1428571428571" style="4" customWidth="1"/>
    <col min="4336" max="4336" width="15.1428571428571" style="4" customWidth="1"/>
    <col min="4337" max="4337" width="19.1428571428571" style="4" customWidth="1"/>
    <col min="4338" max="4338" width="15.7142857142857" style="4" customWidth="1"/>
    <col min="4339" max="4340" width="19.1428571428571" style="4" customWidth="1"/>
    <col min="4341" max="4341" width="16.8571428571429" style="4" customWidth="1"/>
    <col min="4342" max="4581" width="9.14285714285714" style="4"/>
    <col min="4582" max="4582" width="4.14285714285714" style="4" customWidth="1"/>
    <col min="4583" max="4583" width="27.8571428571429" style="4" customWidth="1"/>
    <col min="4584" max="4585" width="19.8571428571429" style="4" customWidth="1"/>
    <col min="4586" max="4586" width="14.2857142857143" style="4" customWidth="1"/>
    <col min="4587" max="4587" width="15.7142857142857" style="4" customWidth="1"/>
    <col min="4588" max="4588" width="14.2857142857143" style="4" customWidth="1"/>
    <col min="4589" max="4589" width="16.1428571428571" style="4" customWidth="1"/>
    <col min="4590" max="4590" width="14.2857142857143" style="4" customWidth="1"/>
    <col min="4591" max="4591" width="16.1428571428571" style="4" customWidth="1"/>
    <col min="4592" max="4592" width="15.1428571428571" style="4" customWidth="1"/>
    <col min="4593" max="4593" width="19.1428571428571" style="4" customWidth="1"/>
    <col min="4594" max="4594" width="15.7142857142857" style="4" customWidth="1"/>
    <col min="4595" max="4596" width="19.1428571428571" style="4" customWidth="1"/>
    <col min="4597" max="4597" width="16.8571428571429" style="4" customWidth="1"/>
    <col min="4598" max="4837" width="9.14285714285714" style="4"/>
    <col min="4838" max="4838" width="4.14285714285714" style="4" customWidth="1"/>
    <col min="4839" max="4839" width="27.8571428571429" style="4" customWidth="1"/>
    <col min="4840" max="4841" width="19.8571428571429" style="4" customWidth="1"/>
    <col min="4842" max="4842" width="14.2857142857143" style="4" customWidth="1"/>
    <col min="4843" max="4843" width="15.7142857142857" style="4" customWidth="1"/>
    <col min="4844" max="4844" width="14.2857142857143" style="4" customWidth="1"/>
    <col min="4845" max="4845" width="16.1428571428571" style="4" customWidth="1"/>
    <col min="4846" max="4846" width="14.2857142857143" style="4" customWidth="1"/>
    <col min="4847" max="4847" width="16.1428571428571" style="4" customWidth="1"/>
    <col min="4848" max="4848" width="15.1428571428571" style="4" customWidth="1"/>
    <col min="4849" max="4849" width="19.1428571428571" style="4" customWidth="1"/>
    <col min="4850" max="4850" width="15.7142857142857" style="4" customWidth="1"/>
    <col min="4851" max="4852" width="19.1428571428571" style="4" customWidth="1"/>
    <col min="4853" max="4853" width="16.8571428571429" style="4" customWidth="1"/>
    <col min="4854" max="5093" width="9.14285714285714" style="4"/>
    <col min="5094" max="5094" width="4.14285714285714" style="4" customWidth="1"/>
    <col min="5095" max="5095" width="27.8571428571429" style="4" customWidth="1"/>
    <col min="5096" max="5097" width="19.8571428571429" style="4" customWidth="1"/>
    <col min="5098" max="5098" width="14.2857142857143" style="4" customWidth="1"/>
    <col min="5099" max="5099" width="15.7142857142857" style="4" customWidth="1"/>
    <col min="5100" max="5100" width="14.2857142857143" style="4" customWidth="1"/>
    <col min="5101" max="5101" width="16.1428571428571" style="4" customWidth="1"/>
    <col min="5102" max="5102" width="14.2857142857143" style="4" customWidth="1"/>
    <col min="5103" max="5103" width="16.1428571428571" style="4" customWidth="1"/>
    <col min="5104" max="5104" width="15.1428571428571" style="4" customWidth="1"/>
    <col min="5105" max="5105" width="19.1428571428571" style="4" customWidth="1"/>
    <col min="5106" max="5106" width="15.7142857142857" style="4" customWidth="1"/>
    <col min="5107" max="5108" width="19.1428571428571" style="4" customWidth="1"/>
    <col min="5109" max="5109" width="16.8571428571429" style="4" customWidth="1"/>
    <col min="5110" max="5349" width="9.14285714285714" style="4"/>
    <col min="5350" max="5350" width="4.14285714285714" style="4" customWidth="1"/>
    <col min="5351" max="5351" width="27.8571428571429" style="4" customWidth="1"/>
    <col min="5352" max="5353" width="19.8571428571429" style="4" customWidth="1"/>
    <col min="5354" max="5354" width="14.2857142857143" style="4" customWidth="1"/>
    <col min="5355" max="5355" width="15.7142857142857" style="4" customWidth="1"/>
    <col min="5356" max="5356" width="14.2857142857143" style="4" customWidth="1"/>
    <col min="5357" max="5357" width="16.1428571428571" style="4" customWidth="1"/>
    <col min="5358" max="5358" width="14.2857142857143" style="4" customWidth="1"/>
    <col min="5359" max="5359" width="16.1428571428571" style="4" customWidth="1"/>
    <col min="5360" max="5360" width="15.1428571428571" style="4" customWidth="1"/>
    <col min="5361" max="5361" width="19.1428571428571" style="4" customWidth="1"/>
    <col min="5362" max="5362" width="15.7142857142857" style="4" customWidth="1"/>
    <col min="5363" max="5364" width="19.1428571428571" style="4" customWidth="1"/>
    <col min="5365" max="5365" width="16.8571428571429" style="4" customWidth="1"/>
    <col min="5366" max="5605" width="9.14285714285714" style="4"/>
    <col min="5606" max="5606" width="4.14285714285714" style="4" customWidth="1"/>
    <col min="5607" max="5607" width="27.8571428571429" style="4" customWidth="1"/>
    <col min="5608" max="5609" width="19.8571428571429" style="4" customWidth="1"/>
    <col min="5610" max="5610" width="14.2857142857143" style="4" customWidth="1"/>
    <col min="5611" max="5611" width="15.7142857142857" style="4" customWidth="1"/>
    <col min="5612" max="5612" width="14.2857142857143" style="4" customWidth="1"/>
    <col min="5613" max="5613" width="16.1428571428571" style="4" customWidth="1"/>
    <col min="5614" max="5614" width="14.2857142857143" style="4" customWidth="1"/>
    <col min="5615" max="5615" width="16.1428571428571" style="4" customWidth="1"/>
    <col min="5616" max="5616" width="15.1428571428571" style="4" customWidth="1"/>
    <col min="5617" max="5617" width="19.1428571428571" style="4" customWidth="1"/>
    <col min="5618" max="5618" width="15.7142857142857" style="4" customWidth="1"/>
    <col min="5619" max="5620" width="19.1428571428571" style="4" customWidth="1"/>
    <col min="5621" max="5621" width="16.8571428571429" style="4" customWidth="1"/>
    <col min="5622" max="5861" width="9.14285714285714" style="4"/>
    <col min="5862" max="5862" width="4.14285714285714" style="4" customWidth="1"/>
    <col min="5863" max="5863" width="27.8571428571429" style="4" customWidth="1"/>
    <col min="5864" max="5865" width="19.8571428571429" style="4" customWidth="1"/>
    <col min="5866" max="5866" width="14.2857142857143" style="4" customWidth="1"/>
    <col min="5867" max="5867" width="15.7142857142857" style="4" customWidth="1"/>
    <col min="5868" max="5868" width="14.2857142857143" style="4" customWidth="1"/>
    <col min="5869" max="5869" width="16.1428571428571" style="4" customWidth="1"/>
    <col min="5870" max="5870" width="14.2857142857143" style="4" customWidth="1"/>
    <col min="5871" max="5871" width="16.1428571428571" style="4" customWidth="1"/>
    <col min="5872" max="5872" width="15.1428571428571" style="4" customWidth="1"/>
    <col min="5873" max="5873" width="19.1428571428571" style="4" customWidth="1"/>
    <col min="5874" max="5874" width="15.7142857142857" style="4" customWidth="1"/>
    <col min="5875" max="5876" width="19.1428571428571" style="4" customWidth="1"/>
    <col min="5877" max="5877" width="16.8571428571429" style="4" customWidth="1"/>
    <col min="5878" max="6117" width="9.14285714285714" style="4"/>
    <col min="6118" max="6118" width="4.14285714285714" style="4" customWidth="1"/>
    <col min="6119" max="6119" width="27.8571428571429" style="4" customWidth="1"/>
    <col min="6120" max="6121" width="19.8571428571429" style="4" customWidth="1"/>
    <col min="6122" max="6122" width="14.2857142857143" style="4" customWidth="1"/>
    <col min="6123" max="6123" width="15.7142857142857" style="4" customWidth="1"/>
    <col min="6124" max="6124" width="14.2857142857143" style="4" customWidth="1"/>
    <col min="6125" max="6125" width="16.1428571428571" style="4" customWidth="1"/>
    <col min="6126" max="6126" width="14.2857142857143" style="4" customWidth="1"/>
    <col min="6127" max="6127" width="16.1428571428571" style="4" customWidth="1"/>
    <col min="6128" max="6128" width="15.1428571428571" style="4" customWidth="1"/>
    <col min="6129" max="6129" width="19.1428571428571" style="4" customWidth="1"/>
    <col min="6130" max="6130" width="15.7142857142857" style="4" customWidth="1"/>
    <col min="6131" max="6132" width="19.1428571428571" style="4" customWidth="1"/>
    <col min="6133" max="6133" width="16.8571428571429" style="4" customWidth="1"/>
    <col min="6134" max="6373" width="9.14285714285714" style="4"/>
    <col min="6374" max="6374" width="4.14285714285714" style="4" customWidth="1"/>
    <col min="6375" max="6375" width="27.8571428571429" style="4" customWidth="1"/>
    <col min="6376" max="6377" width="19.8571428571429" style="4" customWidth="1"/>
    <col min="6378" max="6378" width="14.2857142857143" style="4" customWidth="1"/>
    <col min="6379" max="6379" width="15.7142857142857" style="4" customWidth="1"/>
    <col min="6380" max="6380" width="14.2857142857143" style="4" customWidth="1"/>
    <col min="6381" max="6381" width="16.1428571428571" style="4" customWidth="1"/>
    <col min="6382" max="6382" width="14.2857142857143" style="4" customWidth="1"/>
    <col min="6383" max="6383" width="16.1428571428571" style="4" customWidth="1"/>
    <col min="6384" max="6384" width="15.1428571428571" style="4" customWidth="1"/>
    <col min="6385" max="6385" width="19.1428571428571" style="4" customWidth="1"/>
    <col min="6386" max="6386" width="15.7142857142857" style="4" customWidth="1"/>
    <col min="6387" max="6388" width="19.1428571428571" style="4" customWidth="1"/>
    <col min="6389" max="6389" width="16.8571428571429" style="4" customWidth="1"/>
    <col min="6390" max="6629" width="9.14285714285714" style="4"/>
    <col min="6630" max="6630" width="4.14285714285714" style="4" customWidth="1"/>
    <col min="6631" max="6631" width="27.8571428571429" style="4" customWidth="1"/>
    <col min="6632" max="6633" width="19.8571428571429" style="4" customWidth="1"/>
    <col min="6634" max="6634" width="14.2857142857143" style="4" customWidth="1"/>
    <col min="6635" max="6635" width="15.7142857142857" style="4" customWidth="1"/>
    <col min="6636" max="6636" width="14.2857142857143" style="4" customWidth="1"/>
    <col min="6637" max="6637" width="16.1428571428571" style="4" customWidth="1"/>
    <col min="6638" max="6638" width="14.2857142857143" style="4" customWidth="1"/>
    <col min="6639" max="6639" width="16.1428571428571" style="4" customWidth="1"/>
    <col min="6640" max="6640" width="15.1428571428571" style="4" customWidth="1"/>
    <col min="6641" max="6641" width="19.1428571428571" style="4" customWidth="1"/>
    <col min="6642" max="6642" width="15.7142857142857" style="4" customWidth="1"/>
    <col min="6643" max="6644" width="19.1428571428571" style="4" customWidth="1"/>
    <col min="6645" max="6645" width="16.8571428571429" style="4" customWidth="1"/>
    <col min="6646" max="6885" width="9.14285714285714" style="4"/>
    <col min="6886" max="6886" width="4.14285714285714" style="4" customWidth="1"/>
    <col min="6887" max="6887" width="27.8571428571429" style="4" customWidth="1"/>
    <col min="6888" max="6889" width="19.8571428571429" style="4" customWidth="1"/>
    <col min="6890" max="6890" width="14.2857142857143" style="4" customWidth="1"/>
    <col min="6891" max="6891" width="15.7142857142857" style="4" customWidth="1"/>
    <col min="6892" max="6892" width="14.2857142857143" style="4" customWidth="1"/>
    <col min="6893" max="6893" width="16.1428571428571" style="4" customWidth="1"/>
    <col min="6894" max="6894" width="14.2857142857143" style="4" customWidth="1"/>
    <col min="6895" max="6895" width="16.1428571428571" style="4" customWidth="1"/>
    <col min="6896" max="6896" width="15.1428571428571" style="4" customWidth="1"/>
    <col min="6897" max="6897" width="19.1428571428571" style="4" customWidth="1"/>
    <col min="6898" max="6898" width="15.7142857142857" style="4" customWidth="1"/>
    <col min="6899" max="6900" width="19.1428571428571" style="4" customWidth="1"/>
    <col min="6901" max="6901" width="16.8571428571429" style="4" customWidth="1"/>
    <col min="6902" max="7141" width="9.14285714285714" style="4"/>
    <col min="7142" max="7142" width="4.14285714285714" style="4" customWidth="1"/>
    <col min="7143" max="7143" width="27.8571428571429" style="4" customWidth="1"/>
    <col min="7144" max="7145" width="19.8571428571429" style="4" customWidth="1"/>
    <col min="7146" max="7146" width="14.2857142857143" style="4" customWidth="1"/>
    <col min="7147" max="7147" width="15.7142857142857" style="4" customWidth="1"/>
    <col min="7148" max="7148" width="14.2857142857143" style="4" customWidth="1"/>
    <col min="7149" max="7149" width="16.1428571428571" style="4" customWidth="1"/>
    <col min="7150" max="7150" width="14.2857142857143" style="4" customWidth="1"/>
    <col min="7151" max="7151" width="16.1428571428571" style="4" customWidth="1"/>
    <col min="7152" max="7152" width="15.1428571428571" style="4" customWidth="1"/>
    <col min="7153" max="7153" width="19.1428571428571" style="4" customWidth="1"/>
    <col min="7154" max="7154" width="15.7142857142857" style="4" customWidth="1"/>
    <col min="7155" max="7156" width="19.1428571428571" style="4" customWidth="1"/>
    <col min="7157" max="7157" width="16.8571428571429" style="4" customWidth="1"/>
    <col min="7158" max="7397" width="9.14285714285714" style="4"/>
    <col min="7398" max="7398" width="4.14285714285714" style="4" customWidth="1"/>
    <col min="7399" max="7399" width="27.8571428571429" style="4" customWidth="1"/>
    <col min="7400" max="7401" width="19.8571428571429" style="4" customWidth="1"/>
    <col min="7402" max="7402" width="14.2857142857143" style="4" customWidth="1"/>
    <col min="7403" max="7403" width="15.7142857142857" style="4" customWidth="1"/>
    <col min="7404" max="7404" width="14.2857142857143" style="4" customWidth="1"/>
    <col min="7405" max="7405" width="16.1428571428571" style="4" customWidth="1"/>
    <col min="7406" max="7406" width="14.2857142857143" style="4" customWidth="1"/>
    <col min="7407" max="7407" width="16.1428571428571" style="4" customWidth="1"/>
    <col min="7408" max="7408" width="15.1428571428571" style="4" customWidth="1"/>
    <col min="7409" max="7409" width="19.1428571428571" style="4" customWidth="1"/>
    <col min="7410" max="7410" width="15.7142857142857" style="4" customWidth="1"/>
    <col min="7411" max="7412" width="19.1428571428571" style="4" customWidth="1"/>
    <col min="7413" max="7413" width="16.8571428571429" style="4" customWidth="1"/>
    <col min="7414" max="7653" width="9.14285714285714" style="4"/>
    <col min="7654" max="7654" width="4.14285714285714" style="4" customWidth="1"/>
    <col min="7655" max="7655" width="27.8571428571429" style="4" customWidth="1"/>
    <col min="7656" max="7657" width="19.8571428571429" style="4" customWidth="1"/>
    <col min="7658" max="7658" width="14.2857142857143" style="4" customWidth="1"/>
    <col min="7659" max="7659" width="15.7142857142857" style="4" customWidth="1"/>
    <col min="7660" max="7660" width="14.2857142857143" style="4" customWidth="1"/>
    <col min="7661" max="7661" width="16.1428571428571" style="4" customWidth="1"/>
    <col min="7662" max="7662" width="14.2857142857143" style="4" customWidth="1"/>
    <col min="7663" max="7663" width="16.1428571428571" style="4" customWidth="1"/>
    <col min="7664" max="7664" width="15.1428571428571" style="4" customWidth="1"/>
    <col min="7665" max="7665" width="19.1428571428571" style="4" customWidth="1"/>
    <col min="7666" max="7666" width="15.7142857142857" style="4" customWidth="1"/>
    <col min="7667" max="7668" width="19.1428571428571" style="4" customWidth="1"/>
    <col min="7669" max="7669" width="16.8571428571429" style="4" customWidth="1"/>
    <col min="7670" max="7909" width="9.14285714285714" style="4"/>
    <col min="7910" max="7910" width="4.14285714285714" style="4" customWidth="1"/>
    <col min="7911" max="7911" width="27.8571428571429" style="4" customWidth="1"/>
    <col min="7912" max="7913" width="19.8571428571429" style="4" customWidth="1"/>
    <col min="7914" max="7914" width="14.2857142857143" style="4" customWidth="1"/>
    <col min="7915" max="7915" width="15.7142857142857" style="4" customWidth="1"/>
    <col min="7916" max="7916" width="14.2857142857143" style="4" customWidth="1"/>
    <col min="7917" max="7917" width="16.1428571428571" style="4" customWidth="1"/>
    <col min="7918" max="7918" width="14.2857142857143" style="4" customWidth="1"/>
    <col min="7919" max="7919" width="16.1428571428571" style="4" customWidth="1"/>
    <col min="7920" max="7920" width="15.1428571428571" style="4" customWidth="1"/>
    <col min="7921" max="7921" width="19.1428571428571" style="4" customWidth="1"/>
    <col min="7922" max="7922" width="15.7142857142857" style="4" customWidth="1"/>
    <col min="7923" max="7924" width="19.1428571428571" style="4" customWidth="1"/>
    <col min="7925" max="7925" width="16.8571428571429" style="4" customWidth="1"/>
    <col min="7926" max="8165" width="9.14285714285714" style="4"/>
    <col min="8166" max="8166" width="4.14285714285714" style="4" customWidth="1"/>
    <col min="8167" max="8167" width="27.8571428571429" style="4" customWidth="1"/>
    <col min="8168" max="8169" width="19.8571428571429" style="4" customWidth="1"/>
    <col min="8170" max="8170" width="14.2857142857143" style="4" customWidth="1"/>
    <col min="8171" max="8171" width="15.7142857142857" style="4" customWidth="1"/>
    <col min="8172" max="8172" width="14.2857142857143" style="4" customWidth="1"/>
    <col min="8173" max="8173" width="16.1428571428571" style="4" customWidth="1"/>
    <col min="8174" max="8174" width="14.2857142857143" style="4" customWidth="1"/>
    <col min="8175" max="8175" width="16.1428571428571" style="4" customWidth="1"/>
    <col min="8176" max="8176" width="15.1428571428571" style="4" customWidth="1"/>
    <col min="8177" max="8177" width="19.1428571428571" style="4" customWidth="1"/>
    <col min="8178" max="8178" width="15.7142857142857" style="4" customWidth="1"/>
    <col min="8179" max="8180" width="19.1428571428571" style="4" customWidth="1"/>
    <col min="8181" max="8181" width="16.8571428571429" style="4" customWidth="1"/>
    <col min="8182" max="8421" width="9.14285714285714" style="4"/>
    <col min="8422" max="8422" width="4.14285714285714" style="4" customWidth="1"/>
    <col min="8423" max="8423" width="27.8571428571429" style="4" customWidth="1"/>
    <col min="8424" max="8425" width="19.8571428571429" style="4" customWidth="1"/>
    <col min="8426" max="8426" width="14.2857142857143" style="4" customWidth="1"/>
    <col min="8427" max="8427" width="15.7142857142857" style="4" customWidth="1"/>
    <col min="8428" max="8428" width="14.2857142857143" style="4" customWidth="1"/>
    <col min="8429" max="8429" width="16.1428571428571" style="4" customWidth="1"/>
    <col min="8430" max="8430" width="14.2857142857143" style="4" customWidth="1"/>
    <col min="8431" max="8431" width="16.1428571428571" style="4" customWidth="1"/>
    <col min="8432" max="8432" width="15.1428571428571" style="4" customWidth="1"/>
    <col min="8433" max="8433" width="19.1428571428571" style="4" customWidth="1"/>
    <col min="8434" max="8434" width="15.7142857142857" style="4" customWidth="1"/>
    <col min="8435" max="8436" width="19.1428571428571" style="4" customWidth="1"/>
    <col min="8437" max="8437" width="16.8571428571429" style="4" customWidth="1"/>
    <col min="8438" max="8677" width="9.14285714285714" style="4"/>
    <col min="8678" max="8678" width="4.14285714285714" style="4" customWidth="1"/>
    <col min="8679" max="8679" width="27.8571428571429" style="4" customWidth="1"/>
    <col min="8680" max="8681" width="19.8571428571429" style="4" customWidth="1"/>
    <col min="8682" max="8682" width="14.2857142857143" style="4" customWidth="1"/>
    <col min="8683" max="8683" width="15.7142857142857" style="4" customWidth="1"/>
    <col min="8684" max="8684" width="14.2857142857143" style="4" customWidth="1"/>
    <col min="8685" max="8685" width="16.1428571428571" style="4" customWidth="1"/>
    <col min="8686" max="8686" width="14.2857142857143" style="4" customWidth="1"/>
    <col min="8687" max="8687" width="16.1428571428571" style="4" customWidth="1"/>
    <col min="8688" max="8688" width="15.1428571428571" style="4" customWidth="1"/>
    <col min="8689" max="8689" width="19.1428571428571" style="4" customWidth="1"/>
    <col min="8690" max="8690" width="15.7142857142857" style="4" customWidth="1"/>
    <col min="8691" max="8692" width="19.1428571428571" style="4" customWidth="1"/>
    <col min="8693" max="8693" width="16.8571428571429" style="4" customWidth="1"/>
    <col min="8694" max="8933" width="9.14285714285714" style="4"/>
    <col min="8934" max="8934" width="4.14285714285714" style="4" customWidth="1"/>
    <col min="8935" max="8935" width="27.8571428571429" style="4" customWidth="1"/>
    <col min="8936" max="8937" width="19.8571428571429" style="4" customWidth="1"/>
    <col min="8938" max="8938" width="14.2857142857143" style="4" customWidth="1"/>
    <col min="8939" max="8939" width="15.7142857142857" style="4" customWidth="1"/>
    <col min="8940" max="8940" width="14.2857142857143" style="4" customWidth="1"/>
    <col min="8941" max="8941" width="16.1428571428571" style="4" customWidth="1"/>
    <col min="8942" max="8942" width="14.2857142857143" style="4" customWidth="1"/>
    <col min="8943" max="8943" width="16.1428571428571" style="4" customWidth="1"/>
    <col min="8944" max="8944" width="15.1428571428571" style="4" customWidth="1"/>
    <col min="8945" max="8945" width="19.1428571428571" style="4" customWidth="1"/>
    <col min="8946" max="8946" width="15.7142857142857" style="4" customWidth="1"/>
    <col min="8947" max="8948" width="19.1428571428571" style="4" customWidth="1"/>
    <col min="8949" max="8949" width="16.8571428571429" style="4" customWidth="1"/>
    <col min="8950" max="9189" width="9.14285714285714" style="4"/>
    <col min="9190" max="9190" width="4.14285714285714" style="4" customWidth="1"/>
    <col min="9191" max="9191" width="27.8571428571429" style="4" customWidth="1"/>
    <col min="9192" max="9193" width="19.8571428571429" style="4" customWidth="1"/>
    <col min="9194" max="9194" width="14.2857142857143" style="4" customWidth="1"/>
    <col min="9195" max="9195" width="15.7142857142857" style="4" customWidth="1"/>
    <col min="9196" max="9196" width="14.2857142857143" style="4" customWidth="1"/>
    <col min="9197" max="9197" width="16.1428571428571" style="4" customWidth="1"/>
    <col min="9198" max="9198" width="14.2857142857143" style="4" customWidth="1"/>
    <col min="9199" max="9199" width="16.1428571428571" style="4" customWidth="1"/>
    <col min="9200" max="9200" width="15.1428571428571" style="4" customWidth="1"/>
    <col min="9201" max="9201" width="19.1428571428571" style="4" customWidth="1"/>
    <col min="9202" max="9202" width="15.7142857142857" style="4" customWidth="1"/>
    <col min="9203" max="9204" width="19.1428571428571" style="4" customWidth="1"/>
    <col min="9205" max="9205" width="16.8571428571429" style="4" customWidth="1"/>
    <col min="9206" max="9445" width="9.14285714285714" style="4"/>
    <col min="9446" max="9446" width="4.14285714285714" style="4" customWidth="1"/>
    <col min="9447" max="9447" width="27.8571428571429" style="4" customWidth="1"/>
    <col min="9448" max="9449" width="19.8571428571429" style="4" customWidth="1"/>
    <col min="9450" max="9450" width="14.2857142857143" style="4" customWidth="1"/>
    <col min="9451" max="9451" width="15.7142857142857" style="4" customWidth="1"/>
    <col min="9452" max="9452" width="14.2857142857143" style="4" customWidth="1"/>
    <col min="9453" max="9453" width="16.1428571428571" style="4" customWidth="1"/>
    <col min="9454" max="9454" width="14.2857142857143" style="4" customWidth="1"/>
    <col min="9455" max="9455" width="16.1428571428571" style="4" customWidth="1"/>
    <col min="9456" max="9456" width="15.1428571428571" style="4" customWidth="1"/>
    <col min="9457" max="9457" width="19.1428571428571" style="4" customWidth="1"/>
    <col min="9458" max="9458" width="15.7142857142857" style="4" customWidth="1"/>
    <col min="9459" max="9460" width="19.1428571428571" style="4" customWidth="1"/>
    <col min="9461" max="9461" width="16.8571428571429" style="4" customWidth="1"/>
    <col min="9462" max="9701" width="9.14285714285714" style="4"/>
    <col min="9702" max="9702" width="4.14285714285714" style="4" customWidth="1"/>
    <col min="9703" max="9703" width="27.8571428571429" style="4" customWidth="1"/>
    <col min="9704" max="9705" width="19.8571428571429" style="4" customWidth="1"/>
    <col min="9706" max="9706" width="14.2857142857143" style="4" customWidth="1"/>
    <col min="9707" max="9707" width="15.7142857142857" style="4" customWidth="1"/>
    <col min="9708" max="9708" width="14.2857142857143" style="4" customWidth="1"/>
    <col min="9709" max="9709" width="16.1428571428571" style="4" customWidth="1"/>
    <col min="9710" max="9710" width="14.2857142857143" style="4" customWidth="1"/>
    <col min="9711" max="9711" width="16.1428571428571" style="4" customWidth="1"/>
    <col min="9712" max="9712" width="15.1428571428571" style="4" customWidth="1"/>
    <col min="9713" max="9713" width="19.1428571428571" style="4" customWidth="1"/>
    <col min="9714" max="9714" width="15.7142857142857" style="4" customWidth="1"/>
    <col min="9715" max="9716" width="19.1428571428571" style="4" customWidth="1"/>
    <col min="9717" max="9717" width="16.8571428571429" style="4" customWidth="1"/>
    <col min="9718" max="9957" width="9.14285714285714" style="4"/>
    <col min="9958" max="9958" width="4.14285714285714" style="4" customWidth="1"/>
    <col min="9959" max="9959" width="27.8571428571429" style="4" customWidth="1"/>
    <col min="9960" max="9961" width="19.8571428571429" style="4" customWidth="1"/>
    <col min="9962" max="9962" width="14.2857142857143" style="4" customWidth="1"/>
    <col min="9963" max="9963" width="15.7142857142857" style="4" customWidth="1"/>
    <col min="9964" max="9964" width="14.2857142857143" style="4" customWidth="1"/>
    <col min="9965" max="9965" width="16.1428571428571" style="4" customWidth="1"/>
    <col min="9966" max="9966" width="14.2857142857143" style="4" customWidth="1"/>
    <col min="9967" max="9967" width="16.1428571428571" style="4" customWidth="1"/>
    <col min="9968" max="9968" width="15.1428571428571" style="4" customWidth="1"/>
    <col min="9969" max="9969" width="19.1428571428571" style="4" customWidth="1"/>
    <col min="9970" max="9970" width="15.7142857142857" style="4" customWidth="1"/>
    <col min="9971" max="9972" width="19.1428571428571" style="4" customWidth="1"/>
    <col min="9973" max="9973" width="16.8571428571429" style="4" customWidth="1"/>
    <col min="9974" max="10213" width="9.14285714285714" style="4"/>
    <col min="10214" max="10214" width="4.14285714285714" style="4" customWidth="1"/>
    <col min="10215" max="10215" width="27.8571428571429" style="4" customWidth="1"/>
    <col min="10216" max="10217" width="19.8571428571429" style="4" customWidth="1"/>
    <col min="10218" max="10218" width="14.2857142857143" style="4" customWidth="1"/>
    <col min="10219" max="10219" width="15.7142857142857" style="4" customWidth="1"/>
    <col min="10220" max="10220" width="14.2857142857143" style="4" customWidth="1"/>
    <col min="10221" max="10221" width="16.1428571428571" style="4" customWidth="1"/>
    <col min="10222" max="10222" width="14.2857142857143" style="4" customWidth="1"/>
    <col min="10223" max="10223" width="16.1428571428571" style="4" customWidth="1"/>
    <col min="10224" max="10224" width="15.1428571428571" style="4" customWidth="1"/>
    <col min="10225" max="10225" width="19.1428571428571" style="4" customWidth="1"/>
    <col min="10226" max="10226" width="15.7142857142857" style="4" customWidth="1"/>
    <col min="10227" max="10228" width="19.1428571428571" style="4" customWidth="1"/>
    <col min="10229" max="10229" width="16.8571428571429" style="4" customWidth="1"/>
    <col min="10230" max="10469" width="9.14285714285714" style="4"/>
    <col min="10470" max="10470" width="4.14285714285714" style="4" customWidth="1"/>
    <col min="10471" max="10471" width="27.8571428571429" style="4" customWidth="1"/>
    <col min="10472" max="10473" width="19.8571428571429" style="4" customWidth="1"/>
    <col min="10474" max="10474" width="14.2857142857143" style="4" customWidth="1"/>
    <col min="10475" max="10475" width="15.7142857142857" style="4" customWidth="1"/>
    <col min="10476" max="10476" width="14.2857142857143" style="4" customWidth="1"/>
    <col min="10477" max="10477" width="16.1428571428571" style="4" customWidth="1"/>
    <col min="10478" max="10478" width="14.2857142857143" style="4" customWidth="1"/>
    <col min="10479" max="10479" width="16.1428571428571" style="4" customWidth="1"/>
    <col min="10480" max="10480" width="15.1428571428571" style="4" customWidth="1"/>
    <col min="10481" max="10481" width="19.1428571428571" style="4" customWidth="1"/>
    <col min="10482" max="10482" width="15.7142857142857" style="4" customWidth="1"/>
    <col min="10483" max="10484" width="19.1428571428571" style="4" customWidth="1"/>
    <col min="10485" max="10485" width="16.8571428571429" style="4" customWidth="1"/>
    <col min="10486" max="10725" width="9.14285714285714" style="4"/>
    <col min="10726" max="10726" width="4.14285714285714" style="4" customWidth="1"/>
    <col min="10727" max="10727" width="27.8571428571429" style="4" customWidth="1"/>
    <col min="10728" max="10729" width="19.8571428571429" style="4" customWidth="1"/>
    <col min="10730" max="10730" width="14.2857142857143" style="4" customWidth="1"/>
    <col min="10731" max="10731" width="15.7142857142857" style="4" customWidth="1"/>
    <col min="10732" max="10732" width="14.2857142857143" style="4" customWidth="1"/>
    <col min="10733" max="10733" width="16.1428571428571" style="4" customWidth="1"/>
    <col min="10734" max="10734" width="14.2857142857143" style="4" customWidth="1"/>
    <col min="10735" max="10735" width="16.1428571428571" style="4" customWidth="1"/>
    <col min="10736" max="10736" width="15.1428571428571" style="4" customWidth="1"/>
    <col min="10737" max="10737" width="19.1428571428571" style="4" customWidth="1"/>
    <col min="10738" max="10738" width="15.7142857142857" style="4" customWidth="1"/>
    <col min="10739" max="10740" width="19.1428571428571" style="4" customWidth="1"/>
    <col min="10741" max="10741" width="16.8571428571429" style="4" customWidth="1"/>
    <col min="10742" max="10981" width="9.14285714285714" style="4"/>
    <col min="10982" max="10982" width="4.14285714285714" style="4" customWidth="1"/>
    <col min="10983" max="10983" width="27.8571428571429" style="4" customWidth="1"/>
    <col min="10984" max="10985" width="19.8571428571429" style="4" customWidth="1"/>
    <col min="10986" max="10986" width="14.2857142857143" style="4" customWidth="1"/>
    <col min="10987" max="10987" width="15.7142857142857" style="4" customWidth="1"/>
    <col min="10988" max="10988" width="14.2857142857143" style="4" customWidth="1"/>
    <col min="10989" max="10989" width="16.1428571428571" style="4" customWidth="1"/>
    <col min="10990" max="10990" width="14.2857142857143" style="4" customWidth="1"/>
    <col min="10991" max="10991" width="16.1428571428571" style="4" customWidth="1"/>
    <col min="10992" max="10992" width="15.1428571428571" style="4" customWidth="1"/>
    <col min="10993" max="10993" width="19.1428571428571" style="4" customWidth="1"/>
    <col min="10994" max="10994" width="15.7142857142857" style="4" customWidth="1"/>
    <col min="10995" max="10996" width="19.1428571428571" style="4" customWidth="1"/>
    <col min="10997" max="10997" width="16.8571428571429" style="4" customWidth="1"/>
    <col min="10998" max="11237" width="9.14285714285714" style="4"/>
    <col min="11238" max="11238" width="4.14285714285714" style="4" customWidth="1"/>
    <col min="11239" max="11239" width="27.8571428571429" style="4" customWidth="1"/>
    <col min="11240" max="11241" width="19.8571428571429" style="4" customWidth="1"/>
    <col min="11242" max="11242" width="14.2857142857143" style="4" customWidth="1"/>
    <col min="11243" max="11243" width="15.7142857142857" style="4" customWidth="1"/>
    <col min="11244" max="11244" width="14.2857142857143" style="4" customWidth="1"/>
    <col min="11245" max="11245" width="16.1428571428571" style="4" customWidth="1"/>
    <col min="11246" max="11246" width="14.2857142857143" style="4" customWidth="1"/>
    <col min="11247" max="11247" width="16.1428571428571" style="4" customWidth="1"/>
    <col min="11248" max="11248" width="15.1428571428571" style="4" customWidth="1"/>
    <col min="11249" max="11249" width="19.1428571428571" style="4" customWidth="1"/>
    <col min="11250" max="11250" width="15.7142857142857" style="4" customWidth="1"/>
    <col min="11251" max="11252" width="19.1428571428571" style="4" customWidth="1"/>
    <col min="11253" max="11253" width="16.8571428571429" style="4" customWidth="1"/>
    <col min="11254" max="11493" width="9.14285714285714" style="4"/>
    <col min="11494" max="11494" width="4.14285714285714" style="4" customWidth="1"/>
    <col min="11495" max="11495" width="27.8571428571429" style="4" customWidth="1"/>
    <col min="11496" max="11497" width="19.8571428571429" style="4" customWidth="1"/>
    <col min="11498" max="11498" width="14.2857142857143" style="4" customWidth="1"/>
    <col min="11499" max="11499" width="15.7142857142857" style="4" customWidth="1"/>
    <col min="11500" max="11500" width="14.2857142857143" style="4" customWidth="1"/>
    <col min="11501" max="11501" width="16.1428571428571" style="4" customWidth="1"/>
    <col min="11502" max="11502" width="14.2857142857143" style="4" customWidth="1"/>
    <col min="11503" max="11503" width="16.1428571428571" style="4" customWidth="1"/>
    <col min="11504" max="11504" width="15.1428571428571" style="4" customWidth="1"/>
    <col min="11505" max="11505" width="19.1428571428571" style="4" customWidth="1"/>
    <col min="11506" max="11506" width="15.7142857142857" style="4" customWidth="1"/>
    <col min="11507" max="11508" width="19.1428571428571" style="4" customWidth="1"/>
    <col min="11509" max="11509" width="16.8571428571429" style="4" customWidth="1"/>
    <col min="11510" max="11749" width="9.14285714285714" style="4"/>
    <col min="11750" max="11750" width="4.14285714285714" style="4" customWidth="1"/>
    <col min="11751" max="11751" width="27.8571428571429" style="4" customWidth="1"/>
    <col min="11752" max="11753" width="19.8571428571429" style="4" customWidth="1"/>
    <col min="11754" max="11754" width="14.2857142857143" style="4" customWidth="1"/>
    <col min="11755" max="11755" width="15.7142857142857" style="4" customWidth="1"/>
    <col min="11756" max="11756" width="14.2857142857143" style="4" customWidth="1"/>
    <col min="11757" max="11757" width="16.1428571428571" style="4" customWidth="1"/>
    <col min="11758" max="11758" width="14.2857142857143" style="4" customWidth="1"/>
    <col min="11759" max="11759" width="16.1428571428571" style="4" customWidth="1"/>
    <col min="11760" max="11760" width="15.1428571428571" style="4" customWidth="1"/>
    <col min="11761" max="11761" width="19.1428571428571" style="4" customWidth="1"/>
    <col min="11762" max="11762" width="15.7142857142857" style="4" customWidth="1"/>
    <col min="11763" max="11764" width="19.1428571428571" style="4" customWidth="1"/>
    <col min="11765" max="11765" width="16.8571428571429" style="4" customWidth="1"/>
    <col min="11766" max="12005" width="9.14285714285714" style="4"/>
    <col min="12006" max="12006" width="4.14285714285714" style="4" customWidth="1"/>
    <col min="12007" max="12007" width="27.8571428571429" style="4" customWidth="1"/>
    <col min="12008" max="12009" width="19.8571428571429" style="4" customWidth="1"/>
    <col min="12010" max="12010" width="14.2857142857143" style="4" customWidth="1"/>
    <col min="12011" max="12011" width="15.7142857142857" style="4" customWidth="1"/>
    <col min="12012" max="12012" width="14.2857142857143" style="4" customWidth="1"/>
    <col min="12013" max="12013" width="16.1428571428571" style="4" customWidth="1"/>
    <col min="12014" max="12014" width="14.2857142857143" style="4" customWidth="1"/>
    <col min="12015" max="12015" width="16.1428571428571" style="4" customWidth="1"/>
    <col min="12016" max="12016" width="15.1428571428571" style="4" customWidth="1"/>
    <col min="12017" max="12017" width="19.1428571428571" style="4" customWidth="1"/>
    <col min="12018" max="12018" width="15.7142857142857" style="4" customWidth="1"/>
    <col min="12019" max="12020" width="19.1428571428571" style="4" customWidth="1"/>
    <col min="12021" max="12021" width="16.8571428571429" style="4" customWidth="1"/>
    <col min="12022" max="12261" width="9.14285714285714" style="4"/>
    <col min="12262" max="12262" width="4.14285714285714" style="4" customWidth="1"/>
    <col min="12263" max="12263" width="27.8571428571429" style="4" customWidth="1"/>
    <col min="12264" max="12265" width="19.8571428571429" style="4" customWidth="1"/>
    <col min="12266" max="12266" width="14.2857142857143" style="4" customWidth="1"/>
    <col min="12267" max="12267" width="15.7142857142857" style="4" customWidth="1"/>
    <col min="12268" max="12268" width="14.2857142857143" style="4" customWidth="1"/>
    <col min="12269" max="12269" width="16.1428571428571" style="4" customWidth="1"/>
    <col min="12270" max="12270" width="14.2857142857143" style="4" customWidth="1"/>
    <col min="12271" max="12271" width="16.1428571428571" style="4" customWidth="1"/>
    <col min="12272" max="12272" width="15.1428571428571" style="4" customWidth="1"/>
    <col min="12273" max="12273" width="19.1428571428571" style="4" customWidth="1"/>
    <col min="12274" max="12274" width="15.7142857142857" style="4" customWidth="1"/>
    <col min="12275" max="12276" width="19.1428571428571" style="4" customWidth="1"/>
    <col min="12277" max="12277" width="16.8571428571429" style="4" customWidth="1"/>
    <col min="12278" max="12517" width="9.14285714285714" style="4"/>
    <col min="12518" max="12518" width="4.14285714285714" style="4" customWidth="1"/>
    <col min="12519" max="12519" width="27.8571428571429" style="4" customWidth="1"/>
    <col min="12520" max="12521" width="19.8571428571429" style="4" customWidth="1"/>
    <col min="12522" max="12522" width="14.2857142857143" style="4" customWidth="1"/>
    <col min="12523" max="12523" width="15.7142857142857" style="4" customWidth="1"/>
    <col min="12524" max="12524" width="14.2857142857143" style="4" customWidth="1"/>
    <col min="12525" max="12525" width="16.1428571428571" style="4" customWidth="1"/>
    <col min="12526" max="12526" width="14.2857142857143" style="4" customWidth="1"/>
    <col min="12527" max="12527" width="16.1428571428571" style="4" customWidth="1"/>
    <col min="12528" max="12528" width="15.1428571428571" style="4" customWidth="1"/>
    <col min="12529" max="12529" width="19.1428571428571" style="4" customWidth="1"/>
    <col min="12530" max="12530" width="15.7142857142857" style="4" customWidth="1"/>
    <col min="12531" max="12532" width="19.1428571428571" style="4" customWidth="1"/>
    <col min="12533" max="12533" width="16.8571428571429" style="4" customWidth="1"/>
    <col min="12534" max="12773" width="9.14285714285714" style="4"/>
    <col min="12774" max="12774" width="4.14285714285714" style="4" customWidth="1"/>
    <col min="12775" max="12775" width="27.8571428571429" style="4" customWidth="1"/>
    <col min="12776" max="12777" width="19.8571428571429" style="4" customWidth="1"/>
    <col min="12778" max="12778" width="14.2857142857143" style="4" customWidth="1"/>
    <col min="12779" max="12779" width="15.7142857142857" style="4" customWidth="1"/>
    <col min="12780" max="12780" width="14.2857142857143" style="4" customWidth="1"/>
    <col min="12781" max="12781" width="16.1428571428571" style="4" customWidth="1"/>
    <col min="12782" max="12782" width="14.2857142857143" style="4" customWidth="1"/>
    <col min="12783" max="12783" width="16.1428571428571" style="4" customWidth="1"/>
    <col min="12784" max="12784" width="15.1428571428571" style="4" customWidth="1"/>
    <col min="12785" max="12785" width="19.1428571428571" style="4" customWidth="1"/>
    <col min="12786" max="12786" width="15.7142857142857" style="4" customWidth="1"/>
    <col min="12787" max="12788" width="19.1428571428571" style="4" customWidth="1"/>
    <col min="12789" max="12789" width="16.8571428571429" style="4" customWidth="1"/>
    <col min="12790" max="13029" width="9.14285714285714" style="4"/>
    <col min="13030" max="13030" width="4.14285714285714" style="4" customWidth="1"/>
    <col min="13031" max="13031" width="27.8571428571429" style="4" customWidth="1"/>
    <col min="13032" max="13033" width="19.8571428571429" style="4" customWidth="1"/>
    <col min="13034" max="13034" width="14.2857142857143" style="4" customWidth="1"/>
    <col min="13035" max="13035" width="15.7142857142857" style="4" customWidth="1"/>
    <col min="13036" max="13036" width="14.2857142857143" style="4" customWidth="1"/>
    <col min="13037" max="13037" width="16.1428571428571" style="4" customWidth="1"/>
    <col min="13038" max="13038" width="14.2857142857143" style="4" customWidth="1"/>
    <col min="13039" max="13039" width="16.1428571428571" style="4" customWidth="1"/>
    <col min="13040" max="13040" width="15.1428571428571" style="4" customWidth="1"/>
    <col min="13041" max="13041" width="19.1428571428571" style="4" customWidth="1"/>
    <col min="13042" max="13042" width="15.7142857142857" style="4" customWidth="1"/>
    <col min="13043" max="13044" width="19.1428571428571" style="4" customWidth="1"/>
    <col min="13045" max="13045" width="16.8571428571429" style="4" customWidth="1"/>
    <col min="13046" max="13285" width="9.14285714285714" style="4"/>
    <col min="13286" max="13286" width="4.14285714285714" style="4" customWidth="1"/>
    <col min="13287" max="13287" width="27.8571428571429" style="4" customWidth="1"/>
    <col min="13288" max="13289" width="19.8571428571429" style="4" customWidth="1"/>
    <col min="13290" max="13290" width="14.2857142857143" style="4" customWidth="1"/>
    <col min="13291" max="13291" width="15.7142857142857" style="4" customWidth="1"/>
    <col min="13292" max="13292" width="14.2857142857143" style="4" customWidth="1"/>
    <col min="13293" max="13293" width="16.1428571428571" style="4" customWidth="1"/>
    <col min="13294" max="13294" width="14.2857142857143" style="4" customWidth="1"/>
    <col min="13295" max="13295" width="16.1428571428571" style="4" customWidth="1"/>
    <col min="13296" max="13296" width="15.1428571428571" style="4" customWidth="1"/>
    <col min="13297" max="13297" width="19.1428571428571" style="4" customWidth="1"/>
    <col min="13298" max="13298" width="15.7142857142857" style="4" customWidth="1"/>
    <col min="13299" max="13300" width="19.1428571428571" style="4" customWidth="1"/>
    <col min="13301" max="13301" width="16.8571428571429" style="4" customWidth="1"/>
    <col min="13302" max="13541" width="9.14285714285714" style="4"/>
    <col min="13542" max="13542" width="4.14285714285714" style="4" customWidth="1"/>
    <col min="13543" max="13543" width="27.8571428571429" style="4" customWidth="1"/>
    <col min="13544" max="13545" width="19.8571428571429" style="4" customWidth="1"/>
    <col min="13546" max="13546" width="14.2857142857143" style="4" customWidth="1"/>
    <col min="13547" max="13547" width="15.7142857142857" style="4" customWidth="1"/>
    <col min="13548" max="13548" width="14.2857142857143" style="4" customWidth="1"/>
    <col min="13549" max="13549" width="16.1428571428571" style="4" customWidth="1"/>
    <col min="13550" max="13550" width="14.2857142857143" style="4" customWidth="1"/>
    <col min="13551" max="13551" width="16.1428571428571" style="4" customWidth="1"/>
    <col min="13552" max="13552" width="15.1428571428571" style="4" customWidth="1"/>
    <col min="13553" max="13553" width="19.1428571428571" style="4" customWidth="1"/>
    <col min="13554" max="13554" width="15.7142857142857" style="4" customWidth="1"/>
    <col min="13555" max="13556" width="19.1428571428571" style="4" customWidth="1"/>
    <col min="13557" max="13557" width="16.8571428571429" style="4" customWidth="1"/>
    <col min="13558" max="13797" width="9.14285714285714" style="4"/>
    <col min="13798" max="13798" width="4.14285714285714" style="4" customWidth="1"/>
    <col min="13799" max="13799" width="27.8571428571429" style="4" customWidth="1"/>
    <col min="13800" max="13801" width="19.8571428571429" style="4" customWidth="1"/>
    <col min="13802" max="13802" width="14.2857142857143" style="4" customWidth="1"/>
    <col min="13803" max="13803" width="15.7142857142857" style="4" customWidth="1"/>
    <col min="13804" max="13804" width="14.2857142857143" style="4" customWidth="1"/>
    <col min="13805" max="13805" width="16.1428571428571" style="4" customWidth="1"/>
    <col min="13806" max="13806" width="14.2857142857143" style="4" customWidth="1"/>
    <col min="13807" max="13807" width="16.1428571428571" style="4" customWidth="1"/>
    <col min="13808" max="13808" width="15.1428571428571" style="4" customWidth="1"/>
    <col min="13809" max="13809" width="19.1428571428571" style="4" customWidth="1"/>
    <col min="13810" max="13810" width="15.7142857142857" style="4" customWidth="1"/>
    <col min="13811" max="13812" width="19.1428571428571" style="4" customWidth="1"/>
    <col min="13813" max="13813" width="16.8571428571429" style="4" customWidth="1"/>
    <col min="13814" max="14053" width="9.14285714285714" style="4"/>
    <col min="14054" max="14054" width="4.14285714285714" style="4" customWidth="1"/>
    <col min="14055" max="14055" width="27.8571428571429" style="4" customWidth="1"/>
    <col min="14056" max="14057" width="19.8571428571429" style="4" customWidth="1"/>
    <col min="14058" max="14058" width="14.2857142857143" style="4" customWidth="1"/>
    <col min="14059" max="14059" width="15.7142857142857" style="4" customWidth="1"/>
    <col min="14060" max="14060" width="14.2857142857143" style="4" customWidth="1"/>
    <col min="14061" max="14061" width="16.1428571428571" style="4" customWidth="1"/>
    <col min="14062" max="14062" width="14.2857142857143" style="4" customWidth="1"/>
    <col min="14063" max="14063" width="16.1428571428571" style="4" customWidth="1"/>
    <col min="14064" max="14064" width="15.1428571428571" style="4" customWidth="1"/>
    <col min="14065" max="14065" width="19.1428571428571" style="4" customWidth="1"/>
    <col min="14066" max="14066" width="15.7142857142857" style="4" customWidth="1"/>
    <col min="14067" max="14068" width="19.1428571428571" style="4" customWidth="1"/>
    <col min="14069" max="14069" width="16.8571428571429" style="4" customWidth="1"/>
    <col min="14070" max="14309" width="9.14285714285714" style="4"/>
    <col min="14310" max="14310" width="4.14285714285714" style="4" customWidth="1"/>
    <col min="14311" max="14311" width="27.8571428571429" style="4" customWidth="1"/>
    <col min="14312" max="14313" width="19.8571428571429" style="4" customWidth="1"/>
    <col min="14314" max="14314" width="14.2857142857143" style="4" customWidth="1"/>
    <col min="14315" max="14315" width="15.7142857142857" style="4" customWidth="1"/>
    <col min="14316" max="14316" width="14.2857142857143" style="4" customWidth="1"/>
    <col min="14317" max="14317" width="16.1428571428571" style="4" customWidth="1"/>
    <col min="14318" max="14318" width="14.2857142857143" style="4" customWidth="1"/>
    <col min="14319" max="14319" width="16.1428571428571" style="4" customWidth="1"/>
    <col min="14320" max="14320" width="15.1428571428571" style="4" customWidth="1"/>
    <col min="14321" max="14321" width="19.1428571428571" style="4" customWidth="1"/>
    <col min="14322" max="14322" width="15.7142857142857" style="4" customWidth="1"/>
    <col min="14323" max="14324" width="19.1428571428571" style="4" customWidth="1"/>
    <col min="14325" max="14325" width="16.8571428571429" style="4" customWidth="1"/>
    <col min="14326" max="14565" width="9.14285714285714" style="4"/>
    <col min="14566" max="14566" width="4.14285714285714" style="4" customWidth="1"/>
    <col min="14567" max="14567" width="27.8571428571429" style="4" customWidth="1"/>
    <col min="14568" max="14569" width="19.8571428571429" style="4" customWidth="1"/>
    <col min="14570" max="14570" width="14.2857142857143" style="4" customWidth="1"/>
    <col min="14571" max="14571" width="15.7142857142857" style="4" customWidth="1"/>
    <col min="14572" max="14572" width="14.2857142857143" style="4" customWidth="1"/>
    <col min="14573" max="14573" width="16.1428571428571" style="4" customWidth="1"/>
    <col min="14574" max="14574" width="14.2857142857143" style="4" customWidth="1"/>
    <col min="14575" max="14575" width="16.1428571428571" style="4" customWidth="1"/>
    <col min="14576" max="14576" width="15.1428571428571" style="4" customWidth="1"/>
    <col min="14577" max="14577" width="19.1428571428571" style="4" customWidth="1"/>
    <col min="14578" max="14578" width="15.7142857142857" style="4" customWidth="1"/>
    <col min="14579" max="14580" width="19.1428571428571" style="4" customWidth="1"/>
    <col min="14581" max="14581" width="16.8571428571429" style="4" customWidth="1"/>
    <col min="14582" max="14821" width="9.14285714285714" style="4"/>
    <col min="14822" max="14822" width="4.14285714285714" style="4" customWidth="1"/>
    <col min="14823" max="14823" width="27.8571428571429" style="4" customWidth="1"/>
    <col min="14824" max="14825" width="19.8571428571429" style="4" customWidth="1"/>
    <col min="14826" max="14826" width="14.2857142857143" style="4" customWidth="1"/>
    <col min="14827" max="14827" width="15.7142857142857" style="4" customWidth="1"/>
    <col min="14828" max="14828" width="14.2857142857143" style="4" customWidth="1"/>
    <col min="14829" max="14829" width="16.1428571428571" style="4" customWidth="1"/>
    <col min="14830" max="14830" width="14.2857142857143" style="4" customWidth="1"/>
    <col min="14831" max="14831" width="16.1428571428571" style="4" customWidth="1"/>
    <col min="14832" max="14832" width="15.1428571428571" style="4" customWidth="1"/>
    <col min="14833" max="14833" width="19.1428571428571" style="4" customWidth="1"/>
    <col min="14834" max="14834" width="15.7142857142857" style="4" customWidth="1"/>
    <col min="14835" max="14836" width="19.1428571428571" style="4" customWidth="1"/>
    <col min="14837" max="14837" width="16.8571428571429" style="4" customWidth="1"/>
    <col min="14838" max="15077" width="9.14285714285714" style="4"/>
    <col min="15078" max="15078" width="4.14285714285714" style="4" customWidth="1"/>
    <col min="15079" max="15079" width="27.8571428571429" style="4" customWidth="1"/>
    <col min="15080" max="15081" width="19.8571428571429" style="4" customWidth="1"/>
    <col min="15082" max="15082" width="14.2857142857143" style="4" customWidth="1"/>
    <col min="15083" max="15083" width="15.7142857142857" style="4" customWidth="1"/>
    <col min="15084" max="15084" width="14.2857142857143" style="4" customWidth="1"/>
    <col min="15085" max="15085" width="16.1428571428571" style="4" customWidth="1"/>
    <col min="15086" max="15086" width="14.2857142857143" style="4" customWidth="1"/>
    <col min="15087" max="15087" width="16.1428571428571" style="4" customWidth="1"/>
    <col min="15088" max="15088" width="15.1428571428571" style="4" customWidth="1"/>
    <col min="15089" max="15089" width="19.1428571428571" style="4" customWidth="1"/>
    <col min="15090" max="15090" width="15.7142857142857" style="4" customWidth="1"/>
    <col min="15091" max="15092" width="19.1428571428571" style="4" customWidth="1"/>
    <col min="15093" max="15093" width="16.8571428571429" style="4" customWidth="1"/>
    <col min="15094" max="15333" width="9.14285714285714" style="4"/>
    <col min="15334" max="15334" width="4.14285714285714" style="4" customWidth="1"/>
    <col min="15335" max="15335" width="27.8571428571429" style="4" customWidth="1"/>
    <col min="15336" max="15337" width="19.8571428571429" style="4" customWidth="1"/>
    <col min="15338" max="15338" width="14.2857142857143" style="4" customWidth="1"/>
    <col min="15339" max="15339" width="15.7142857142857" style="4" customWidth="1"/>
    <col min="15340" max="15340" width="14.2857142857143" style="4" customWidth="1"/>
    <col min="15341" max="15341" width="16.1428571428571" style="4" customWidth="1"/>
    <col min="15342" max="15342" width="14.2857142857143" style="4" customWidth="1"/>
    <col min="15343" max="15343" width="16.1428571428571" style="4" customWidth="1"/>
    <col min="15344" max="15344" width="15.1428571428571" style="4" customWidth="1"/>
    <col min="15345" max="15345" width="19.1428571428571" style="4" customWidth="1"/>
    <col min="15346" max="15346" width="15.7142857142857" style="4" customWidth="1"/>
    <col min="15347" max="15348" width="19.1428571428571" style="4" customWidth="1"/>
    <col min="15349" max="15349" width="16.8571428571429" style="4" customWidth="1"/>
    <col min="15350" max="15589" width="9.14285714285714" style="4"/>
    <col min="15590" max="15590" width="4.14285714285714" style="4" customWidth="1"/>
    <col min="15591" max="15591" width="27.8571428571429" style="4" customWidth="1"/>
    <col min="15592" max="15593" width="19.8571428571429" style="4" customWidth="1"/>
    <col min="15594" max="15594" width="14.2857142857143" style="4" customWidth="1"/>
    <col min="15595" max="15595" width="15.7142857142857" style="4" customWidth="1"/>
    <col min="15596" max="15596" width="14.2857142857143" style="4" customWidth="1"/>
    <col min="15597" max="15597" width="16.1428571428571" style="4" customWidth="1"/>
    <col min="15598" max="15598" width="14.2857142857143" style="4" customWidth="1"/>
    <col min="15599" max="15599" width="16.1428571428571" style="4" customWidth="1"/>
    <col min="15600" max="15600" width="15.1428571428571" style="4" customWidth="1"/>
    <col min="15601" max="15601" width="19.1428571428571" style="4" customWidth="1"/>
    <col min="15602" max="15602" width="15.7142857142857" style="4" customWidth="1"/>
    <col min="15603" max="15604" width="19.1428571428571" style="4" customWidth="1"/>
    <col min="15605" max="15605" width="16.8571428571429" style="4" customWidth="1"/>
    <col min="15606" max="15845" width="9.14285714285714" style="4"/>
    <col min="15846" max="15846" width="4.14285714285714" style="4" customWidth="1"/>
    <col min="15847" max="15847" width="27.8571428571429" style="4" customWidth="1"/>
    <col min="15848" max="15849" width="19.8571428571429" style="4" customWidth="1"/>
    <col min="15850" max="15850" width="14.2857142857143" style="4" customWidth="1"/>
    <col min="15851" max="15851" width="15.7142857142857" style="4" customWidth="1"/>
    <col min="15852" max="15852" width="14.2857142857143" style="4" customWidth="1"/>
    <col min="15853" max="15853" width="16.1428571428571" style="4" customWidth="1"/>
    <col min="15854" max="15854" width="14.2857142857143" style="4" customWidth="1"/>
    <col min="15855" max="15855" width="16.1428571428571" style="4" customWidth="1"/>
    <col min="15856" max="15856" width="15.1428571428571" style="4" customWidth="1"/>
    <col min="15857" max="15857" width="19.1428571428571" style="4" customWidth="1"/>
    <col min="15858" max="15858" width="15.7142857142857" style="4" customWidth="1"/>
    <col min="15859" max="15860" width="19.1428571428571" style="4" customWidth="1"/>
    <col min="15861" max="15861" width="16.8571428571429" style="4" customWidth="1"/>
    <col min="15862" max="16101" width="9.14285714285714" style="4"/>
    <col min="16102" max="16102" width="4.14285714285714" style="4" customWidth="1"/>
    <col min="16103" max="16103" width="27.8571428571429" style="4" customWidth="1"/>
    <col min="16104" max="16105" width="19.8571428571429" style="4" customWidth="1"/>
    <col min="16106" max="16106" width="14.2857142857143" style="4" customWidth="1"/>
    <col min="16107" max="16107" width="15.7142857142857" style="4" customWidth="1"/>
    <col min="16108" max="16108" width="14.2857142857143" style="4" customWidth="1"/>
    <col min="16109" max="16109" width="16.1428571428571" style="4" customWidth="1"/>
    <col min="16110" max="16110" width="14.2857142857143" style="4" customWidth="1"/>
    <col min="16111" max="16111" width="16.1428571428571" style="4" customWidth="1"/>
    <col min="16112" max="16112" width="15.1428571428571" style="4" customWidth="1"/>
    <col min="16113" max="16113" width="19.1428571428571" style="4" customWidth="1"/>
    <col min="16114" max="16114" width="15.7142857142857" style="4" customWidth="1"/>
    <col min="16115" max="16116" width="19.1428571428571" style="4" customWidth="1"/>
    <col min="16117" max="16117" width="16.8571428571429" style="4" customWidth="1"/>
    <col min="16118" max="16384" width="9.14285714285714" style="4"/>
  </cols>
  <sheetData>
    <row r="1" ht="21" customHeight="1" spans="1:19">
      <c r="A1" s="5"/>
      <c r="B1" s="6"/>
      <c r="C1" s="6"/>
      <c r="D1" s="6"/>
      <c r="E1" s="6"/>
      <c r="F1" s="6"/>
      <c r="K1" s="7"/>
      <c r="M1" s="8"/>
      <c r="N1" s="8"/>
      <c r="O1" s="9" t="s">
        <v>105</v>
      </c>
      <c r="P1" s="9"/>
      <c r="Q1" s="9"/>
    </row>
    <row r="2" ht="33" customHeight="1" spans="1:19">
      <c r="A2" s="5"/>
      <c r="B2" s="6"/>
      <c r="C2" s="6"/>
      <c r="D2" s="6"/>
      <c r="E2" s="6"/>
      <c r="F2" s="10"/>
      <c r="K2" s="10"/>
      <c r="M2" s="11"/>
      <c r="N2" s="11"/>
      <c r="O2" s="12" t="s">
        <v>957</v>
      </c>
      <c r="P2" s="12"/>
      <c r="Q2" s="12"/>
    </row>
    <row r="3" s="1" customFormat="1" ht="25.5" customHeight="1" spans="1:19">
      <c r="A3" s="13"/>
      <c r="B3" s="14"/>
      <c r="C3" s="14"/>
      <c r="D3" s="14"/>
      <c r="E3" s="14"/>
      <c r="F3" s="14"/>
      <c r="K3" s="15"/>
      <c r="M3" s="16"/>
      <c r="N3" s="16"/>
      <c r="O3" s="17" t="s">
        <v>108</v>
      </c>
      <c r="P3" s="17"/>
      <c r="Q3" s="17"/>
    </row>
    <row r="4" s="1" customFormat="1" ht="25.5" customHeight="1" spans="1:19">
      <c r="A4" s="13"/>
      <c r="B4" s="14"/>
      <c r="C4" s="14"/>
      <c r="D4" s="14"/>
      <c r="E4" s="14"/>
      <c r="F4" s="14"/>
      <c r="K4" s="18"/>
      <c r="M4" s="16"/>
      <c r="N4" s="16"/>
      <c r="O4" s="17" t="s">
        <v>110</v>
      </c>
      <c r="P4" s="17"/>
      <c r="Q4" s="17"/>
    </row>
    <row r="5" ht="18.75" spans="1:19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Q5"/>
      <c r="R5"/>
    </row>
    <row r="6" ht="18.75" customHeight="1" spans="1:19">
      <c r="A6" s="20" t="s">
        <v>111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</row>
    <row r="7" ht="24.75" customHeight="1" spans="1:19">
      <c r="A7" s="22" t="s">
        <v>958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ht="25.5" customHeight="1" spans="1:19">
      <c r="A8" s="23" t="s">
        <v>113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  <c r="Q8" s="26"/>
      <c r="R8" s="26"/>
    </row>
    <row r="9" ht="31.5" customHeight="1" spans="1:19">
      <c r="A9" s="27" t="str">
        <f>'НМЦК подряд'!A10:F10</f>
        <v>1. Приказ КГКУ "Камчатуправтодор" от 29.07.2022г. №402 Об утверждении проектной документации "Строительство причальных сооружений через протоку Озерная в Усть-Камчатском районе Камчатского края"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6"/>
    </row>
    <row r="10" ht="26.25" customHeight="1" spans="1:19">
      <c r="A10" s="27" t="str">
        <f>'НМЦК подряд'!A11:F11</f>
        <v>2. Положительное заключение государственной экспертизы проектной документации и результатов инженерных изысканий №41-1-1-2-049246-2022 от 22.07.2022г.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6"/>
    </row>
    <row r="11" ht="15.75" spans="1:19">
      <c r="A11" s="28" t="s">
        <v>116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18.75" customHeight="1" spans="1:19">
      <c r="A12" s="29"/>
      <c r="B12" s="30"/>
      <c r="C12" s="30"/>
      <c r="D12" s="30"/>
      <c r="E12" s="30"/>
      <c r="F12" s="30"/>
      <c r="G12" s="30"/>
      <c r="M12" s="31"/>
      <c r="N12" s="31"/>
      <c r="O12" s="31"/>
      <c r="Q12" s="31" t="s">
        <v>117</v>
      </c>
      <c r="R12" s="23"/>
    </row>
    <row r="13" s="2" customFormat="1" ht="90.75" customHeight="1" spans="1:19">
      <c r="A13" s="32" t="s">
        <v>118</v>
      </c>
      <c r="B13" s="32" t="s">
        <v>923</v>
      </c>
      <c r="C13" s="32" t="s">
        <v>41</v>
      </c>
      <c r="D13" s="32" t="s">
        <v>11</v>
      </c>
      <c r="E13" s="32"/>
      <c r="F13" s="32" t="s">
        <v>121</v>
      </c>
      <c r="G13" s="32"/>
      <c r="H13" s="32" t="s">
        <v>13</v>
      </c>
      <c r="I13" s="32"/>
      <c r="J13" s="32"/>
      <c r="K13" s="32"/>
      <c r="L13" s="33" t="s">
        <v>924</v>
      </c>
      <c r="M13" s="33"/>
      <c r="N13" s="33"/>
      <c r="O13" s="33" t="s">
        <v>925</v>
      </c>
      <c r="P13" s="33"/>
      <c r="Q13" s="33"/>
      <c r="R13" s="34"/>
      <c r="S13" s="35"/>
    </row>
    <row r="14" s="2" customFormat="1" ht="24" customHeight="1" spans="1:19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>
        <v>2022</v>
      </c>
      <c r="M14" s="32">
        <v>2023</v>
      </c>
      <c r="N14" s="36">
        <v>2024</v>
      </c>
      <c r="O14" s="32">
        <v>2022</v>
      </c>
      <c r="P14" s="32">
        <v>2023</v>
      </c>
      <c r="Q14" s="36">
        <v>2024</v>
      </c>
      <c r="R14" s="34"/>
      <c r="S14" s="35"/>
    </row>
    <row r="15" ht="16.5" spans="1:19">
      <c r="A15" s="37">
        <v>1</v>
      </c>
      <c r="B15" s="38">
        <v>2</v>
      </c>
      <c r="C15" s="38">
        <v>3</v>
      </c>
      <c r="D15" s="37">
        <v>4</v>
      </c>
      <c r="E15" s="37"/>
      <c r="F15" s="38">
        <v>5</v>
      </c>
      <c r="G15" s="38"/>
      <c r="H15" s="37">
        <v>6</v>
      </c>
      <c r="I15" s="37"/>
      <c r="J15" s="37"/>
      <c r="K15" s="37"/>
      <c r="L15" s="32">
        <v>7</v>
      </c>
      <c r="M15" s="32">
        <v>8</v>
      </c>
      <c r="N15" s="36">
        <v>9</v>
      </c>
      <c r="O15" s="39">
        <v>10</v>
      </c>
      <c r="P15" s="39">
        <v>11</v>
      </c>
      <c r="Q15" s="39">
        <v>12</v>
      </c>
      <c r="R15" s="40"/>
      <c r="S15" s="41"/>
    </row>
    <row r="16" ht="78.75" spans="1:19">
      <c r="A16" s="42" t="s">
        <v>959</v>
      </c>
      <c r="B16" s="43">
        <v>408681</v>
      </c>
      <c r="C16" s="44">
        <f>C35</f>
        <v>1.3062</v>
      </c>
      <c r="D16" s="43">
        <f>B16*C16</f>
        <v>533819</v>
      </c>
      <c r="E16" s="43"/>
      <c r="F16" s="44">
        <f>H62</f>
        <v>0</v>
      </c>
      <c r="G16" s="44"/>
      <c r="H16" s="43">
        <f>D16*F16</f>
        <v>0</v>
      </c>
      <c r="I16" s="43"/>
      <c r="J16" s="43"/>
      <c r="K16" s="43"/>
      <c r="L16" s="43">
        <v>0</v>
      </c>
      <c r="M16" s="43">
        <f>B16*D51</f>
        <v>0</v>
      </c>
      <c r="N16" s="43">
        <f>B16*D52+1</f>
        <v>408682</v>
      </c>
      <c r="O16" s="43">
        <f>H16*D50</f>
        <v>0</v>
      </c>
      <c r="P16" s="43">
        <f>H16*D51</f>
        <v>0</v>
      </c>
      <c r="Q16" s="45">
        <f>H16*D52</f>
        <v>0</v>
      </c>
      <c r="R16" s="34"/>
      <c r="S16" s="35"/>
    </row>
    <row r="17" ht="21.75" customHeight="1" spans="1:19">
      <c r="A17" s="46" t="s">
        <v>927</v>
      </c>
      <c r="B17" s="47">
        <f>B16*0.22</f>
        <v>89910</v>
      </c>
      <c r="C17" s="48"/>
      <c r="D17" s="49">
        <f>D16*0.22</f>
        <v>117440</v>
      </c>
      <c r="E17" s="50"/>
      <c r="F17" s="48"/>
      <c r="G17" s="48"/>
      <c r="H17" s="47"/>
      <c r="I17" s="47"/>
      <c r="J17" s="47"/>
      <c r="K17" s="47"/>
      <c r="L17" s="47"/>
      <c r="M17" s="47">
        <f>M16*0.22</f>
        <v>0</v>
      </c>
      <c r="N17" s="47">
        <f>N16*0.22</f>
        <v>89910</v>
      </c>
      <c r="O17" s="47"/>
      <c r="P17" s="47"/>
      <c r="Q17" s="51"/>
      <c r="R17" s="34"/>
      <c r="S17" s="52"/>
    </row>
    <row r="18" ht="22.5" customHeight="1" spans="1:19">
      <c r="A18" s="53" t="s">
        <v>928</v>
      </c>
      <c r="B18" s="54">
        <f>B16*1.22</f>
        <v>498591</v>
      </c>
      <c r="C18" s="55"/>
      <c r="D18" s="56">
        <f>D16+D17</f>
        <v>651259</v>
      </c>
      <c r="E18" s="57"/>
      <c r="F18" s="55"/>
      <c r="G18" s="55"/>
      <c r="H18" s="54">
        <f>SUM(H16:K17)</f>
        <v>0</v>
      </c>
      <c r="I18" s="54"/>
      <c r="J18" s="54"/>
      <c r="K18" s="54"/>
      <c r="L18" s="54">
        <f>L16+L17</f>
        <v>0</v>
      </c>
      <c r="M18" s="54">
        <f t="shared" ref="M18:O18" si="0">M16+M17</f>
        <v>0</v>
      </c>
      <c r="N18" s="54">
        <f t="shared" si="0"/>
        <v>498592</v>
      </c>
      <c r="O18" s="54">
        <f t="shared" si="0"/>
        <v>0</v>
      </c>
      <c r="P18" s="54">
        <f t="shared" ref="P18:Q18" si="1">P16+P17</f>
        <v>0</v>
      </c>
      <c r="Q18" s="58">
        <f t="shared" si="1"/>
        <v>0</v>
      </c>
      <c r="R18"/>
      <c r="S18" s="59"/>
    </row>
    <row r="19" ht="15.75" spans="1:19">
      <c r="A19" s="60" t="s">
        <v>929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R19" s="23"/>
      <c r="S19" s="35"/>
    </row>
    <row r="21" ht="15.75" spans="1:19">
      <c r="A21" s="3" t="s">
        <v>26</v>
      </c>
      <c r="B21" s="61" t="s">
        <v>960</v>
      </c>
      <c r="C21" s="61"/>
      <c r="D21" s="61"/>
      <c r="O21" s="10"/>
      <c r="P21" s="10"/>
      <c r="Q21" s="10"/>
    </row>
    <row r="22" s="3" customFormat="1" ht="15.75" spans="1:19">
      <c r="A22" s="62" t="s">
        <v>961</v>
      </c>
      <c r="B22" s="61"/>
      <c r="O22" s="10"/>
      <c r="P22" s="10"/>
      <c r="Q22" s="10"/>
      <c r="R22" s="63"/>
    </row>
    <row r="23" s="3" customFormat="1" ht="15.75" spans="1:19">
      <c r="A23" s="62" t="s">
        <v>932</v>
      </c>
      <c r="B23" s="61"/>
      <c r="O23" s="64"/>
      <c r="P23" s="64"/>
      <c r="R23" s="63"/>
    </row>
    <row r="24" s="3" customFormat="1" ht="15.75" spans="1:19">
      <c r="A24" s="61"/>
      <c r="B24" s="61"/>
      <c r="O24" s="64"/>
      <c r="P24" s="64"/>
      <c r="R24" s="63"/>
    </row>
    <row r="25" s="3" customFormat="1" ht="15.75" spans="1:19">
      <c r="A25" s="65" t="s">
        <v>933</v>
      </c>
      <c r="B25" s="66"/>
      <c r="C25" s="66"/>
      <c r="D25" s="66"/>
      <c r="E25" s="66"/>
    </row>
    <row r="26" s="3" customFormat="1" ht="15.75" spans="1:19">
      <c r="A26" s="67"/>
      <c r="B26" s="66"/>
      <c r="C26" s="66"/>
      <c r="D26" s="66"/>
      <c r="E26" s="66"/>
    </row>
    <row r="27" s="3" customFormat="1" ht="15.75" spans="1:19">
      <c r="A27" s="68" t="str">
        <f>'НМЦК СК'!A27</f>
        <v>март 2023 / март 2022</v>
      </c>
      <c r="B27" s="68">
        <f>'НМЦК СК'!B27</f>
        <v>108.6</v>
      </c>
      <c r="C27" s="69">
        <f>B27/100</f>
        <v>1.086</v>
      </c>
      <c r="D27" s="70"/>
      <c r="E27" s="70"/>
    </row>
    <row r="28" s="3" customFormat="1" ht="15.75" spans="1:19">
      <c r="A28" s="68" t="str">
        <f>'НМЦК СК'!A28</f>
        <v>март 2024 / март 2023</v>
      </c>
      <c r="B28" s="68">
        <f>'НМЦК СК'!B28</f>
        <v>109.53</v>
      </c>
      <c r="C28" s="69">
        <f t="shared" ref="C28:C33" si="2">B28/100</f>
        <v>1.0953</v>
      </c>
      <c r="D28" s="70"/>
      <c r="E28" s="70"/>
    </row>
    <row r="29" s="3" customFormat="1" ht="15.75" spans="1:19">
      <c r="A29" s="68" t="str">
        <f>'НМЦК СК'!A29</f>
        <v>март 2025 / март  2024</v>
      </c>
      <c r="B29" s="68">
        <f>'НМЦК СК'!B29</f>
        <v>106.56</v>
      </c>
      <c r="C29" s="69">
        <f t="shared" si="2"/>
        <v>1.0656</v>
      </c>
      <c r="D29" s="70"/>
      <c r="E29" s="70"/>
    </row>
    <row r="30" s="3" customFormat="1" ht="15.75" spans="1:19">
      <c r="A30" s="68">
        <f>'НМЦК СК'!A30</f>
        <v>45748</v>
      </c>
      <c r="B30" s="68">
        <f>'НМЦК СК'!B30</f>
        <v>98.08</v>
      </c>
      <c r="C30" s="69">
        <f t="shared" si="2"/>
        <v>0.9808</v>
      </c>
      <c r="D30" s="70"/>
      <c r="E30" s="70"/>
    </row>
    <row r="31" s="3" customFormat="1" ht="15.75" spans="1:19">
      <c r="A31" s="68">
        <f>'НМЦК СК'!A31</f>
        <v>45778</v>
      </c>
      <c r="B31" s="68">
        <f>'НМЦК СК'!B31</f>
        <v>101.17</v>
      </c>
      <c r="C31" s="69">
        <f t="shared" si="2"/>
        <v>1.0117</v>
      </c>
      <c r="D31" s="70"/>
      <c r="E31" s="70"/>
    </row>
    <row r="32" s="3" customFormat="1" ht="15.75" spans="1:19">
      <c r="A32" s="68">
        <f>'НМЦК СК'!A32</f>
        <v>45809</v>
      </c>
      <c r="B32" s="68">
        <f>'НМЦК СК'!B32</f>
        <v>103.19</v>
      </c>
      <c r="C32" s="69">
        <f t="shared" si="2"/>
        <v>1.0319</v>
      </c>
      <c r="D32" s="70"/>
      <c r="E32" s="70"/>
    </row>
    <row r="33" s="3" customFormat="1" ht="15.75" spans="1:12">
      <c r="A33" s="68">
        <f>'НМЦК СК'!A33</f>
        <v>45839</v>
      </c>
      <c r="B33" s="68">
        <f>'НМЦК СК'!B33</f>
        <v>100.64</v>
      </c>
      <c r="C33" s="69">
        <f t="shared" si="2"/>
        <v>1.0064</v>
      </c>
      <c r="D33" s="70"/>
      <c r="E33" s="70"/>
    </row>
    <row r="34" s="3" customFormat="1" ht="15.75" spans="1:12">
      <c r="A34" s="71"/>
      <c r="B34" s="71"/>
      <c r="C34" s="72"/>
      <c r="D34" s="70"/>
      <c r="E34" s="70"/>
    </row>
    <row r="35" s="3" customFormat="1" ht="15.75" spans="1:12">
      <c r="A35" s="73"/>
      <c r="B35" s="74" t="s">
        <v>41</v>
      </c>
      <c r="C35" s="75">
        <f>C27*C28*C29*C30*C31*C32*C33</f>
        <v>1.3062</v>
      </c>
      <c r="D35" s="66"/>
      <c r="E35" s="66"/>
    </row>
    <row r="36" s="3" customFormat="1" ht="15.75" spans="1:12">
      <c r="A36" s="61"/>
      <c r="B36" s="61"/>
    </row>
    <row r="37" ht="15.75" customHeight="1" spans="1:12">
      <c r="A37" s="76" t="s">
        <v>934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</row>
    <row r="38" ht="15.75" customHeight="1" spans="1:12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</row>
    <row r="39" ht="15.75" customHeight="1" spans="1:12">
      <c r="A39" s="77"/>
      <c r="B39" s="77"/>
      <c r="C39" s="78"/>
      <c r="D39" s="78"/>
      <c r="E39" s="79"/>
      <c r="F39" s="79"/>
      <c r="G39" s="80"/>
      <c r="H39" s="80"/>
      <c r="I39" s="80"/>
      <c r="J39" s="80"/>
      <c r="K39" s="80"/>
      <c r="L39" s="81"/>
    </row>
    <row r="40" ht="15.75" customHeight="1" spans="1:12">
      <c r="A40" s="82" t="s">
        <v>962</v>
      </c>
      <c r="E40" s="83"/>
      <c r="F40" s="83"/>
      <c r="G40" s="84">
        <v>12</v>
      </c>
      <c r="H40" s="85" t="s">
        <v>39</v>
      </c>
      <c r="I40" s="86">
        <f>B41</f>
        <v>0</v>
      </c>
      <c r="J40" s="87" t="s">
        <v>40</v>
      </c>
      <c r="K40" s="88">
        <f>I40^(1/G40)</f>
        <v>0</v>
      </c>
      <c r="L40" s="88"/>
    </row>
    <row r="41" ht="15.75" customHeight="1" spans="1:12">
      <c r="A41" s="82"/>
      <c r="B41" s="81">
        <f>Справка!F26</f>
        <v>0</v>
      </c>
      <c r="C41" s="89" t="s">
        <v>963</v>
      </c>
      <c r="D41" s="89"/>
      <c r="E41" s="83"/>
      <c r="F41" s="83"/>
      <c r="G41" s="84"/>
      <c r="H41" s="85"/>
      <c r="I41" s="90"/>
      <c r="J41" s="87"/>
      <c r="K41" s="88"/>
      <c r="L41" s="88"/>
    </row>
    <row r="42" ht="15.75" customHeight="1" spans="1:12">
      <c r="A42" s="82"/>
      <c r="B42" s="81"/>
      <c r="C42" s="83"/>
      <c r="D42" s="83"/>
      <c r="E42" s="83"/>
      <c r="F42" s="83"/>
      <c r="G42" s="84"/>
      <c r="H42" s="85"/>
      <c r="I42" s="90"/>
      <c r="J42" s="87"/>
      <c r="K42" s="88"/>
      <c r="L42" s="88"/>
    </row>
    <row r="43" ht="15.75" customHeight="1" spans="1:12">
      <c r="A43" s="82" t="s">
        <v>964</v>
      </c>
      <c r="B43" s="81"/>
      <c r="E43" s="83"/>
      <c r="F43" s="83"/>
      <c r="G43" s="91">
        <v>12</v>
      </c>
      <c r="H43" s="85" t="s">
        <v>39</v>
      </c>
      <c r="I43" s="86">
        <f>B44</f>
        <v>1.078</v>
      </c>
      <c r="J43" s="87" t="s">
        <v>40</v>
      </c>
      <c r="K43" s="88">
        <f>I43^(1/G43)</f>
        <v>1.0063</v>
      </c>
      <c r="L43" s="88"/>
    </row>
    <row r="44" ht="15.75" customHeight="1" spans="1:12">
      <c r="A44" s="82"/>
      <c r="B44" s="81">
        <f>Справка!F41</f>
        <v>1.078</v>
      </c>
      <c r="C44" s="89" t="s">
        <v>135</v>
      </c>
      <c r="D44" s="89"/>
      <c r="E44" s="83"/>
      <c r="F44" s="83"/>
      <c r="G44" s="91"/>
      <c r="H44" s="85"/>
      <c r="I44" s="90"/>
      <c r="J44" s="87"/>
      <c r="K44" s="88"/>
      <c r="L44" s="88"/>
    </row>
    <row r="45" ht="15.75" customHeight="1" spans="1:12">
      <c r="A45" s="82"/>
      <c r="B45" s="81"/>
      <c r="C45" s="83"/>
      <c r="D45" s="83"/>
      <c r="E45" s="83"/>
      <c r="F45" s="83"/>
      <c r="G45" s="91"/>
      <c r="H45" s="85"/>
      <c r="I45" s="90"/>
      <c r="J45" s="87"/>
      <c r="K45" s="88"/>
      <c r="L45" s="88"/>
    </row>
    <row r="46" ht="15.75" customHeight="1" spans="1:12">
      <c r="A46" s="82" t="s">
        <v>965</v>
      </c>
      <c r="B46" s="81"/>
      <c r="E46" s="83"/>
      <c r="F46" s="83"/>
      <c r="G46" s="91">
        <v>12</v>
      </c>
      <c r="H46" s="85" t="s">
        <v>39</v>
      </c>
      <c r="I46" s="86">
        <f>B47</f>
        <v>1.077</v>
      </c>
      <c r="J46" s="87" t="s">
        <v>40</v>
      </c>
      <c r="K46" s="88">
        <f>I46^(1/G46)</f>
        <v>1.0062</v>
      </c>
      <c r="L46" s="88"/>
    </row>
    <row r="47" ht="15.75" customHeight="1" spans="1:12">
      <c r="A47" s="82"/>
      <c r="B47" s="81">
        <f>Справка!F44</f>
        <v>1.077</v>
      </c>
      <c r="C47" s="89" t="s">
        <v>137</v>
      </c>
      <c r="D47" s="89"/>
      <c r="E47" s="83"/>
      <c r="F47" s="83"/>
      <c r="G47" s="91"/>
      <c r="H47" s="85"/>
      <c r="I47" s="90"/>
      <c r="J47" s="87"/>
      <c r="K47" s="88"/>
      <c r="L47" s="88"/>
    </row>
    <row r="48" ht="15.75" spans="1:12">
      <c r="A48" s="82"/>
      <c r="B48" s="80"/>
      <c r="C48" s="83"/>
      <c r="D48" s="83"/>
      <c r="E48" s="83"/>
      <c r="F48" s="83"/>
      <c r="G48" s="91"/>
      <c r="H48" s="85"/>
      <c r="I48" s="90"/>
      <c r="J48" s="87"/>
      <c r="K48" s="88"/>
      <c r="L48" s="88"/>
    </row>
    <row r="50" ht="15.75" customHeight="1" spans="1:18">
      <c r="A50" s="66" t="s">
        <v>966</v>
      </c>
      <c r="B50" s="92"/>
      <c r="C50" s="92"/>
      <c r="D50" s="93">
        <f>ROUND(F50/(F50+F51+F52),5)</f>
        <v>0</v>
      </c>
      <c r="E50" s="92"/>
      <c r="F50" s="92">
        <v>0</v>
      </c>
      <c r="G50" s="92" t="s">
        <v>939</v>
      </c>
      <c r="H50" s="92"/>
      <c r="I50" s="92"/>
      <c r="J50" s="92"/>
      <c r="K50" s="92"/>
      <c r="L50" s="92"/>
      <c r="M50" s="92"/>
      <c r="N50" s="92"/>
      <c r="O50" s="92"/>
    </row>
    <row r="51" ht="15.75" spans="1:18">
      <c r="A51" s="66" t="s">
        <v>967</v>
      </c>
      <c r="B51" s="94"/>
      <c r="C51" s="94"/>
      <c r="D51" s="93">
        <v>0</v>
      </c>
      <c r="E51" s="94"/>
      <c r="F51" s="92">
        <v>2</v>
      </c>
      <c r="G51" s="92" t="s">
        <v>939</v>
      </c>
      <c r="H51" s="94"/>
      <c r="I51" s="94"/>
      <c r="J51" s="94"/>
      <c r="K51" s="94"/>
      <c r="L51" s="94"/>
      <c r="M51" s="94"/>
      <c r="N51" s="94"/>
      <c r="O51" s="94"/>
    </row>
    <row r="52" ht="15.75" spans="1:18">
      <c r="A52" s="66" t="s">
        <v>968</v>
      </c>
      <c r="B52" s="94"/>
      <c r="C52" s="94"/>
      <c r="D52" s="93">
        <v>1</v>
      </c>
      <c r="E52" s="94"/>
      <c r="F52" s="92">
        <v>2</v>
      </c>
      <c r="G52" s="92" t="s">
        <v>939</v>
      </c>
      <c r="H52" s="94"/>
      <c r="I52" s="94"/>
      <c r="J52" s="94"/>
      <c r="K52" s="94"/>
      <c r="L52" s="94"/>
      <c r="M52" s="94"/>
      <c r="N52" s="94"/>
      <c r="O52" s="94"/>
    </row>
    <row r="53" ht="16.5" customHeight="1" spans="1:18">
      <c r="A53" s="82"/>
      <c r="B53" s="81"/>
      <c r="C53" s="83"/>
      <c r="D53" s="83"/>
      <c r="E53" s="83"/>
      <c r="F53" s="83"/>
      <c r="G53" s="91"/>
      <c r="H53" s="85"/>
      <c r="I53" s="87"/>
      <c r="J53" s="87"/>
      <c r="K53" s="95"/>
      <c r="L53" s="95"/>
    </row>
    <row r="54" ht="16.5" customHeight="1" spans="1:18">
      <c r="A54" s="76" t="s">
        <v>47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ht="15.75" spans="1:18">
      <c r="A55" s="79"/>
      <c r="B55" s="79"/>
      <c r="C55" s="79"/>
      <c r="D55" s="79"/>
      <c r="E55" s="79"/>
      <c r="F55" s="79"/>
      <c r="G55" s="96"/>
      <c r="H55" s="96"/>
      <c r="I55" s="96"/>
      <c r="J55" s="96"/>
      <c r="K55" s="97"/>
      <c r="L55" s="98"/>
    </row>
    <row r="56" ht="18" spans="1:18">
      <c r="A56" s="96" t="s">
        <v>969</v>
      </c>
      <c r="B56" s="99" t="s">
        <v>943</v>
      </c>
      <c r="C56" s="100">
        <f>D65</f>
        <v>0</v>
      </c>
      <c r="D56" s="101" t="s">
        <v>944</v>
      </c>
      <c r="E56" s="102">
        <f>(C56-1)/2+1</f>
        <v>0.5</v>
      </c>
      <c r="F56" s="99"/>
      <c r="I56" s="3"/>
      <c r="J56" s="3"/>
      <c r="K56" s="103"/>
      <c r="L56" s="104"/>
      <c r="M56" s="105"/>
      <c r="N56" s="104"/>
      <c r="O56" s="3"/>
      <c r="P56" s="3"/>
      <c r="Q56" s="3"/>
      <c r="R56" s="3"/>
    </row>
    <row r="57" ht="15.75" spans="1:18">
      <c r="A57" s="106"/>
      <c r="B57" s="106"/>
      <c r="C57" s="106"/>
      <c r="D57" s="107"/>
      <c r="E57" s="107"/>
      <c r="F57" s="107"/>
      <c r="G57" s="108"/>
      <c r="H57" s="108"/>
      <c r="I57" s="108"/>
      <c r="J57" s="108"/>
      <c r="K57" s="97"/>
      <c r="L57" s="97"/>
      <c r="M57" s="105"/>
      <c r="N57" s="104"/>
      <c r="O57" s="3"/>
      <c r="P57" s="3"/>
      <c r="Q57" s="3"/>
      <c r="R57" s="3"/>
    </row>
    <row r="58" ht="18" spans="1:18">
      <c r="A58" s="96" t="s">
        <v>970</v>
      </c>
      <c r="B58" s="109" t="s">
        <v>971</v>
      </c>
      <c r="C58" s="109"/>
      <c r="D58" s="100">
        <f>D65</f>
        <v>0</v>
      </c>
      <c r="E58" s="100" t="s">
        <v>946</v>
      </c>
      <c r="F58" s="110">
        <f>D68</f>
        <v>1.0063</v>
      </c>
      <c r="G58" s="110" t="s">
        <v>54</v>
      </c>
      <c r="H58" s="110">
        <f>D69</f>
        <v>1.0783</v>
      </c>
      <c r="I58" s="110"/>
      <c r="J58" s="99" t="s">
        <v>947</v>
      </c>
      <c r="K58" s="111"/>
      <c r="L58" s="112">
        <f>ROUND(D58*(F58+H58)/2,4)</f>
        <v>0</v>
      </c>
      <c r="M58" s="113"/>
      <c r="N58" s="104"/>
      <c r="O58" s="3"/>
      <c r="P58" s="3"/>
      <c r="Q58" s="3"/>
      <c r="R58" s="3"/>
    </row>
    <row r="59" ht="15.75" spans="1:18">
      <c r="A59" s="96"/>
      <c r="B59" s="109"/>
      <c r="C59" s="114"/>
      <c r="D59" s="114"/>
      <c r="E59" s="99"/>
      <c r="F59" s="114"/>
      <c r="G59" s="99"/>
      <c r="H59" s="99"/>
      <c r="I59" s="99"/>
      <c r="J59" s="99"/>
      <c r="K59" s="111"/>
      <c r="L59" s="111"/>
      <c r="M59" s="105"/>
      <c r="N59" s="115"/>
      <c r="O59" s="3"/>
      <c r="P59" s="3"/>
      <c r="Q59" s="3"/>
      <c r="R59" s="3"/>
    </row>
    <row r="60" ht="18" spans="1:18">
      <c r="A60" s="96" t="s">
        <v>972</v>
      </c>
      <c r="B60" s="109" t="s">
        <v>948</v>
      </c>
      <c r="C60" s="109"/>
      <c r="D60" s="109"/>
      <c r="E60" s="100">
        <f>D65</f>
        <v>0</v>
      </c>
      <c r="F60" s="100" t="s">
        <v>53</v>
      </c>
      <c r="G60" s="100">
        <f>D69</f>
        <v>1.0783</v>
      </c>
      <c r="H60" s="100" t="s">
        <v>946</v>
      </c>
      <c r="I60" s="100">
        <f>D71</f>
        <v>1.0062</v>
      </c>
      <c r="J60" s="100"/>
      <c r="K60" s="100" t="s">
        <v>54</v>
      </c>
      <c r="L60" s="110">
        <f>D72</f>
        <v>1.0638</v>
      </c>
      <c r="M60" s="110" t="s">
        <v>947</v>
      </c>
      <c r="N60" s="112">
        <f>ROUND(E60*G60*(I60+L60)/2,4)</f>
        <v>0</v>
      </c>
      <c r="Q60" s="3"/>
      <c r="R60" s="3"/>
    </row>
    <row r="61" ht="15.75" spans="1:18">
      <c r="A61" s="79"/>
      <c r="B61" s="79"/>
      <c r="C61" s="79"/>
      <c r="D61" s="79"/>
      <c r="E61" s="79"/>
      <c r="F61" s="79"/>
      <c r="G61" s="96"/>
      <c r="H61" s="96"/>
      <c r="I61" s="96"/>
      <c r="J61" s="96"/>
      <c r="K61" s="97"/>
      <c r="L61" s="97"/>
      <c r="M61" s="3"/>
      <c r="N61" s="3"/>
      <c r="O61" s="3"/>
      <c r="P61" s="3"/>
      <c r="Q61" s="3"/>
      <c r="R61" s="3"/>
    </row>
    <row r="62" customHeight="1" spans="1:18">
      <c r="A62" s="96" t="s">
        <v>949</v>
      </c>
      <c r="B62" s="96"/>
      <c r="C62" s="96"/>
      <c r="D62" s="116" t="str">
        <f>CONCATENATE(D50,"*",E56,"+",D51,"*",L58,"+",D52,"*",N60," =",)</f>
        <v>0*0,5+0*0+1*0 =</v>
      </c>
      <c r="E62" s="116"/>
      <c r="F62" s="116"/>
      <c r="G62" s="116"/>
      <c r="H62" s="117">
        <f>D50*E56+D51*L58+D52*N60</f>
        <v>0</v>
      </c>
      <c r="I62" s="117"/>
      <c r="J62" s="117"/>
      <c r="K62" s="118"/>
      <c r="M62" s="119"/>
      <c r="O62" s="120"/>
      <c r="P62" s="121"/>
      <c r="Q62" s="120"/>
    </row>
    <row r="63" ht="32.25" customHeight="1" spans="1:18">
      <c r="A63" s="79"/>
      <c r="B63" s="79"/>
      <c r="C63" s="79"/>
      <c r="D63" s="79"/>
      <c r="E63" s="79"/>
      <c r="F63" s="79"/>
      <c r="G63" s="96"/>
      <c r="H63" s="96"/>
      <c r="I63" s="96"/>
      <c r="J63" s="96"/>
      <c r="K63" s="97"/>
      <c r="L63" s="97"/>
    </row>
    <row r="64" ht="20.25" customHeight="1" spans="1:18">
      <c r="A64" s="122" t="s">
        <v>56</v>
      </c>
      <c r="B64" s="89"/>
      <c r="C64" s="89"/>
      <c r="D64" s="89"/>
      <c r="E64" s="123" t="s">
        <v>950</v>
      </c>
      <c r="F64" s="123"/>
      <c r="G64" s="89" t="s">
        <v>58</v>
      </c>
      <c r="H64" s="81"/>
    </row>
    <row r="65" ht="15.75" spans="1:13">
      <c r="A65" s="124">
        <v>2022</v>
      </c>
      <c r="B65" s="125"/>
      <c r="C65" s="88">
        <f>'НМЦК СК'!C64</f>
        <v>0</v>
      </c>
      <c r="D65" s="126">
        <f>'НМЦК СК'!D64</f>
        <v>0</v>
      </c>
      <c r="E65" s="127">
        <v>5</v>
      </c>
      <c r="F65" s="127"/>
      <c r="G65" s="128" t="s">
        <v>973</v>
      </c>
      <c r="H65" s="81"/>
    </row>
    <row r="66" ht="15.75" spans="1:13">
      <c r="A66" s="124"/>
      <c r="B66" s="125"/>
      <c r="C66" s="88">
        <f>'НМЦК СК'!C65</f>
        <v>0</v>
      </c>
      <c r="D66" s="126">
        <f>'НМЦК СК'!D65</f>
        <v>0</v>
      </c>
      <c r="E66" s="127"/>
      <c r="F66" s="127"/>
      <c r="G66" s="128"/>
      <c r="H66" s="81"/>
    </row>
    <row r="67" ht="15.75" spans="1:13">
      <c r="A67" s="124">
        <v>2023</v>
      </c>
      <c r="B67" s="125"/>
      <c r="C67" s="88"/>
      <c r="D67" s="126"/>
      <c r="E67" s="127">
        <v>12</v>
      </c>
      <c r="F67" s="127"/>
      <c r="G67" s="128" t="s">
        <v>974</v>
      </c>
      <c r="H67" s="81"/>
      <c r="M67" s="128"/>
    </row>
    <row r="68" ht="15.75" spans="1:13">
      <c r="A68" s="124">
        <v>2024</v>
      </c>
      <c r="B68" s="129"/>
      <c r="C68" s="88">
        <f>'НМЦК СК'!C67</f>
        <v>1.0063</v>
      </c>
      <c r="D68" s="126">
        <f>'НМЦК СК'!D67</f>
        <v>1.0063</v>
      </c>
      <c r="E68" s="130">
        <v>11</v>
      </c>
      <c r="F68" s="130"/>
      <c r="G68" s="128" t="s">
        <v>975</v>
      </c>
    </row>
    <row r="69" ht="15.75" spans="1:13">
      <c r="C69" s="88">
        <f>'НМЦК СК'!C68</f>
        <v>1.0063</v>
      </c>
      <c r="D69" s="126">
        <f>'НМЦК СК'!D68</f>
        <v>1.0783</v>
      </c>
    </row>
    <row r="70" ht="15.75" spans="1:13">
      <c r="C70" s="88"/>
      <c r="D70" s="126"/>
      <c r="E70" s="131"/>
      <c r="F70" s="131"/>
      <c r="G70" s="131"/>
      <c r="H70" s="131"/>
      <c r="I70" s="131"/>
      <c r="J70" s="131"/>
      <c r="K70" s="131"/>
      <c r="L70" s="131"/>
    </row>
    <row r="71" ht="15.75" spans="1:13">
      <c r="C71" s="88">
        <f>'НМЦК СК'!C70</f>
        <v>1.0062</v>
      </c>
      <c r="D71" s="126">
        <f>'НМЦК СК'!D70</f>
        <v>1.0062</v>
      </c>
      <c r="E71" s="131"/>
      <c r="F71" s="131"/>
      <c r="G71" s="131"/>
      <c r="H71" s="131"/>
      <c r="I71" s="131"/>
      <c r="J71" s="131"/>
      <c r="K71" s="131"/>
      <c r="L71" s="131"/>
    </row>
    <row r="72" ht="15.75" spans="1:13">
      <c r="C72" s="88">
        <f>'НМЦК СК'!C71</f>
        <v>1.0062</v>
      </c>
      <c r="D72" s="126">
        <f>'НМЦК СК'!D71</f>
        <v>1.0638</v>
      </c>
      <c r="E72" s="131"/>
      <c r="F72" s="131"/>
      <c r="G72" s="131"/>
      <c r="H72" s="131"/>
      <c r="I72" s="131"/>
      <c r="J72" s="131"/>
      <c r="K72" s="131"/>
      <c r="L72" s="131"/>
    </row>
    <row r="73" ht="15.75" spans="1:13">
      <c r="C73" s="88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>
      <c r="C77" s="131"/>
      <c r="D77" s="131"/>
      <c r="E77" s="131"/>
      <c r="F77" s="131"/>
      <c r="G77" s="131"/>
      <c r="H77" s="131"/>
      <c r="I77" s="131"/>
      <c r="J77" s="131"/>
      <c r="K77" s="131"/>
      <c r="L77" s="131"/>
    </row>
    <row r="78" spans="1:13">
      <c r="C78" s="131"/>
      <c r="D78" s="131"/>
      <c r="E78" s="131"/>
      <c r="F78" s="131"/>
      <c r="G78" s="131"/>
      <c r="H78" s="131"/>
      <c r="I78" s="131"/>
      <c r="J78" s="131"/>
      <c r="K78" s="131"/>
      <c r="L78" s="131"/>
    </row>
    <row r="79" spans="1:13">
      <c r="C79" s="131"/>
      <c r="D79" s="131"/>
      <c r="E79" s="131"/>
      <c r="F79" s="131"/>
      <c r="G79" s="131"/>
      <c r="H79" s="131"/>
      <c r="I79" s="131"/>
      <c r="J79" s="131"/>
      <c r="K79" s="131"/>
      <c r="L79" s="131"/>
    </row>
    <row r="80" spans="1:13">
      <c r="C80" s="131"/>
      <c r="D80" s="131"/>
      <c r="E80" s="131"/>
      <c r="F80" s="131"/>
      <c r="G80" s="131"/>
      <c r="H80" s="131"/>
      <c r="I80" s="131"/>
      <c r="J80" s="131"/>
      <c r="K80" s="131"/>
      <c r="L80" s="131"/>
    </row>
    <row r="81" spans="2:16">
      <c r="C81" s="131"/>
      <c r="D81" s="131"/>
      <c r="E81" s="131"/>
      <c r="F81" s="131"/>
      <c r="G81" s="131"/>
      <c r="H81" s="131"/>
      <c r="I81" s="131"/>
      <c r="J81" s="131"/>
      <c r="K81" s="131"/>
      <c r="L81" s="131"/>
    </row>
    <row r="82" spans="2:16">
      <c r="C82" s="131"/>
      <c r="D82" s="131"/>
      <c r="E82" s="131"/>
      <c r="F82" s="131"/>
      <c r="G82" s="131"/>
      <c r="H82" s="131"/>
      <c r="I82" s="131"/>
      <c r="J82" s="131"/>
      <c r="K82" s="131"/>
      <c r="L82" s="131"/>
    </row>
    <row r="83" spans="2:16">
      <c r="C83" s="131"/>
      <c r="D83" s="131"/>
      <c r="E83" s="131"/>
      <c r="F83" s="131"/>
      <c r="G83" s="131"/>
      <c r="H83" s="131"/>
      <c r="I83" s="131"/>
      <c r="J83" s="131"/>
      <c r="K83" s="131"/>
      <c r="L83" s="131"/>
    </row>
    <row r="84" spans="2:16">
      <c r="C84" s="131"/>
      <c r="D84" s="131"/>
      <c r="E84" s="131"/>
      <c r="F84" s="131"/>
      <c r="G84" s="131"/>
      <c r="H84" s="131"/>
      <c r="I84" s="131"/>
      <c r="J84" s="131"/>
      <c r="K84" s="131"/>
      <c r="L84" s="131"/>
    </row>
    <row r="85" spans="2:16">
      <c r="C85" s="131"/>
      <c r="D85" s="131"/>
      <c r="E85" s="131"/>
      <c r="F85" s="131"/>
      <c r="G85" s="131"/>
      <c r="H85" s="131"/>
      <c r="I85" s="131"/>
      <c r="J85" s="131"/>
      <c r="K85" s="131"/>
      <c r="L85" s="131"/>
    </row>
    <row r="86" ht="58.5" customHeight="1" spans="2:16">
      <c r="B86" s="119" t="s">
        <v>149</v>
      </c>
      <c r="C86" s="132" t="s">
        <v>954</v>
      </c>
      <c r="D86" s="132"/>
      <c r="E86" s="132"/>
      <c r="F86" s="132"/>
      <c r="G86" s="132"/>
      <c r="H86" s="132"/>
      <c r="I86" s="132"/>
      <c r="J86" s="132"/>
      <c r="K86" s="132"/>
      <c r="L86" s="133"/>
      <c r="M86" s="133"/>
      <c r="N86" s="134" t="s">
        <v>955</v>
      </c>
      <c r="O86" s="134"/>
      <c r="P86" s="135"/>
    </row>
    <row r="87" ht="58.5" customHeight="1" spans="2:16">
      <c r="B87" s="119" t="s">
        <v>152</v>
      </c>
      <c r="C87" s="136" t="s">
        <v>153</v>
      </c>
      <c r="D87" s="136"/>
      <c r="E87" s="136"/>
      <c r="F87" s="136"/>
      <c r="G87" s="136"/>
      <c r="H87" s="136"/>
      <c r="I87" s="136"/>
      <c r="J87" s="136"/>
      <c r="K87" s="136"/>
      <c r="L87" s="137"/>
      <c r="M87" s="137"/>
      <c r="N87" s="134" t="s">
        <v>151</v>
      </c>
      <c r="O87" s="134"/>
      <c r="P87" s="135"/>
    </row>
    <row r="88" ht="58.5" hidden="1" customHeight="1" spans="2:16">
      <c r="B88" s="138" t="s">
        <v>155</v>
      </c>
      <c r="C88" s="139" t="s">
        <v>956</v>
      </c>
      <c r="D88" s="139"/>
      <c r="E88" s="139"/>
      <c r="F88" s="139"/>
      <c r="G88" s="139"/>
      <c r="H88" s="139"/>
      <c r="I88" s="139"/>
      <c r="J88" s="139"/>
      <c r="K88" s="139"/>
      <c r="L88" s="140"/>
      <c r="M88" s="140"/>
      <c r="N88" s="141" t="s">
        <v>157</v>
      </c>
      <c r="O88" s="141"/>
      <c r="P88" s="135"/>
    </row>
  </sheetData>
  <mergeCells count="68">
    <mergeCell ref="O1:Q1"/>
    <mergeCell ref="O2:Q2"/>
    <mergeCell ref="O3:Q3"/>
    <mergeCell ref="O4:Q4"/>
    <mergeCell ref="A6:Q6"/>
    <mergeCell ref="A7:Q7"/>
    <mergeCell ref="A9:Q9"/>
    <mergeCell ref="A10:Q10"/>
    <mergeCell ref="A11:Q11"/>
    <mergeCell ref="L13:N13"/>
    <mergeCell ref="O13:Q13"/>
    <mergeCell ref="D15:E15"/>
    <mergeCell ref="F15:G15"/>
    <mergeCell ref="H15:K15"/>
    <mergeCell ref="D16:E16"/>
    <mergeCell ref="F16:G16"/>
    <mergeCell ref="H16:K16"/>
    <mergeCell ref="D17:E17"/>
    <mergeCell ref="F17:G17"/>
    <mergeCell ref="H17:K17"/>
    <mergeCell ref="D18:E18"/>
    <mergeCell ref="F18:G18"/>
    <mergeCell ref="H18:K18"/>
    <mergeCell ref="A19:O19"/>
    <mergeCell ref="A54:L54"/>
    <mergeCell ref="B58:C58"/>
    <mergeCell ref="H58:I58"/>
    <mergeCell ref="B60:D60"/>
    <mergeCell ref="I60:J60"/>
    <mergeCell ref="A62:C62"/>
    <mergeCell ref="D62:G62"/>
    <mergeCell ref="H62:J62"/>
    <mergeCell ref="E64:F64"/>
    <mergeCell ref="E65:F65"/>
    <mergeCell ref="E66:F66"/>
    <mergeCell ref="E67:F67"/>
    <mergeCell ref="E68:F68"/>
    <mergeCell ref="C86:K86"/>
    <mergeCell ref="N86:O86"/>
    <mergeCell ref="C87:K87"/>
    <mergeCell ref="N87:O87"/>
    <mergeCell ref="C88:K88"/>
    <mergeCell ref="N88:O88"/>
    <mergeCell ref="A13:A14"/>
    <mergeCell ref="A40:A42"/>
    <mergeCell ref="A43:A45"/>
    <mergeCell ref="A46:A48"/>
    <mergeCell ref="B13:B14"/>
    <mergeCell ref="C13:C14"/>
    <mergeCell ref="G40:G42"/>
    <mergeCell ref="G43:G45"/>
    <mergeCell ref="G46:G48"/>
    <mergeCell ref="H40:H42"/>
    <mergeCell ref="H43:H45"/>
    <mergeCell ref="H46:H48"/>
    <mergeCell ref="I40:I42"/>
    <mergeCell ref="I43:I45"/>
    <mergeCell ref="I46:I48"/>
    <mergeCell ref="J40:J42"/>
    <mergeCell ref="J43:J45"/>
    <mergeCell ref="J46:J48"/>
    <mergeCell ref="K46:L48"/>
    <mergeCell ref="K43:L45"/>
    <mergeCell ref="A37:L38"/>
    <mergeCell ref="K40:L42"/>
    <mergeCell ref="D13:E14"/>
    <mergeCell ref="F13:G14"/>
    <mergeCell ref="H13:K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Справка</vt:lpstr>
      <vt:lpstr>Затраты</vt:lpstr>
      <vt:lpstr>НМЦК подряд</vt:lpstr>
      <vt:lpstr>ССР </vt:lpstr>
      <vt:lpstr>Расчеты </vt:lpstr>
      <vt:lpstr>Проект сметы </vt:lpstr>
      <vt:lpstr>Ведомость объемов</vt:lpstr>
      <vt:lpstr>НМЦК СК</vt:lpstr>
      <vt:lpstr>НМЦК 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Melnik</dc:creator>
  <cp:lastModifiedBy>Ponkratova</cp:lastModifiedBy>
  <dcterms:created xsi:type="dcterms:W3CDTF">2022-01-25T04:20:00Z</dcterms:created>
  <cp:lastPrinted>2026-04-23T00:03:00Z</cp:lastPrinted>
  <dcterms:modified xsi:type="dcterms:W3CDTF">2026-04-29T02:22:43Z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BDC0FF9A4B82425C937BD63D51FF4DF6_12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