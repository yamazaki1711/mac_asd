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КСК-1\2026\посчитать\"/>
    </mc:Choice>
  </mc:AlternateContent>
  <xr:revisionPtr revIDLastSave="0" documentId="13_ncr:1_{DDD11318-E0FB-49A6-9416-F69364F8EB19}" xr6:coauthVersionLast="47" xr6:coauthVersionMax="47" xr10:uidLastSave="{00000000-0000-0000-0000-000000000000}"/>
  <bookViews>
    <workbookView xWindow="11160" yWindow="975" windowWidth="23745" windowHeight="20520" xr2:uid="{00000000-000D-0000-FFFF-FFFF00000000}"/>
  </bookViews>
  <sheets>
    <sheet name="Армобетонное покрытие причала -" sheetId="1" r:id="rId1"/>
  </sheets>
  <definedNames>
    <definedName name="_xlnm.Print_Titles" localSheetId="0">'Армобетонное покрытие причала -'!$5:$5</definedName>
    <definedName name="_xlnm.Print_Area" localSheetId="0">'Армобетонное покрытие причала -'!$A$1:$H$32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" i="1" l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<sst xmlns="http://schemas.openxmlformats.org/spreadsheetml/2006/main" count="126" uniqueCount="63">
  <si>
    <t>Ведомость объёмов работ</t>
  </si>
  <si>
    <t>№ п/п</t>
  </si>
  <si>
    <t>№ в ЛСР</t>
  </si>
  <si>
    <t>Наименование работ</t>
  </si>
  <si>
    <t>Ед.
изм.</t>
  </si>
  <si>
    <t>Кол-во</t>
  </si>
  <si>
    <t>Ссылки на чертежи</t>
  </si>
  <si>
    <t>Формула расчёта, расчёт объёмов работ и расхода материалов</t>
  </si>
  <si>
    <t>Раздел 1. Армобетонное покрытие причала</t>
  </si>
  <si>
    <t>1</t>
  </si>
  <si>
    <t>Устройство покрытий толщиной 15 см при укатке щебня с пределом прочности на сжатие до 68,6 МПа (700 кгс/см2): однослойных</t>
  </si>
  <si>
    <t>м2</t>
  </si>
  <si>
    <t xml:space="preserve">(3638 / 1000)*1000 </t>
  </si>
  <si>
    <t xml:space="preserve">1 </t>
  </si>
  <si>
    <t>2</t>
  </si>
  <si>
    <t>Щебень из плотных горных пород для строительных работ М 800, фракция 40-80(70) мм (материал давальческий)</t>
  </si>
  <si>
    <t>м3</t>
  </si>
  <si>
    <t xml:space="preserve"> </t>
  </si>
  <si>
    <t>3</t>
  </si>
  <si>
    <t>Щебень из плотных горных пород для строительных работ М 800, фракция 10-20 мм (материал заказчика)</t>
  </si>
  <si>
    <t xml:space="preserve">36,38+54,57 </t>
  </si>
  <si>
    <t>4</t>
  </si>
  <si>
    <t>На каждый 1 см изменения толщины слоя добавлять или исключать к нормам 27-04-014-01, 27-04-014-02, 27-04-014-03 (до 30 см)</t>
  </si>
  <si>
    <t>5</t>
  </si>
  <si>
    <t>6</t>
  </si>
  <si>
    <t>Устройство бетонной подготовки</t>
  </si>
  <si>
    <t xml:space="preserve">((3638*0,02) / 100)*100 </t>
  </si>
  <si>
    <t>7</t>
  </si>
  <si>
    <t>8</t>
  </si>
  <si>
    <t>Устройство цементобетонных покрытий однослойных средствами малой механизации, толщина слоя 20 см (с устройством швов расширения и швв сжатия)</t>
  </si>
  <si>
    <t>9</t>
  </si>
  <si>
    <t>Песок природный для строительных работ II класс, средний</t>
  </si>
  <si>
    <t>10</t>
  </si>
  <si>
    <t>Доска обрезная лиственных пород (береза), сухая, длина 2-3,75 м, все ширины, толщина 25, 32, 40 мм, сорт I</t>
  </si>
  <si>
    <t>11</t>
  </si>
  <si>
    <t>Доска обрезная хвойных пород, естественной влажности, длина 2-6,5 м, ширина 100-250 мм, толщина 25 мм, сорт III</t>
  </si>
  <si>
    <t>12</t>
  </si>
  <si>
    <t>Рубероид кровельный РКК-350</t>
  </si>
  <si>
    <t>13</t>
  </si>
  <si>
    <t>Мастика бутилкаучуковая строительная для герметизации швов цементобетонных покрытий</t>
  </si>
  <si>
    <t>кг</t>
  </si>
  <si>
    <t>14</t>
  </si>
  <si>
    <t>Битум нефтяной дорожный БНД 90/130</t>
  </si>
  <si>
    <t>т</t>
  </si>
  <si>
    <t>15</t>
  </si>
  <si>
    <t>Прокат арматурный для железобетонных конструкций, класс A400, диаметр 25 мм</t>
  </si>
  <si>
    <t xml:space="preserve">0,52+1.55 </t>
  </si>
  <si>
    <t>16</t>
  </si>
  <si>
    <t>Доска обрезная хвойных пород, естественной влажности, длина 2-6,5 м, ширина 100-250 мм, толщина 25 мм, сорт III (материал давальческий)</t>
  </si>
  <si>
    <t>17</t>
  </si>
  <si>
    <t>Мастика битумная приклеивающая для склеивания рулонных битумных, битумно-полимерных кровельных и гидроизоляционных материалов к бетонным, металлическим, цементно-песчаным поверхностям, холодная, готовая к применению, диапазон температур от -20 до +40 °C, прочность сцепления с металлом не менее/бетоном 0,45/0,6 МПа, расход 2,5-3,5 кг/м2 (материал давальческий)</t>
  </si>
  <si>
    <t xml:space="preserve">472,94+25,46 </t>
  </si>
  <si>
    <t>18</t>
  </si>
  <si>
    <t>Смеси бетонные тяжелого бетона (БСТ) на сульфастойком портландцементе, класс В30, F(1)150, W8 (материал давальческий)</t>
  </si>
  <si>
    <t>19</t>
  </si>
  <si>
    <t>Армирование цементобетонных покрытий: сетками</t>
  </si>
  <si>
    <t>20</t>
  </si>
  <si>
    <t>Сталь арматурная горячекатаная периодического профиля, класс A-III (А400), диаметр 12 мм (материал давальческий)</t>
  </si>
  <si>
    <t>Составил:</t>
  </si>
  <si>
    <t/>
  </si>
  <si>
    <t>[должность, подпись (инициалы, фамилия)]</t>
  </si>
  <si>
    <t>Проверил:</t>
  </si>
  <si>
    <t>Смеси бетонные мелкозернистого бетона (БСМ), класс В7,5 (М100)  (материал заказчика)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</si>
</sst>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00000"/>
    <numFmt numFmtId="168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14"/>
      <color rgb="FF000000"/>
      <name val="Arial"/>
      <charset val="204"/>
    </font>
    <font>
      <b/>
      <sz val="9"/>
      <color rgb="FF000000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8"/>
      <color rgb="FF000000"/>
      <name val="Arial"/>
      <charset val="204"/>
    </font>
    <font>
      <sz val="8"/>
      <color rgb="FFFF0000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1" fillId="0" borderId="1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center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0" fontId="1" fillId="0" borderId="1" xfId="0" applyNumberFormat="1" applyFont="1" applyFill="1" applyBorder="1" applyAlignment="1" applyProtection="1">
      <alignment horizontal="right" vertical="top" wrapText="1"/>
    </xf>
    <xf numFmtId="164" fontId="1" fillId="0" borderId="1" xfId="0" applyNumberFormat="1" applyFont="1" applyFill="1" applyBorder="1" applyAlignment="1" applyProtection="1">
      <alignment horizontal="right" vertical="top" wrapText="1"/>
    </xf>
    <xf numFmtId="2" fontId="1" fillId="0" borderId="1" xfId="0" applyNumberFormat="1" applyFont="1" applyFill="1" applyBorder="1" applyAlignment="1" applyProtection="1">
      <alignment horizontal="right" vertical="top" wrapText="1"/>
    </xf>
    <xf numFmtId="165" fontId="1" fillId="0" borderId="1" xfId="0" applyNumberFormat="1" applyFont="1" applyFill="1" applyBorder="1" applyAlignment="1" applyProtection="1">
      <alignment horizontal="right" vertical="top" wrapText="1"/>
    </xf>
    <xf numFmtId="166" fontId="1" fillId="0" borderId="1" xfId="0" applyNumberFormat="1" applyFont="1" applyFill="1" applyBorder="1" applyAlignment="1" applyProtection="1">
      <alignment horizontal="right" vertical="top" wrapText="1"/>
    </xf>
    <xf numFmtId="167" fontId="1" fillId="0" borderId="1" xfId="0" applyNumberFormat="1" applyFont="1" applyFill="1" applyBorder="1" applyAlignment="1" applyProtection="1">
      <alignment horizontal="right" vertical="top" wrapText="1"/>
    </xf>
    <xf numFmtId="168" fontId="1" fillId="0" borderId="1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right" vertical="top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vertical="top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vertical="top"/>
    </xf>
    <xf numFmtId="0" fontId="6" fillId="0" borderId="0" xfId="0" applyNumberFormat="1" applyFont="1" applyFill="1" applyBorder="1" applyAlignment="1" applyProtection="1">
      <alignment vertical="top" wrapText="1"/>
    </xf>
    <xf numFmtId="0" fontId="7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vertical="top" wrapText="1"/>
    </xf>
    <xf numFmtId="0" fontId="4" fillId="0" borderId="4" xfId="0" applyNumberFormat="1" applyFont="1" applyFill="1" applyBorder="1" applyAlignment="1" applyProtection="1">
      <alignment horizontal="right" vertical="top" wrapText="1"/>
    </xf>
    <xf numFmtId="0" fontId="5" fillId="0" borderId="5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C40"/>
  <sheetViews>
    <sheetView tabSelected="1" workbookViewId="0">
      <selection activeCell="C16" sqref="C16"/>
    </sheetView>
  </sheetViews>
  <sheetFormatPr defaultColWidth="9.140625" defaultRowHeight="11.25" customHeight="1" x14ac:dyDescent="0.2"/>
  <cols>
    <col min="1" max="1" width="5.5703125" style="1" customWidth="1"/>
    <col min="2" max="2" width="5.5703125" style="2" customWidth="1"/>
    <col min="3" max="3" width="44.42578125" style="2" customWidth="1"/>
    <col min="4" max="4" width="10.7109375" style="2" customWidth="1"/>
    <col min="5" max="5" width="12.28515625" style="2" customWidth="1"/>
    <col min="6" max="6" width="12.5703125" style="2" customWidth="1"/>
    <col min="7" max="7" width="22.140625" style="2" customWidth="1"/>
    <col min="8" max="8" width="22" style="2" customWidth="1"/>
    <col min="9" max="9" width="9.140625" style="2"/>
    <col min="10" max="10" width="4.7109375" style="2" hidden="1" customWidth="1"/>
    <col min="11" max="16" width="9.140625" style="2"/>
    <col min="17" max="17" width="135.28515625" style="3" hidden="1" customWidth="1"/>
    <col min="18" max="19" width="55.140625" style="4" hidden="1" customWidth="1"/>
    <col min="20" max="23" width="69" style="5" hidden="1" customWidth="1"/>
    <col min="24" max="25" width="55.140625" style="4" hidden="1" customWidth="1"/>
    <col min="26" max="29" width="69" style="5" hidden="1" customWidth="1"/>
    <col min="30" max="16384" width="9.140625" style="2"/>
  </cols>
  <sheetData>
    <row r="2" spans="1:17" customFormat="1" ht="18" x14ac:dyDescent="0.25">
      <c r="A2" s="33" t="s">
        <v>0</v>
      </c>
      <c r="B2" s="33"/>
      <c r="C2" s="33"/>
      <c r="D2" s="33"/>
      <c r="E2" s="33"/>
      <c r="F2" s="33"/>
      <c r="G2" s="33"/>
      <c r="H2" s="33"/>
    </row>
    <row r="3" spans="1:17" customFormat="1" ht="9.75" customHeight="1" x14ac:dyDescent="0.25">
      <c r="A3" s="6"/>
    </row>
    <row r="4" spans="1:17" customFormat="1" ht="36" customHeight="1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34" t="s">
        <v>7</v>
      </c>
      <c r="H4" s="34"/>
    </row>
    <row r="5" spans="1:17" customFormat="1" ht="15" x14ac:dyDescent="0.25">
      <c r="A5" s="9">
        <v>1</v>
      </c>
      <c r="B5" s="10">
        <v>2</v>
      </c>
      <c r="C5" s="10">
        <v>3</v>
      </c>
      <c r="D5" s="10">
        <v>4</v>
      </c>
      <c r="E5" s="10">
        <v>5</v>
      </c>
      <c r="F5" s="10">
        <v>6</v>
      </c>
      <c r="G5" s="35">
        <v>7</v>
      </c>
      <c r="H5" s="36"/>
    </row>
    <row r="6" spans="1:17" customFormat="1" ht="15" x14ac:dyDescent="0.25">
      <c r="A6" s="37" t="s">
        <v>8</v>
      </c>
      <c r="B6" s="37"/>
      <c r="C6" s="37"/>
      <c r="D6" s="37"/>
      <c r="E6" s="37"/>
      <c r="F6" s="37"/>
      <c r="G6" s="37"/>
      <c r="H6" s="37"/>
      <c r="Q6" s="11" t="s">
        <v>8</v>
      </c>
    </row>
    <row r="7" spans="1:17" customFormat="1" ht="33.75" x14ac:dyDescent="0.25">
      <c r="A7" s="12">
        <f>IF(J7&lt;&gt;"",COUNTA(J$1:J7),"")</f>
        <v>1</v>
      </c>
      <c r="B7" s="13" t="s">
        <v>9</v>
      </c>
      <c r="C7" s="14" t="s">
        <v>10</v>
      </c>
      <c r="D7" s="15" t="s">
        <v>11</v>
      </c>
      <c r="E7" s="16">
        <v>3638</v>
      </c>
      <c r="F7" s="14"/>
      <c r="G7" s="16"/>
      <c r="H7" s="14" t="s">
        <v>12</v>
      </c>
      <c r="J7" s="2" t="s">
        <v>13</v>
      </c>
      <c r="Q7" s="11"/>
    </row>
    <row r="8" spans="1:17" customFormat="1" ht="33.75" x14ac:dyDescent="0.25">
      <c r="A8" s="12">
        <f>IF(J8&lt;&gt;"",COUNTA(J$1:J8),"")</f>
        <v>2</v>
      </c>
      <c r="B8" s="13" t="s">
        <v>14</v>
      </c>
      <c r="C8" s="14" t="s">
        <v>15</v>
      </c>
      <c r="D8" s="15" t="s">
        <v>16</v>
      </c>
      <c r="E8" s="17">
        <v>687.58199999999999</v>
      </c>
      <c r="F8" s="14"/>
      <c r="G8" s="16"/>
      <c r="H8" s="14" t="s">
        <v>17</v>
      </c>
      <c r="J8" s="2" t="s">
        <v>13</v>
      </c>
      <c r="Q8" s="11"/>
    </row>
    <row r="9" spans="1:17" customFormat="1" ht="22.5" x14ac:dyDescent="0.25">
      <c r="A9" s="12">
        <f>IF(J9&lt;&gt;"",COUNTA(J$1:J9),"")</f>
        <v>3</v>
      </c>
      <c r="B9" s="13" t="s">
        <v>18</v>
      </c>
      <c r="C9" s="14" t="s">
        <v>19</v>
      </c>
      <c r="D9" s="15" t="s">
        <v>16</v>
      </c>
      <c r="E9" s="18">
        <v>90.95</v>
      </c>
      <c r="F9" s="14"/>
      <c r="G9" s="16"/>
      <c r="H9" s="14" t="s">
        <v>20</v>
      </c>
      <c r="J9" s="2" t="s">
        <v>13</v>
      </c>
      <c r="Q9" s="11"/>
    </row>
    <row r="10" spans="1:17" customFormat="1" ht="33.75" x14ac:dyDescent="0.25">
      <c r="A10" s="12">
        <f>IF(J10&lt;&gt;"",COUNTA(J$1:J10),"")</f>
        <v>4</v>
      </c>
      <c r="B10" s="13" t="s">
        <v>21</v>
      </c>
      <c r="C10" s="14" t="s">
        <v>22</v>
      </c>
      <c r="D10" s="15" t="s">
        <v>11</v>
      </c>
      <c r="E10" s="16">
        <v>3638</v>
      </c>
      <c r="F10" s="14"/>
      <c r="G10" s="16"/>
      <c r="H10" s="14" t="s">
        <v>17</v>
      </c>
      <c r="J10" s="2" t="s">
        <v>13</v>
      </c>
      <c r="Q10" s="11"/>
    </row>
    <row r="11" spans="1:17" customFormat="1" ht="33.75" x14ac:dyDescent="0.25">
      <c r="A11" s="12">
        <f>IF(J11&lt;&gt;"",COUNTA(J$1:J11),"")</f>
        <v>5</v>
      </c>
      <c r="B11" s="13" t="s">
        <v>23</v>
      </c>
      <c r="C11" s="14" t="s">
        <v>15</v>
      </c>
      <c r="D11" s="15" t="s">
        <v>16</v>
      </c>
      <c r="E11" s="17">
        <v>687.58199999999999</v>
      </c>
      <c r="F11" s="14"/>
      <c r="G11" s="16"/>
      <c r="H11" s="14" t="s">
        <v>17</v>
      </c>
      <c r="J11" s="2" t="s">
        <v>13</v>
      </c>
      <c r="Q11" s="11"/>
    </row>
    <row r="12" spans="1:17" customFormat="1" ht="15" x14ac:dyDescent="0.25">
      <c r="A12" s="12">
        <f>IF(J12&lt;&gt;"",COUNTA(J$1:J12),"")</f>
        <v>6</v>
      </c>
      <c r="B12" s="13" t="s">
        <v>24</v>
      </c>
      <c r="C12" s="14" t="s">
        <v>25</v>
      </c>
      <c r="D12" s="15" t="s">
        <v>16</v>
      </c>
      <c r="E12" s="16">
        <v>72.760000000000005</v>
      </c>
      <c r="F12" s="14"/>
      <c r="G12" s="16"/>
      <c r="H12" s="14" t="s">
        <v>26</v>
      </c>
      <c r="J12" s="2" t="s">
        <v>13</v>
      </c>
      <c r="Q12" s="11"/>
    </row>
    <row r="13" spans="1:17" customFormat="1" ht="22.5" x14ac:dyDescent="0.25">
      <c r="A13" s="12">
        <f>IF(J13&lt;&gt;"",COUNTA(J$1:J13),"")</f>
        <v>7</v>
      </c>
      <c r="B13" s="13" t="s">
        <v>27</v>
      </c>
      <c r="C13" s="14" t="s">
        <v>62</v>
      </c>
      <c r="D13" s="15" t="s">
        <v>16</v>
      </c>
      <c r="E13" s="19">
        <v>74.215199999999996</v>
      </c>
      <c r="F13" s="14"/>
      <c r="G13" s="16"/>
      <c r="H13" s="14" t="s">
        <v>17</v>
      </c>
      <c r="J13" s="2" t="s">
        <v>13</v>
      </c>
      <c r="Q13" s="11"/>
    </row>
    <row r="14" spans="1:17" customFormat="1" ht="33.75" x14ac:dyDescent="0.25">
      <c r="A14" s="12">
        <f>IF(J14&lt;&gt;"",COUNTA(J$1:J14),"")</f>
        <v>8</v>
      </c>
      <c r="B14" s="13" t="s">
        <v>28</v>
      </c>
      <c r="C14" s="14" t="s">
        <v>29</v>
      </c>
      <c r="D14" s="15" t="s">
        <v>11</v>
      </c>
      <c r="E14" s="16">
        <v>3638</v>
      </c>
      <c r="F14" s="14"/>
      <c r="G14" s="16"/>
      <c r="H14" s="14" t="s">
        <v>12</v>
      </c>
      <c r="J14" s="2" t="s">
        <v>13</v>
      </c>
      <c r="Q14" s="11"/>
    </row>
    <row r="15" spans="1:17" customFormat="1" ht="22.5" x14ac:dyDescent="0.25">
      <c r="A15" s="12">
        <f>IF(J15&lt;&gt;"",COUNTA(J$1:J15),"")</f>
        <v>9</v>
      </c>
      <c r="B15" s="13" t="s">
        <v>30</v>
      </c>
      <c r="C15" s="14" t="s">
        <v>31</v>
      </c>
      <c r="D15" s="15" t="s">
        <v>16</v>
      </c>
      <c r="E15" s="18">
        <v>-145.52000000000001</v>
      </c>
      <c r="F15" s="14"/>
      <c r="G15" s="16"/>
      <c r="H15" s="14" t="s">
        <v>17</v>
      </c>
      <c r="J15" s="2" t="s">
        <v>13</v>
      </c>
      <c r="Q15" s="11"/>
    </row>
    <row r="16" spans="1:17" customFormat="1" ht="33.75" x14ac:dyDescent="0.25">
      <c r="A16" s="12">
        <f>IF(J16&lt;&gt;"",COUNTA(J$1:J16),"")</f>
        <v>10</v>
      </c>
      <c r="B16" s="13" t="s">
        <v>32</v>
      </c>
      <c r="C16" s="14" t="s">
        <v>33</v>
      </c>
      <c r="D16" s="15" t="s">
        <v>16</v>
      </c>
      <c r="E16" s="20">
        <v>-0.87312000000000001</v>
      </c>
      <c r="F16" s="14"/>
      <c r="G16" s="16"/>
      <c r="H16" s="14" t="s">
        <v>17</v>
      </c>
      <c r="J16" s="2" t="s">
        <v>13</v>
      </c>
      <c r="Q16" s="11"/>
    </row>
    <row r="17" spans="1:29" customFormat="1" ht="33.75" x14ac:dyDescent="0.25">
      <c r="A17" s="12">
        <f>IF(J17&lt;&gt;"",COUNTA(J$1:J17),"")</f>
        <v>11</v>
      </c>
      <c r="B17" s="13" t="s">
        <v>34</v>
      </c>
      <c r="C17" s="14" t="s">
        <v>35</v>
      </c>
      <c r="D17" s="15" t="s">
        <v>16</v>
      </c>
      <c r="E17" s="20">
        <v>-0.69121999999999995</v>
      </c>
      <c r="F17" s="14"/>
      <c r="G17" s="16"/>
      <c r="H17" s="14" t="s">
        <v>17</v>
      </c>
      <c r="J17" s="2" t="s">
        <v>13</v>
      </c>
      <c r="Q17" s="11"/>
    </row>
    <row r="18" spans="1:29" customFormat="1" ht="15" x14ac:dyDescent="0.25">
      <c r="A18" s="12">
        <f>IF(J18&lt;&gt;"",COUNTA(J$1:J18),"")</f>
        <v>12</v>
      </c>
      <c r="B18" s="13" t="s">
        <v>36</v>
      </c>
      <c r="C18" s="14" t="s">
        <v>37</v>
      </c>
      <c r="D18" s="15" t="s">
        <v>11</v>
      </c>
      <c r="E18" s="20">
        <v>-27.576039999999999</v>
      </c>
      <c r="F18" s="14"/>
      <c r="G18" s="16"/>
      <c r="H18" s="14" t="s">
        <v>17</v>
      </c>
      <c r="J18" s="2" t="s">
        <v>13</v>
      </c>
      <c r="Q18" s="11"/>
    </row>
    <row r="19" spans="1:29" customFormat="1" ht="22.5" x14ac:dyDescent="0.25">
      <c r="A19" s="12">
        <f>IF(J19&lt;&gt;"",COUNTA(J$1:J19),"")</f>
        <v>13</v>
      </c>
      <c r="B19" s="13" t="s">
        <v>38</v>
      </c>
      <c r="C19" s="14" t="s">
        <v>39</v>
      </c>
      <c r="D19" s="15" t="s">
        <v>40</v>
      </c>
      <c r="E19" s="18">
        <v>-472.94</v>
      </c>
      <c r="F19" s="14"/>
      <c r="G19" s="16"/>
      <c r="H19" s="14" t="s">
        <v>17</v>
      </c>
      <c r="J19" s="2" t="s">
        <v>13</v>
      </c>
      <c r="Q19" s="11"/>
    </row>
    <row r="20" spans="1:29" customFormat="1" ht="15" x14ac:dyDescent="0.25">
      <c r="A20" s="12">
        <f>IF(J20&lt;&gt;"",COUNTA(J$1:J20),"")</f>
        <v>14</v>
      </c>
      <c r="B20" s="13" t="s">
        <v>41</v>
      </c>
      <c r="C20" s="14" t="s">
        <v>42</v>
      </c>
      <c r="D20" s="15" t="s">
        <v>43</v>
      </c>
      <c r="E20" s="21">
        <v>-2.5465999999999999E-2</v>
      </c>
      <c r="F20" s="14"/>
      <c r="G20" s="16"/>
      <c r="H20" s="14" t="s">
        <v>17</v>
      </c>
      <c r="J20" s="2" t="s">
        <v>13</v>
      </c>
      <c r="Q20" s="11"/>
    </row>
    <row r="21" spans="1:29" customFormat="1" ht="22.5" x14ac:dyDescent="0.25">
      <c r="A21" s="12">
        <f>IF(J21&lt;&gt;"",COUNTA(J$1:J21),"")</f>
        <v>15</v>
      </c>
      <c r="B21" s="13" t="s">
        <v>44</v>
      </c>
      <c r="C21" s="14" t="s">
        <v>45</v>
      </c>
      <c r="D21" s="15" t="s">
        <v>43</v>
      </c>
      <c r="E21" s="18">
        <v>2.0699999999999998</v>
      </c>
      <c r="F21" s="14"/>
      <c r="G21" s="16"/>
      <c r="H21" s="14" t="s">
        <v>46</v>
      </c>
      <c r="J21" s="2" t="s">
        <v>13</v>
      </c>
      <c r="Q21" s="11"/>
    </row>
    <row r="22" spans="1:29" customFormat="1" ht="33.75" x14ac:dyDescent="0.25">
      <c r="A22" s="12">
        <f>IF(J22&lt;&gt;"",COUNTA(J$1:J22),"")</f>
        <v>16</v>
      </c>
      <c r="B22" s="13" t="s">
        <v>47</v>
      </c>
      <c r="C22" s="14" t="s">
        <v>48</v>
      </c>
      <c r="D22" s="15" t="s">
        <v>16</v>
      </c>
      <c r="E22" s="18">
        <v>0.55000000000000004</v>
      </c>
      <c r="F22" s="14"/>
      <c r="G22" s="16"/>
      <c r="H22" s="14" t="s">
        <v>17</v>
      </c>
      <c r="J22" s="2" t="s">
        <v>13</v>
      </c>
      <c r="Q22" s="11"/>
    </row>
    <row r="23" spans="1:29" customFormat="1" ht="90" x14ac:dyDescent="0.25">
      <c r="A23" s="12">
        <f>IF(J23&lt;&gt;"",COUNTA(J$1:J23),"")</f>
        <v>17</v>
      </c>
      <c r="B23" s="13" t="s">
        <v>49</v>
      </c>
      <c r="C23" s="14" t="s">
        <v>50</v>
      </c>
      <c r="D23" s="15" t="s">
        <v>40</v>
      </c>
      <c r="E23" s="22">
        <v>498.4</v>
      </c>
      <c r="F23" s="14"/>
      <c r="G23" s="16"/>
      <c r="H23" s="14" t="s">
        <v>51</v>
      </c>
      <c r="J23" s="2" t="s">
        <v>13</v>
      </c>
      <c r="Q23" s="11"/>
    </row>
    <row r="24" spans="1:29" customFormat="1" ht="33.75" x14ac:dyDescent="0.25">
      <c r="A24" s="12">
        <f>IF(J24&lt;&gt;"",COUNTA(J$1:J24),"")</f>
        <v>18</v>
      </c>
      <c r="B24" s="13" t="s">
        <v>52</v>
      </c>
      <c r="C24" s="14" t="s">
        <v>53</v>
      </c>
      <c r="D24" s="15" t="s">
        <v>16</v>
      </c>
      <c r="E24" s="17">
        <v>742.15200000000004</v>
      </c>
      <c r="F24" s="14"/>
      <c r="G24" s="16"/>
      <c r="H24" s="14" t="s">
        <v>17</v>
      </c>
      <c r="J24" s="2" t="s">
        <v>13</v>
      </c>
      <c r="Q24" s="11"/>
    </row>
    <row r="25" spans="1:29" customFormat="1" ht="15" x14ac:dyDescent="0.25">
      <c r="A25" s="12">
        <f>IF(J25&lt;&gt;"",COUNTA(J$1:J25),"")</f>
        <v>19</v>
      </c>
      <c r="B25" s="13" t="s">
        <v>54</v>
      </c>
      <c r="C25" s="14" t="s">
        <v>55</v>
      </c>
      <c r="D25" s="15" t="s">
        <v>43</v>
      </c>
      <c r="E25" s="22">
        <v>39.299999999999997</v>
      </c>
      <c r="F25" s="14"/>
      <c r="G25" s="16"/>
      <c r="H25" s="14" t="s">
        <v>17</v>
      </c>
      <c r="J25" s="2" t="s">
        <v>13</v>
      </c>
      <c r="Q25" s="11"/>
    </row>
    <row r="26" spans="1:29" customFormat="1" ht="33.75" x14ac:dyDescent="0.25">
      <c r="A26" s="12">
        <f>IF(J26&lt;&gt;"",COUNTA(J$1:J26),"")</f>
        <v>20</v>
      </c>
      <c r="B26" s="13" t="s">
        <v>56</v>
      </c>
      <c r="C26" s="14" t="s">
        <v>57</v>
      </c>
      <c r="D26" s="15" t="s">
        <v>43</v>
      </c>
      <c r="E26" s="22">
        <v>39.299999999999997</v>
      </c>
      <c r="F26" s="14"/>
      <c r="G26" s="16"/>
      <c r="H26" s="14" t="s">
        <v>17</v>
      </c>
      <c r="J26" s="2" t="s">
        <v>13</v>
      </c>
      <c r="Q26" s="11"/>
    </row>
    <row r="27" spans="1:29" customFormat="1" ht="36.75" customHeight="1" x14ac:dyDescent="0.25"/>
    <row r="28" spans="1:29" s="23" customFormat="1" ht="15" x14ac:dyDescent="0.25">
      <c r="A28" s="24"/>
      <c r="B28" s="25" t="s">
        <v>58</v>
      </c>
      <c r="C28" s="38"/>
      <c r="D28" s="38"/>
      <c r="E28" s="39"/>
      <c r="F28" s="39"/>
      <c r="G28" s="39"/>
      <c r="H28" s="39"/>
      <c r="I28"/>
      <c r="J28"/>
      <c r="K28"/>
      <c r="L28"/>
      <c r="M28"/>
      <c r="N28"/>
      <c r="O28"/>
      <c r="P28"/>
      <c r="Q28" s="26"/>
      <c r="R28" s="27" t="s">
        <v>59</v>
      </c>
      <c r="S28" s="27" t="s">
        <v>59</v>
      </c>
      <c r="T28" s="28" t="s">
        <v>59</v>
      </c>
      <c r="U28" s="28" t="s">
        <v>59</v>
      </c>
      <c r="V28" s="28" t="s">
        <v>59</v>
      </c>
      <c r="W28" s="28" t="s">
        <v>59</v>
      </c>
      <c r="X28" s="27"/>
      <c r="Y28" s="27"/>
      <c r="Z28" s="28"/>
      <c r="AA28" s="28"/>
      <c r="AB28" s="28"/>
      <c r="AC28" s="28"/>
    </row>
    <row r="29" spans="1:29" s="29" customFormat="1" ht="20.25" customHeight="1" x14ac:dyDescent="0.25">
      <c r="A29" s="30"/>
      <c r="B29" s="25"/>
      <c r="C29" s="40" t="s">
        <v>60</v>
      </c>
      <c r="D29" s="40"/>
      <c r="E29" s="40"/>
      <c r="F29" s="40"/>
      <c r="G29" s="40"/>
      <c r="H29" s="40"/>
      <c r="Q29" s="26"/>
      <c r="R29" s="27"/>
      <c r="S29" s="27"/>
      <c r="T29" s="28"/>
      <c r="U29" s="28"/>
      <c r="V29" s="28"/>
      <c r="W29" s="28"/>
      <c r="X29" s="27"/>
      <c r="Y29" s="27"/>
      <c r="Z29" s="28"/>
      <c r="AA29" s="28"/>
      <c r="AB29" s="28"/>
      <c r="AC29" s="28"/>
    </row>
    <row r="30" spans="1:29" s="23" customFormat="1" ht="15" x14ac:dyDescent="0.25">
      <c r="A30" s="24"/>
      <c r="B30" s="25" t="s">
        <v>61</v>
      </c>
      <c r="C30" s="38"/>
      <c r="D30" s="38"/>
      <c r="E30" s="39"/>
      <c r="F30" s="39"/>
      <c r="G30" s="39"/>
      <c r="H30" s="39"/>
      <c r="I30"/>
      <c r="J30"/>
      <c r="K30"/>
      <c r="L30"/>
      <c r="M30"/>
      <c r="N30"/>
      <c r="O30"/>
      <c r="P30"/>
      <c r="Q30" s="26"/>
      <c r="R30" s="27"/>
      <c r="S30" s="27"/>
      <c r="T30" s="28"/>
      <c r="U30" s="28"/>
      <c r="V30" s="28"/>
      <c r="W30" s="28"/>
      <c r="X30" s="27" t="s">
        <v>59</v>
      </c>
      <c r="Y30" s="27" t="s">
        <v>59</v>
      </c>
      <c r="Z30" s="28" t="s">
        <v>59</v>
      </c>
      <c r="AA30" s="28" t="s">
        <v>59</v>
      </c>
      <c r="AB30" s="28" t="s">
        <v>59</v>
      </c>
      <c r="AC30" s="28" t="s">
        <v>59</v>
      </c>
    </row>
    <row r="31" spans="1:29" s="29" customFormat="1" ht="20.25" customHeight="1" x14ac:dyDescent="0.25">
      <c r="A31" s="30"/>
      <c r="C31" s="40" t="s">
        <v>60</v>
      </c>
      <c r="D31" s="40"/>
      <c r="E31" s="40"/>
      <c r="F31" s="40"/>
      <c r="G31" s="40"/>
      <c r="H31" s="40"/>
      <c r="Q31" s="26"/>
      <c r="R31" s="27"/>
      <c r="S31" s="27"/>
      <c r="T31" s="28"/>
      <c r="U31" s="28"/>
      <c r="V31" s="28"/>
      <c r="W31" s="28"/>
      <c r="X31" s="27"/>
      <c r="Y31" s="27"/>
      <c r="Z31" s="28"/>
      <c r="AA31" s="28"/>
      <c r="AB31" s="28"/>
      <c r="AC31" s="28"/>
    </row>
    <row r="33" spans="2:6" customFormat="1" ht="15" x14ac:dyDescent="0.25">
      <c r="B33" s="31"/>
      <c r="D33" s="31"/>
      <c r="F33" s="31"/>
    </row>
    <row r="38" spans="2:6" customFormat="1" ht="15" x14ac:dyDescent="0.25">
      <c r="C38" s="32"/>
    </row>
    <row r="39" spans="2:6" customFormat="1" ht="15" x14ac:dyDescent="0.25">
      <c r="C39" s="32"/>
    </row>
    <row r="40" spans="2:6" customFormat="1" ht="15" x14ac:dyDescent="0.25">
      <c r="C40" s="32"/>
    </row>
  </sheetData>
  <mergeCells count="10">
    <mergeCell ref="C29:H29"/>
    <mergeCell ref="C30:D30"/>
    <mergeCell ref="E30:H30"/>
    <mergeCell ref="C31:H31"/>
    <mergeCell ref="A2:H2"/>
    <mergeCell ref="G4:H4"/>
    <mergeCell ref="G5:H5"/>
    <mergeCell ref="A6:H6"/>
    <mergeCell ref="C28:D28"/>
    <mergeCell ref="E28:H28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Армобетонное покрытие причала -</vt:lpstr>
      <vt:lpstr>'Армобетонное покрытие причала -'!Заголовки_для_печати</vt:lpstr>
      <vt:lpstr>'Армобетонное покрытие причала -'!Область_печати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</cp:lastModifiedBy>
  <cp:lastPrinted>2023-06-08T12:07:32Z</cp:lastPrinted>
  <dcterms:created xsi:type="dcterms:W3CDTF">2020-09-30T08:50:27Z</dcterms:created>
  <dcterms:modified xsi:type="dcterms:W3CDTF">2026-03-29T05:19:10Z</dcterms:modified>
</cp:coreProperties>
</file>