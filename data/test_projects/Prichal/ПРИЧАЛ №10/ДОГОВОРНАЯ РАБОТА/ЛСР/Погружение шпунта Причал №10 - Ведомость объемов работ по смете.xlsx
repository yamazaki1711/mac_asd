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Погружение шпунта Причал №10 - " sheetId="1" r:id="rId1"/>
  </sheets>
  <definedNames>
    <definedName name="_xlnm.Print_Area" localSheetId="0">'Погружение шпунта Причал №10 - '!$A$1:$H$82</definedName>
    <definedName name="_xlnm.Print_Titles" localSheetId="0">'Погружение шпунта Причал №10 - '!$5:$5</definedName>
  </definedNames>
  <calcPr calcMode="auto" refMode="A1"/>
</workbook>
</file>

<file path=xl/sharedStrings.xml><?xml version="1.0" encoding="utf-8"?>
<sst xmlns="http://schemas.openxmlformats.org/spreadsheetml/2006/main" count="138" uniqueCount="138">
  <si>
    <t>Ведомость объёмов работ</t>
  </si>
  <si>
    <t>№ п/п</t>
  </si>
  <si>
    <t>№ в ЛСР</t>
  </si>
  <si>
    <t>Наименование работ</t>
  </si>
  <si>
    <t xml:space="preserve">Ед.
изм.</t>
  </si>
  <si>
    <t>Кол-во</t>
  </si>
  <si>
    <t>Ссылки на чертежи</t>
  </si>
  <si>
    <t>Формула расчёта, расчёт объёмов работ и расхода материалов</t>
  </si>
  <si>
    <t>Раздел 1. Лицевая стенка</t>
  </si>
  <si>
    <t>Погружение шпунта типа Ларсен Л5-УМ коробка через одну шпунтину в лицевую стенку, с берега вибропогружателем  (184 метра - направляющие рамы) 186 шт длиной 20,34 м</t>
  </si>
  <si>
    <t>1</t>
  </si>
  <si>
    <t>Погружение вибропогружателем стальных шпунтовых свай массой 1 м: свыше 70 кг на глубину свыше 5 до 10 м</t>
  </si>
  <si>
    <t>т</t>
  </si>
  <si>
    <t xml:space="preserve"> </t>
  </si>
  <si>
    <t xml:space="preserve">1 </t>
  </si>
  <si>
    <t>2</t>
  </si>
  <si>
    <t>Профили фасонные горячекатаные для шпунтовых свай Л5-УМ из стали марки С255 (материал заказчика)</t>
  </si>
  <si>
    <t>Погружение одиночного шпунта (185  шт. по 20,34 м)</t>
  </si>
  <si>
    <t>3</t>
  </si>
  <si>
    <t>4</t>
  </si>
  <si>
    <t>Погружение одиночного шпунта (1  шт. по 20,34 м)</t>
  </si>
  <si>
    <t>5</t>
  </si>
  <si>
    <t>6</t>
  </si>
  <si>
    <t>АКЗ</t>
  </si>
  <si>
    <t>7</t>
  </si>
  <si>
    <t>Обработка поверхности пескоструйным аппаратом (материал заказчика - шлак гранулированный)</t>
  </si>
  <si>
    <t>м2</t>
  </si>
  <si>
    <t xml:space="preserve">(685.6 / 100)*100 </t>
  </si>
  <si>
    <t>8</t>
  </si>
  <si>
    <t>Песок природный для строительных работ I класс, средний</t>
  </si>
  <si>
    <t>м3</t>
  </si>
  <si>
    <t>9</t>
  </si>
  <si>
    <t>Шлак гранулированный (материал заказчика)</t>
  </si>
  <si>
    <t xml:space="preserve">32*685.6/1000 </t>
  </si>
  <si>
    <t>10</t>
  </si>
  <si>
    <t>Обеспыливание поверхности</t>
  </si>
  <si>
    <t>11</t>
  </si>
  <si>
    <t>Обезжиривание поверхностей: уайт-спиритом (материал заказчика)</t>
  </si>
  <si>
    <t>12</t>
  </si>
  <si>
    <t>Уайт-спирит</t>
  </si>
  <si>
    <t>кг</t>
  </si>
  <si>
    <t>13</t>
  </si>
  <si>
    <t>Окраска свай и анкерных плит из стального шпунта: эмалью ХВ-785-в один слой (прим. усиленная защита методом безвоздушного распыления толщиной слоя 500 мкм грунтэмалью РК-MARINE 2202)</t>
  </si>
  <si>
    <t>14</t>
  </si>
  <si>
    <t>Эмаль ХВ-785, цветная, белый</t>
  </si>
  <si>
    <t>15</t>
  </si>
  <si>
    <t>Растворитель Р-4</t>
  </si>
  <si>
    <t>16</t>
  </si>
  <si>
    <t>Грунт-эмаль РК-MARINE 2202 (двухкомпонентное эпоксидное покрытие аминного отверждения толстослойное с высоким сухим остатком) (материал заказчика)</t>
  </si>
  <si>
    <t xml:space="preserve">0.636*685.6/1000 </t>
  </si>
  <si>
    <t>17</t>
  </si>
  <si>
    <t>Окраска свай и анкерных плит из стального шпунта: эмалью ХВ-785-в один слой (прим. обычная защита в 3 слоя толщиной по 200 мкм грунт-эмалью РК-MARINE 2202)</t>
  </si>
  <si>
    <t xml:space="preserve">(3710.7 / 100)*100 </t>
  </si>
  <si>
    <t>18</t>
  </si>
  <si>
    <t>19</t>
  </si>
  <si>
    <t>20</t>
  </si>
  <si>
    <t xml:space="preserve">0,255*3710.7/1000 </t>
  </si>
  <si>
    <t>Раздел 2. Анкерная стенка (365 шт по 6 метров)</t>
  </si>
  <si>
    <t>21</t>
  </si>
  <si>
    <t>22</t>
  </si>
  <si>
    <t>23</t>
  </si>
  <si>
    <t xml:space="preserve">(4095.3 / 100)*100 </t>
  </si>
  <si>
    <t>24</t>
  </si>
  <si>
    <t>25</t>
  </si>
  <si>
    <t xml:space="preserve">32*4095.3/1000 </t>
  </si>
  <si>
    <t>26</t>
  </si>
  <si>
    <t>27</t>
  </si>
  <si>
    <t>28</t>
  </si>
  <si>
    <t>29</t>
  </si>
  <si>
    <t>30</t>
  </si>
  <si>
    <t>31</t>
  </si>
  <si>
    <t>32</t>
  </si>
  <si>
    <t xml:space="preserve">0.14*4095.3/1000 </t>
  </si>
  <si>
    <t>Раздел 3. Распределительный пояс</t>
  </si>
  <si>
    <t>33</t>
  </si>
  <si>
    <t>Устройство в условиях закрытой акватории распределительного пояса: по анкерной стенке при подаче элементов конструкций с берега краном на гусеничном ходу</t>
  </si>
  <si>
    <t xml:space="preserve">13,11+13.11 </t>
  </si>
  <si>
    <t>34</t>
  </si>
  <si>
    <t>Швеллеры № 27 (материал заказчика)</t>
  </si>
  <si>
    <t>35</t>
  </si>
  <si>
    <t>Огрунтовка металлических поверхностей за один раз: грунтовкой ВЛ-023</t>
  </si>
  <si>
    <t xml:space="preserve">(702.08 / 100)*100 </t>
  </si>
  <si>
    <t>36</t>
  </si>
  <si>
    <t>Растворитель № 648</t>
  </si>
  <si>
    <t>37</t>
  </si>
  <si>
    <t>Грунтовка фосфатирующая, марок ВЛ-02, ВЛ-023</t>
  </si>
  <si>
    <t>38</t>
  </si>
  <si>
    <t>Грунтовка фосфатирующая ВЛ-023 (материал заказчика)</t>
  </si>
  <si>
    <t>39</t>
  </si>
  <si>
    <t>Окраска распределительных поясов: эмалью ПФ-115 в два слоя (прим. эмалью ХС-436)</t>
  </si>
  <si>
    <t xml:space="preserve">(26.22 / 100)*100 </t>
  </si>
  <si>
    <t>40</t>
  </si>
  <si>
    <t>Эмаль ПФ-115</t>
  </si>
  <si>
    <t>41</t>
  </si>
  <si>
    <t>42</t>
  </si>
  <si>
    <t>Эмаль ХС-436 (материал заказчика)</t>
  </si>
  <si>
    <t>Раздел 4. Анкерные тяги - 112 шт длиной 25 м</t>
  </si>
  <si>
    <t>43</t>
  </si>
  <si>
    <t>Установка анкерных тяг в закрытой акватории при подачи элементов конструкций: с берега краном на гусеничном ходу</t>
  </si>
  <si>
    <t>44</t>
  </si>
  <si>
    <t>Анкерные тяги (материал заказчика)</t>
  </si>
  <si>
    <t>45</t>
  </si>
  <si>
    <t>Окраска суриком больших металлических поверхностей (кроме кровель): за два раза</t>
  </si>
  <si>
    <t xml:space="preserve">(991.2 / 100)*100 </t>
  </si>
  <si>
    <t>46</t>
  </si>
  <si>
    <t>Краска масляная МА-15, сурик железный</t>
  </si>
  <si>
    <t>47</t>
  </si>
  <si>
    <t>Олифа натуральная</t>
  </si>
  <si>
    <t>48</t>
  </si>
  <si>
    <t>Сурик железный марки АК (материал заказчика)</t>
  </si>
  <si>
    <t>49</t>
  </si>
  <si>
    <t>Нанесение холодной битумной мастики толщиной 1 мм на сваи из стальных труб (прим. анкерных тяг)</t>
  </si>
  <si>
    <t>50</t>
  </si>
  <si>
    <t>Устройство гидроизоляции оклеечной рулонными материалами: на мастике битумной  (прим. анкерных тяг)</t>
  </si>
  <si>
    <t>51</t>
  </si>
  <si>
    <t>Хризотил (асбест хризотиловый), группа 6К, марки 6К-45, 6К-30, 6К-20, 6К-5</t>
  </si>
  <si>
    <t>52</t>
  </si>
  <si>
    <t>Битум нефтяной строительный БН-70/30</t>
  </si>
  <si>
    <t>53</t>
  </si>
  <si>
    <t>Битум нефтяной строительный БН-90/10</t>
  </si>
  <si>
    <t>54</t>
  </si>
  <si>
    <t>Бензин-растворитель</t>
  </si>
  <si>
    <t>55</t>
  </si>
  <si>
    <t>Мука андезитовая кислотоупорная, марка А</t>
  </si>
  <si>
    <t>56</t>
  </si>
  <si>
    <t>Битумная мастика (материал заказчика)</t>
  </si>
  <si>
    <t xml:space="preserve">1020,936/1000 </t>
  </si>
  <si>
    <t>57</t>
  </si>
  <si>
    <t>Мешковина (материал заказчика)</t>
  </si>
  <si>
    <t xml:space="preserve">991.2*1.15 </t>
  </si>
  <si>
    <t>Раздел 5. изготовление шпунтовых коробов (сварка вдоль замков) в количестве 52 шт</t>
  </si>
  <si>
    <t>58</t>
  </si>
  <si>
    <t>Изготовление коробчатых свай длиной до 30 м из стального шпунта массой 1 м свыше 70 кг: из двух шпунтин</t>
  </si>
  <si>
    <t>59</t>
  </si>
  <si>
    <t>Составил:</t>
  </si>
  <si>
    <t/>
  </si>
  <si>
    <t>[должность, подпись (инициалы, фамилия)]</t>
  </si>
  <si>
    <t>Проверил:</t>
  </si>
</sst>
</file>

<file path=xl/styles.xml><?xml version="1.0" encoding="utf-8"?>
<styleSheet xmlns="http://schemas.openxmlformats.org/spreadsheetml/2006/main">
  <numFmts count="6">
    <numFmt formatCode="0.0000" numFmtId="164"/>
    <numFmt formatCode="0.000" numFmtId="165"/>
    <numFmt formatCode="0.0" numFmtId="166"/>
    <numFmt formatCode="0.00000" numFmtId="167"/>
    <numFmt formatCode="0.0000000" numFmtId="168"/>
    <numFmt formatCode="0.000000" numFmtId="169"/>
  </numFmts>
  <fonts count="8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000000"/>
      <sz val="14"/>
      <name val="Arial"/>
      <charset val="204"/>
      <b/>
    </font>
    <font>
      <color rgb="FF000000"/>
      <sz val="9"/>
      <name val="Arial"/>
      <charset val="204"/>
      <b/>
    </font>
    <font>
      <color rgb="FF000000"/>
      <sz val="8"/>
      <name val="Arial"/>
      <charset val="204"/>
      <b/>
    </font>
    <font>
      <sz val="8"/>
      <name val="Arial"/>
      <charset val="204"/>
    </font>
    <font>
      <sz val="8"/>
      <name val="Arial"/>
      <charset val="204"/>
      <i/>
    </font>
    <font>
      <color rgb="FFFF0000"/>
      <sz val="8"/>
      <name val="Arial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4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4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166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167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168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16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5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0" fontId="5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5" fillId="0" fontId="6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AD90"/>
  <sheetViews>
    <sheetView workbookViewId="0" tabSelected="true" showZeros="true" showFormulas="false" showGridLines="true" showRowColHeaders="true">
      <selection sqref="G5" activeCell="G5"/>
    </sheetView>
  </sheetViews>
  <sheetFormatPr defaultColWidth="9.140625" customHeight="true" defaultRowHeight="11.25"/>
  <cols>
    <col max="1" min="1" style="1" width="5.5703125" customWidth="true"/>
    <col max="2" min="2" style="2" width="5.5703125" customWidth="true"/>
    <col max="3" min="3" style="2" width="44.42578125" customWidth="true"/>
    <col max="4" min="4" style="2" width="10.7109375" customWidth="true"/>
    <col max="5" min="5" style="2" width="12.28515625" customWidth="true"/>
    <col max="6" min="6" style="2" width="12.5703125" customWidth="true"/>
    <col max="7" min="7" style="2" width="22.140625" customWidth="true"/>
    <col max="8" min="8" style="2" width="22" customWidth="true"/>
    <col max="9" min="9" style="2" width="9.140625"/>
    <col max="10" min="10" style="2" width="4.7109375" customWidth="true" hidden="true"/>
    <col max="16" min="11" style="2" width="9.140625"/>
    <col max="18" min="17" style="3" width="135.28515625" customWidth="true" hidden="true"/>
    <col max="20" min="19" style="4" width="55.140625" customWidth="true" hidden="true"/>
    <col max="24" min="21" style="5" width="69" customWidth="true" hidden="true"/>
    <col max="26" min="25" style="4" width="55.140625" customWidth="true" hidden="true"/>
    <col max="30" min="27" style="5" width="69" customWidth="true" hidden="true"/>
    <col max="16384" min="31" style="2" width="9.140625"/>
  </cols>
  <sheetData>
    <row r="2" ht="18" customFormat="true" s="0">
      <c r="A2" s="6" t="s">
        <v>0</v>
      </c>
      <c r="B2" s="6"/>
      <c r="C2" s="6"/>
      <c r="D2" s="6"/>
      <c r="E2" s="6"/>
      <c r="F2" s="6"/>
      <c r="G2" s="6"/>
      <c r="H2" s="6"/>
    </row>
    <row r="3" customHeight="true" ht="9.75" customFormat="true" s="0">
      <c r="A3" s="7"/>
    </row>
    <row r="4" customHeight="true" ht="36" customFormat="true" s="0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/>
    </row>
    <row r="5" customFormat="true" s="0">
      <c r="A5" s="10" t="n">
        <v>1</v>
      </c>
      <c r="B5" s="11" t="n">
        <v>2</v>
      </c>
      <c r="C5" s="11" t="n">
        <v>3</v>
      </c>
      <c r="D5" s="11" t="n">
        <v>4</v>
      </c>
      <c r="E5" s="11" t="n">
        <v>5</v>
      </c>
      <c r="F5" s="11" t="n">
        <v>6</v>
      </c>
      <c r="G5" s="12" t="n">
        <v>7</v>
      </c>
      <c r="H5" s="13"/>
    </row>
    <row r="6" ht="12" customFormat="true" s="0">
      <c r="A6" s="14" t="s">
        <v>8</v>
      </c>
      <c r="B6" s="14"/>
      <c r="C6" s="14"/>
      <c r="D6" s="14"/>
      <c r="E6" s="14"/>
      <c r="F6" s="14"/>
      <c r="G6" s="14"/>
      <c r="H6" s="14"/>
      <c r="I6" s="0"/>
      <c r="J6" s="0"/>
      <c r="Q6" s="15" t="s">
        <v>8</v>
      </c>
    </row>
    <row r="7" ht="22.5" customFormat="true" s="0">
      <c r="A7" s="16" t="s">
        <v>9</v>
      </c>
      <c r="B7" s="16"/>
      <c r="C7" s="16"/>
      <c r="D7" s="16"/>
      <c r="E7" s="16"/>
      <c r="F7" s="16"/>
      <c r="G7" s="16"/>
      <c r="H7" s="16"/>
      <c r="I7" s="0"/>
      <c r="J7" s="0"/>
      <c r="Q7" s="15"/>
      <c r="R7" s="17" t="s">
        <v>9</v>
      </c>
    </row>
    <row r="8" ht="22.5" customFormat="true" s="0">
      <c r="A8" s="18">
        <f>IF(J8&lt;&gt;"",COUNTA(J$1:J8),"")</f>
      </c>
      <c r="B8" s="19" t="s">
        <v>10</v>
      </c>
      <c r="C8" s="20" t="s">
        <v>11</v>
      </c>
      <c r="D8" s="21" t="s">
        <v>12</v>
      </c>
      <c r="E8" s="22" t="n">
        <v>861.07</v>
      </c>
      <c r="F8" s="20"/>
      <c r="G8" s="23"/>
      <c r="H8" s="20" t="s">
        <v>13</v>
      </c>
      <c r="I8" s="0"/>
      <c r="J8" s="2" t="s">
        <v>14</v>
      </c>
      <c r="Q8" s="15"/>
      <c r="R8" s="17"/>
    </row>
    <row r="9" ht="22.5" customFormat="true" s="0">
      <c r="A9" s="18">
        <f>IF(J9&lt;&gt;"",COUNTA(J$1:J9),"")</f>
      </c>
      <c r="B9" s="19" t="s">
        <v>15</v>
      </c>
      <c r="C9" s="20" t="s">
        <v>16</v>
      </c>
      <c r="D9" s="21" t="s">
        <v>12</v>
      </c>
      <c r="E9" s="24" t="n">
        <v>869.6807</v>
      </c>
      <c r="F9" s="20"/>
      <c r="G9" s="23"/>
      <c r="H9" s="20" t="s">
        <v>13</v>
      </c>
      <c r="I9" s="0"/>
      <c r="J9" s="2" t="s">
        <v>14</v>
      </c>
      <c r="Q9" s="15"/>
      <c r="R9" s="17"/>
    </row>
    <row r="10" ht="11.25" customFormat="true" s="0">
      <c r="A10" s="16" t="s">
        <v>17</v>
      </c>
      <c r="B10" s="16"/>
      <c r="C10" s="16"/>
      <c r="D10" s="16"/>
      <c r="E10" s="16"/>
      <c r="F10" s="16"/>
      <c r="G10" s="16"/>
      <c r="H10" s="16"/>
      <c r="I10" s="0"/>
      <c r="J10" s="0"/>
      <c r="Q10" s="15"/>
      <c r="R10" s="17" t="s">
        <v>17</v>
      </c>
    </row>
    <row r="11" ht="22.5" customFormat="true" s="0">
      <c r="A11" s="18">
        <f>IF(J11&lt;&gt;"",COUNTA(J$1:J11),"")</f>
      </c>
      <c r="B11" s="19" t="s">
        <v>18</v>
      </c>
      <c r="C11" s="20" t="s">
        <v>11</v>
      </c>
      <c r="D11" s="21" t="s">
        <v>12</v>
      </c>
      <c r="E11" s="22" t="n">
        <v>428.22</v>
      </c>
      <c r="F11" s="20"/>
      <c r="G11" s="23"/>
      <c r="H11" s="20" t="s">
        <v>13</v>
      </c>
      <c r="I11" s="0"/>
      <c r="J11" s="2" t="s">
        <v>14</v>
      </c>
      <c r="Q11" s="15"/>
      <c r="R11" s="17"/>
    </row>
    <row r="12" ht="22.5" customFormat="true" s="0">
      <c r="A12" s="18">
        <f>IF(J12&lt;&gt;"",COUNTA(J$1:J12),"")</f>
      </c>
      <c r="B12" s="19" t="s">
        <v>19</v>
      </c>
      <c r="C12" s="20" t="s">
        <v>16</v>
      </c>
      <c r="D12" s="21" t="s">
        <v>12</v>
      </c>
      <c r="E12" s="24" t="n">
        <v>432.5022</v>
      </c>
      <c r="F12" s="20"/>
      <c r="G12" s="23"/>
      <c r="H12" s="20" t="s">
        <v>13</v>
      </c>
      <c r="I12" s="0"/>
      <c r="J12" s="2" t="s">
        <v>14</v>
      </c>
      <c r="Q12" s="15"/>
      <c r="R12" s="17"/>
    </row>
    <row r="13" ht="11.25" customFormat="true" s="0">
      <c r="A13" s="16" t="s">
        <v>20</v>
      </c>
      <c r="B13" s="16"/>
      <c r="C13" s="16"/>
      <c r="D13" s="16"/>
      <c r="E13" s="16"/>
      <c r="F13" s="16"/>
      <c r="G13" s="16"/>
      <c r="H13" s="16"/>
      <c r="I13" s="0"/>
      <c r="J13" s="0"/>
      <c r="Q13" s="15"/>
      <c r="R13" s="17" t="s">
        <v>20</v>
      </c>
    </row>
    <row r="14" ht="22.5" customFormat="true" s="0">
      <c r="A14" s="18">
        <f>IF(J14&lt;&gt;"",COUNTA(J$1:J14),"")</f>
      </c>
      <c r="B14" s="19" t="s">
        <v>21</v>
      </c>
      <c r="C14" s="20" t="s">
        <v>11</v>
      </c>
      <c r="D14" s="21" t="s">
        <v>12</v>
      </c>
      <c r="E14" s="22" t="n">
        <v>2.66</v>
      </c>
      <c r="F14" s="20"/>
      <c r="G14" s="23"/>
      <c r="H14" s="20" t="s">
        <v>13</v>
      </c>
      <c r="I14" s="0"/>
      <c r="J14" s="2" t="s">
        <v>14</v>
      </c>
      <c r="Q14" s="15"/>
      <c r="R14" s="17"/>
    </row>
    <row r="15" ht="22.5" customFormat="true" s="0">
      <c r="A15" s="18">
        <f>IF(J15&lt;&gt;"",COUNTA(J$1:J15),"")</f>
      </c>
      <c r="B15" s="19" t="s">
        <v>22</v>
      </c>
      <c r="C15" s="20" t="s">
        <v>16</v>
      </c>
      <c r="D15" s="21" t="s">
        <v>12</v>
      </c>
      <c r="E15" s="24" t="n">
        <v>2.6866</v>
      </c>
      <c r="F15" s="20"/>
      <c r="G15" s="23"/>
      <c r="H15" s="20" t="s">
        <v>13</v>
      </c>
      <c r="I15" s="0"/>
      <c r="J15" s="2" t="s">
        <v>14</v>
      </c>
      <c r="Q15" s="15"/>
      <c r="R15" s="17"/>
    </row>
    <row r="16" ht="11.25" customFormat="true" s="0">
      <c r="A16" s="16" t="s">
        <v>23</v>
      </c>
      <c r="B16" s="16"/>
      <c r="C16" s="16"/>
      <c r="D16" s="16"/>
      <c r="E16" s="16"/>
      <c r="F16" s="16"/>
      <c r="G16" s="16"/>
      <c r="H16" s="16"/>
      <c r="I16" s="0"/>
      <c r="J16" s="0"/>
      <c r="Q16" s="15"/>
      <c r="R16" s="17" t="s">
        <v>23</v>
      </c>
    </row>
    <row r="17" ht="22.5" customFormat="true" s="0">
      <c r="A17" s="18">
        <f>IF(J17&lt;&gt;"",COUNTA(J$1:J17),"")</f>
      </c>
      <c r="B17" s="19" t="s">
        <v>24</v>
      </c>
      <c r="C17" s="20" t="s">
        <v>25</v>
      </c>
      <c r="D17" s="21" t="s">
        <v>26</v>
      </c>
      <c r="E17" s="23" t="n">
        <v>685.6</v>
      </c>
      <c r="F17" s="20"/>
      <c r="G17" s="23"/>
      <c r="H17" s="20" t="s">
        <v>27</v>
      </c>
      <c r="I17" s="0"/>
      <c r="J17" s="2" t="s">
        <v>14</v>
      </c>
      <c r="Q17" s="15"/>
      <c r="R17" s="17"/>
    </row>
    <row r="18" ht="11.25" customFormat="true" s="0">
      <c r="A18" s="18">
        <f>IF(J18&lt;&gt;"",COUNTA(J$1:J18),"")</f>
      </c>
      <c r="B18" s="19" t="s">
        <v>28</v>
      </c>
      <c r="C18" s="20" t="s">
        <v>29</v>
      </c>
      <c r="D18" s="21" t="s">
        <v>30</v>
      </c>
      <c r="E18" s="25" t="n">
        <v>-20.568</v>
      </c>
      <c r="F18" s="20"/>
      <c r="G18" s="23"/>
      <c r="H18" s="20" t="s">
        <v>13</v>
      </c>
      <c r="I18" s="0"/>
      <c r="J18" s="2" t="s">
        <v>14</v>
      </c>
      <c r="Q18" s="15"/>
      <c r="R18" s="17"/>
    </row>
    <row r="19" ht="11.25" customFormat="true" s="0">
      <c r="A19" s="18">
        <f>IF(J19&lt;&gt;"",COUNTA(J$1:J19),"")</f>
      </c>
      <c r="B19" s="19" t="s">
        <v>31</v>
      </c>
      <c r="C19" s="20" t="s">
        <v>32</v>
      </c>
      <c r="D19" s="21" t="s">
        <v>12</v>
      </c>
      <c r="E19" s="24" t="n">
        <v>21.9392</v>
      </c>
      <c r="F19" s="20"/>
      <c r="G19" s="23"/>
      <c r="H19" s="20" t="s">
        <v>33</v>
      </c>
      <c r="I19" s="0"/>
      <c r="J19" s="2" t="s">
        <v>14</v>
      </c>
      <c r="Q19" s="15"/>
      <c r="R19" s="17"/>
    </row>
    <row r="20" ht="11.25" customFormat="true" s="0">
      <c r="A20" s="18">
        <f>IF(J20&lt;&gt;"",COUNTA(J$1:J20),"")</f>
      </c>
      <c r="B20" s="19" t="s">
        <v>34</v>
      </c>
      <c r="C20" s="20" t="s">
        <v>35</v>
      </c>
      <c r="D20" s="21" t="s">
        <v>26</v>
      </c>
      <c r="E20" s="26" t="n">
        <v>685.6</v>
      </c>
      <c r="F20" s="20"/>
      <c r="G20" s="23"/>
      <c r="H20" s="20" t="s">
        <v>13</v>
      </c>
      <c r="I20" s="0"/>
      <c r="J20" s="2" t="s">
        <v>14</v>
      </c>
      <c r="Q20" s="15"/>
      <c r="R20" s="17"/>
    </row>
    <row r="21" ht="22.5" customFormat="true" s="0">
      <c r="A21" s="18">
        <f>IF(J21&lt;&gt;"",COUNTA(J$1:J21),"")</f>
      </c>
      <c r="B21" s="19" t="s">
        <v>36</v>
      </c>
      <c r="C21" s="20" t="s">
        <v>37</v>
      </c>
      <c r="D21" s="21" t="s">
        <v>26</v>
      </c>
      <c r="E21" s="23" t="n">
        <v>685.6</v>
      </c>
      <c r="F21" s="20"/>
      <c r="G21" s="23"/>
      <c r="H21" s="20" t="s">
        <v>27</v>
      </c>
      <c r="I21" s="0"/>
      <c r="J21" s="2" t="s">
        <v>14</v>
      </c>
      <c r="Q21" s="15"/>
      <c r="R21" s="17"/>
    </row>
    <row r="22" ht="11.25" customFormat="true" s="0">
      <c r="A22" s="18">
        <f>IF(J22&lt;&gt;"",COUNTA(J$1:J22),"")</f>
      </c>
      <c r="B22" s="19" t="s">
        <v>38</v>
      </c>
      <c r="C22" s="20" t="s">
        <v>39</v>
      </c>
      <c r="D22" s="21" t="s">
        <v>40</v>
      </c>
      <c r="E22" s="25" t="n">
        <v>-219.392</v>
      </c>
      <c r="F22" s="20"/>
      <c r="G22" s="23"/>
      <c r="H22" s="20" t="s">
        <v>13</v>
      </c>
      <c r="I22" s="0"/>
      <c r="J22" s="2" t="s">
        <v>14</v>
      </c>
      <c r="Q22" s="15"/>
      <c r="R22" s="17"/>
    </row>
    <row r="23" ht="45" customFormat="true" s="0">
      <c r="A23" s="18">
        <f>IF(J23&lt;&gt;"",COUNTA(J$1:J23),"")</f>
      </c>
      <c r="B23" s="19" t="s">
        <v>41</v>
      </c>
      <c r="C23" s="20" t="s">
        <v>42</v>
      </c>
      <c r="D23" s="21" t="s">
        <v>12</v>
      </c>
      <c r="E23" s="23" t="n">
        <v>685.6</v>
      </c>
      <c r="F23" s="20"/>
      <c r="G23" s="23"/>
      <c r="H23" s="20" t="s">
        <v>27</v>
      </c>
      <c r="I23" s="0"/>
      <c r="J23" s="2" t="s">
        <v>14</v>
      </c>
      <c r="Q23" s="15"/>
      <c r="R23" s="17"/>
    </row>
    <row r="24" ht="11.25" customFormat="true" s="0">
      <c r="A24" s="18">
        <f>IF(J24&lt;&gt;"",COUNTA(J$1:J24),"")</f>
      </c>
      <c r="B24" s="19" t="s">
        <v>43</v>
      </c>
      <c r="C24" s="20" t="s">
        <v>44</v>
      </c>
      <c r="D24" s="21" t="s">
        <v>12</v>
      </c>
      <c r="E24" s="24" t="n">
        <v>-0.6856</v>
      </c>
      <c r="F24" s="20"/>
      <c r="G24" s="23"/>
      <c r="H24" s="20" t="s">
        <v>13</v>
      </c>
      <c r="I24" s="0"/>
      <c r="J24" s="2" t="s">
        <v>14</v>
      </c>
      <c r="Q24" s="15"/>
      <c r="R24" s="17"/>
    </row>
    <row r="25" ht="11.25" customFormat="true" s="0">
      <c r="A25" s="18">
        <f>IF(J25&lt;&gt;"",COUNTA(J$1:J25),"")</f>
      </c>
      <c r="B25" s="19" t="s">
        <v>45</v>
      </c>
      <c r="C25" s="20" t="s">
        <v>46</v>
      </c>
      <c r="D25" s="21" t="s">
        <v>12</v>
      </c>
      <c r="E25" s="27" t="n">
        <v>-0.20568</v>
      </c>
      <c r="F25" s="20"/>
      <c r="G25" s="23"/>
      <c r="H25" s="20" t="s">
        <v>13</v>
      </c>
      <c r="I25" s="0"/>
      <c r="J25" s="2" t="s">
        <v>14</v>
      </c>
      <c r="Q25" s="15"/>
      <c r="R25" s="17"/>
    </row>
    <row r="26" ht="45" customFormat="true" s="0">
      <c r="A26" s="18">
        <f>IF(J26&lt;&gt;"",COUNTA(J$1:J26),"")</f>
      </c>
      <c r="B26" s="19" t="s">
        <v>47</v>
      </c>
      <c r="C26" s="20" t="s">
        <v>48</v>
      </c>
      <c r="D26" s="21" t="s">
        <v>12</v>
      </c>
      <c r="E26" s="28" t="n">
        <v>0.4360416</v>
      </c>
      <c r="F26" s="20"/>
      <c r="G26" s="23"/>
      <c r="H26" s="20" t="s">
        <v>49</v>
      </c>
      <c r="I26" s="0"/>
      <c r="J26" s="2" t="s">
        <v>14</v>
      </c>
      <c r="Q26" s="15"/>
      <c r="R26" s="17"/>
    </row>
    <row r="27" ht="33.75" customFormat="true" s="0">
      <c r="A27" s="18">
        <f>IF(J27&lt;&gt;"",COUNTA(J$1:J27),"")</f>
      </c>
      <c r="B27" s="19" t="s">
        <v>50</v>
      </c>
      <c r="C27" s="20" t="s">
        <v>51</v>
      </c>
      <c r="D27" s="21" t="s">
        <v>12</v>
      </c>
      <c r="E27" s="23" t="n">
        <v>3710.7</v>
      </c>
      <c r="F27" s="20"/>
      <c r="G27" s="23"/>
      <c r="H27" s="20" t="s">
        <v>52</v>
      </c>
      <c r="I27" s="0"/>
      <c r="J27" s="2" t="s">
        <v>14</v>
      </c>
      <c r="Q27" s="15"/>
      <c r="R27" s="17"/>
    </row>
    <row r="28" ht="11.25" customFormat="true" s="0">
      <c r="A28" s="18">
        <f>IF(J28&lt;&gt;"",COUNTA(J$1:J28),"")</f>
      </c>
      <c r="B28" s="19" t="s">
        <v>53</v>
      </c>
      <c r="C28" s="20" t="s">
        <v>44</v>
      </c>
      <c r="D28" s="21" t="s">
        <v>12</v>
      </c>
      <c r="E28" s="24" t="n">
        <v>-11.1321</v>
      </c>
      <c r="F28" s="20"/>
      <c r="G28" s="23"/>
      <c r="H28" s="20" t="s">
        <v>13</v>
      </c>
      <c r="I28" s="0"/>
      <c r="J28" s="2" t="s">
        <v>14</v>
      </c>
      <c r="Q28" s="15"/>
      <c r="R28" s="17"/>
    </row>
    <row r="29" ht="11.25" customFormat="true" s="0">
      <c r="A29" s="18">
        <f>IF(J29&lt;&gt;"",COUNTA(J$1:J29),"")</f>
      </c>
      <c r="B29" s="19" t="s">
        <v>54</v>
      </c>
      <c r="C29" s="20" t="s">
        <v>46</v>
      </c>
      <c r="D29" s="21" t="s">
        <v>12</v>
      </c>
      <c r="E29" s="27" t="n">
        <v>-3.33963</v>
      </c>
      <c r="F29" s="20"/>
      <c r="G29" s="23"/>
      <c r="H29" s="20" t="s">
        <v>13</v>
      </c>
      <c r="I29" s="0"/>
      <c r="J29" s="2" t="s">
        <v>14</v>
      </c>
      <c r="Q29" s="15"/>
      <c r="R29" s="17"/>
    </row>
    <row r="30" ht="45" customFormat="true" s="0">
      <c r="A30" s="18">
        <f>IF(J30&lt;&gt;"",COUNTA(J$1:J30),"")</f>
      </c>
      <c r="B30" s="19" t="s">
        <v>55</v>
      </c>
      <c r="C30" s="20" t="s">
        <v>48</v>
      </c>
      <c r="D30" s="21" t="s">
        <v>12</v>
      </c>
      <c r="E30" s="28" t="n">
        <v>0.9462285</v>
      </c>
      <c r="F30" s="20"/>
      <c r="G30" s="23"/>
      <c r="H30" s="20" t="s">
        <v>56</v>
      </c>
      <c r="I30" s="0"/>
      <c r="J30" s="2" t="s">
        <v>14</v>
      </c>
      <c r="Q30" s="15"/>
      <c r="R30" s="17"/>
    </row>
    <row r="31" ht="12" customFormat="true" s="0">
      <c r="A31" s="14" t="s">
        <v>57</v>
      </c>
      <c r="B31" s="14"/>
      <c r="C31" s="14"/>
      <c r="D31" s="14"/>
      <c r="E31" s="14"/>
      <c r="F31" s="14"/>
      <c r="G31" s="14"/>
      <c r="H31" s="14"/>
      <c r="I31" s="0"/>
      <c r="J31" s="0"/>
      <c r="Q31" s="15" t="s">
        <v>57</v>
      </c>
      <c r="R31" s="17"/>
    </row>
    <row r="32" ht="22.5" customFormat="true" s="0">
      <c r="A32" s="18">
        <f>IF(J32&lt;&gt;"",COUNTA(J$1:J32),"")</f>
      </c>
      <c r="B32" s="19" t="s">
        <v>58</v>
      </c>
      <c r="C32" s="20" t="s">
        <v>11</v>
      </c>
      <c r="D32" s="21" t="s">
        <v>12</v>
      </c>
      <c r="E32" s="22" t="n">
        <v>249.22</v>
      </c>
      <c r="F32" s="20"/>
      <c r="G32" s="23"/>
      <c r="H32" s="20" t="s">
        <v>13</v>
      </c>
      <c r="I32" s="0"/>
      <c r="J32" s="2" t="s">
        <v>14</v>
      </c>
      <c r="Q32" s="15"/>
      <c r="R32" s="17"/>
    </row>
    <row r="33" ht="22.5" customFormat="true" s="0">
      <c r="A33" s="18">
        <f>IF(J33&lt;&gt;"",COUNTA(J$1:J33),"")</f>
      </c>
      <c r="B33" s="19" t="s">
        <v>59</v>
      </c>
      <c r="C33" s="20" t="s">
        <v>16</v>
      </c>
      <c r="D33" s="21" t="s">
        <v>12</v>
      </c>
      <c r="E33" s="24" t="n">
        <v>251.7122</v>
      </c>
      <c r="F33" s="20"/>
      <c r="G33" s="23"/>
      <c r="H33" s="20" t="s">
        <v>13</v>
      </c>
      <c r="I33" s="0"/>
      <c r="J33" s="2" t="s">
        <v>14</v>
      </c>
      <c r="Q33" s="15"/>
      <c r="R33" s="17"/>
    </row>
    <row r="34" ht="11.25" customFormat="true" s="0">
      <c r="A34" s="16" t="s">
        <v>23</v>
      </c>
      <c r="B34" s="16"/>
      <c r="C34" s="16"/>
      <c r="D34" s="16"/>
      <c r="E34" s="16"/>
      <c r="F34" s="16"/>
      <c r="G34" s="16"/>
      <c r="H34" s="16"/>
      <c r="I34" s="0"/>
      <c r="J34" s="0"/>
      <c r="Q34" s="15"/>
      <c r="R34" s="17" t="s">
        <v>23</v>
      </c>
    </row>
    <row r="35" ht="22.5" customFormat="true" s="0">
      <c r="A35" s="18">
        <f>IF(J35&lt;&gt;"",COUNTA(J$1:J35),"")</f>
      </c>
      <c r="B35" s="19" t="s">
        <v>60</v>
      </c>
      <c r="C35" s="20" t="s">
        <v>25</v>
      </c>
      <c r="D35" s="21" t="s">
        <v>26</v>
      </c>
      <c r="E35" s="23" t="n">
        <v>4095.3</v>
      </c>
      <c r="F35" s="20"/>
      <c r="G35" s="23"/>
      <c r="H35" s="20" t="s">
        <v>61</v>
      </c>
      <c r="I35" s="0"/>
      <c r="J35" s="2" t="s">
        <v>14</v>
      </c>
      <c r="Q35" s="15"/>
      <c r="R35" s="17"/>
    </row>
    <row r="36" ht="11.25" customFormat="true" s="0">
      <c r="A36" s="18">
        <f>IF(J36&lt;&gt;"",COUNTA(J$1:J36),"")</f>
      </c>
      <c r="B36" s="19" t="s">
        <v>62</v>
      </c>
      <c r="C36" s="20" t="s">
        <v>29</v>
      </c>
      <c r="D36" s="21" t="s">
        <v>30</v>
      </c>
      <c r="E36" s="25" t="n">
        <v>-122.859</v>
      </c>
      <c r="F36" s="20"/>
      <c r="G36" s="23"/>
      <c r="H36" s="20" t="s">
        <v>13</v>
      </c>
      <c r="I36" s="0"/>
      <c r="J36" s="2" t="s">
        <v>14</v>
      </c>
      <c r="Q36" s="15"/>
      <c r="R36" s="17"/>
    </row>
    <row r="37" ht="11.25" customFormat="true" s="0">
      <c r="A37" s="18">
        <f>IF(J37&lt;&gt;"",COUNTA(J$1:J37),"")</f>
      </c>
      <c r="B37" s="19" t="s">
        <v>63</v>
      </c>
      <c r="C37" s="20" t="s">
        <v>32</v>
      </c>
      <c r="D37" s="21" t="s">
        <v>12</v>
      </c>
      <c r="E37" s="24" t="n">
        <v>131.0496</v>
      </c>
      <c r="F37" s="20"/>
      <c r="G37" s="23"/>
      <c r="H37" s="20" t="s">
        <v>64</v>
      </c>
      <c r="I37" s="0"/>
      <c r="J37" s="2" t="s">
        <v>14</v>
      </c>
      <c r="Q37" s="15"/>
      <c r="R37" s="17"/>
    </row>
    <row r="38" ht="11.25" customFormat="true" s="0">
      <c r="A38" s="18">
        <f>IF(J38&lt;&gt;"",COUNTA(J$1:J38),"")</f>
      </c>
      <c r="B38" s="19" t="s">
        <v>65</v>
      </c>
      <c r="C38" s="20" t="s">
        <v>35</v>
      </c>
      <c r="D38" s="21" t="s">
        <v>26</v>
      </c>
      <c r="E38" s="26" t="n">
        <v>4095.3</v>
      </c>
      <c r="F38" s="20"/>
      <c r="G38" s="23"/>
      <c r="H38" s="20" t="s">
        <v>13</v>
      </c>
      <c r="I38" s="0"/>
      <c r="J38" s="2" t="s">
        <v>14</v>
      </c>
      <c r="Q38" s="15"/>
      <c r="R38" s="17"/>
    </row>
    <row r="39" ht="22.5" customFormat="true" s="0">
      <c r="A39" s="18">
        <f>IF(J39&lt;&gt;"",COUNTA(J$1:J39),"")</f>
      </c>
      <c r="B39" s="19" t="s">
        <v>66</v>
      </c>
      <c r="C39" s="20" t="s">
        <v>37</v>
      </c>
      <c r="D39" s="21" t="s">
        <v>26</v>
      </c>
      <c r="E39" s="23" t="n">
        <v>4095.3</v>
      </c>
      <c r="F39" s="20"/>
      <c r="G39" s="23"/>
      <c r="H39" s="20" t="s">
        <v>61</v>
      </c>
      <c r="I39" s="0"/>
      <c r="J39" s="2" t="s">
        <v>14</v>
      </c>
      <c r="Q39" s="15"/>
      <c r="R39" s="17"/>
    </row>
    <row r="40" ht="11.25" customFormat="true" s="0">
      <c r="A40" s="18">
        <f>IF(J40&lt;&gt;"",COUNTA(J$1:J40),"")</f>
      </c>
      <c r="B40" s="19" t="s">
        <v>67</v>
      </c>
      <c r="C40" s="20" t="s">
        <v>39</v>
      </c>
      <c r="D40" s="21" t="s">
        <v>40</v>
      </c>
      <c r="E40" s="25" t="n">
        <v>-1310.496</v>
      </c>
      <c r="F40" s="20"/>
      <c r="G40" s="23"/>
      <c r="H40" s="20" t="s">
        <v>13</v>
      </c>
      <c r="I40" s="0"/>
      <c r="J40" s="2" t="s">
        <v>14</v>
      </c>
      <c r="Q40" s="15"/>
      <c r="R40" s="17"/>
    </row>
    <row r="41" ht="45" customFormat="true" s="0">
      <c r="A41" s="18">
        <f>IF(J41&lt;&gt;"",COUNTA(J$1:J41),"")</f>
      </c>
      <c r="B41" s="19" t="s">
        <v>68</v>
      </c>
      <c r="C41" s="20" t="s">
        <v>42</v>
      </c>
      <c r="D41" s="21" t="s">
        <v>12</v>
      </c>
      <c r="E41" s="23" t="n">
        <v>4095.3</v>
      </c>
      <c r="F41" s="20"/>
      <c r="G41" s="23"/>
      <c r="H41" s="20" t="s">
        <v>61</v>
      </c>
      <c r="I41" s="0"/>
      <c r="J41" s="2" t="s">
        <v>14</v>
      </c>
      <c r="Q41" s="15"/>
      <c r="R41" s="17"/>
    </row>
    <row r="42" ht="11.25" customFormat="true" s="0">
      <c r="A42" s="18">
        <f>IF(J42&lt;&gt;"",COUNTA(J$1:J42),"")</f>
      </c>
      <c r="B42" s="19" t="s">
        <v>69</v>
      </c>
      <c r="C42" s="20" t="s">
        <v>44</v>
      </c>
      <c r="D42" s="21" t="s">
        <v>12</v>
      </c>
      <c r="E42" s="24" t="n">
        <v>-4.0953</v>
      </c>
      <c r="F42" s="20"/>
      <c r="G42" s="23"/>
      <c r="H42" s="20" t="s">
        <v>13</v>
      </c>
      <c r="I42" s="0"/>
      <c r="J42" s="2" t="s">
        <v>14</v>
      </c>
      <c r="Q42" s="15"/>
      <c r="R42" s="17"/>
    </row>
    <row r="43" ht="11.25" customFormat="true" s="0">
      <c r="A43" s="18">
        <f>IF(J43&lt;&gt;"",COUNTA(J$1:J43),"")</f>
      </c>
      <c r="B43" s="19" t="s">
        <v>70</v>
      </c>
      <c r="C43" s="20" t="s">
        <v>46</v>
      </c>
      <c r="D43" s="21" t="s">
        <v>12</v>
      </c>
      <c r="E43" s="27" t="n">
        <v>-1.22859</v>
      </c>
      <c r="F43" s="20"/>
      <c r="G43" s="23"/>
      <c r="H43" s="20" t="s">
        <v>13</v>
      </c>
      <c r="I43" s="0"/>
      <c r="J43" s="2" t="s">
        <v>14</v>
      </c>
      <c r="Q43" s="15"/>
      <c r="R43" s="17"/>
    </row>
    <row r="44" ht="45" customFormat="true" s="0">
      <c r="A44" s="18">
        <f>IF(J44&lt;&gt;"",COUNTA(J$1:J44),"")</f>
      </c>
      <c r="B44" s="19" t="s">
        <v>71</v>
      </c>
      <c r="C44" s="20" t="s">
        <v>48</v>
      </c>
      <c r="D44" s="21" t="s">
        <v>12</v>
      </c>
      <c r="E44" s="29" t="n">
        <v>0.573342</v>
      </c>
      <c r="F44" s="20"/>
      <c r="G44" s="23"/>
      <c r="H44" s="20" t="s">
        <v>72</v>
      </c>
      <c r="I44" s="0"/>
      <c r="J44" s="2" t="s">
        <v>14</v>
      </c>
      <c r="Q44" s="15"/>
      <c r="R44" s="17"/>
    </row>
    <row r="45" ht="12" customFormat="true" s="0">
      <c r="A45" s="14" t="s">
        <v>73</v>
      </c>
      <c r="B45" s="14"/>
      <c r="C45" s="14"/>
      <c r="D45" s="14"/>
      <c r="E45" s="14"/>
      <c r="F45" s="14"/>
      <c r="G45" s="14"/>
      <c r="H45" s="14"/>
      <c r="I45" s="0"/>
      <c r="J45" s="0"/>
      <c r="Q45" s="15" t="s">
        <v>73</v>
      </c>
      <c r="R45" s="17"/>
    </row>
    <row r="46" ht="45" customFormat="true" s="0">
      <c r="A46" s="18">
        <f>IF(J46&lt;&gt;"",COUNTA(J$1:J46),"")</f>
      </c>
      <c r="B46" s="19" t="s">
        <v>74</v>
      </c>
      <c r="C46" s="20" t="s">
        <v>75</v>
      </c>
      <c r="D46" s="21" t="s">
        <v>12</v>
      </c>
      <c r="E46" s="22" t="n">
        <v>26.22</v>
      </c>
      <c r="F46" s="20"/>
      <c r="G46" s="23"/>
      <c r="H46" s="20" t="s">
        <v>76</v>
      </c>
      <c r="I46" s="0"/>
      <c r="J46" s="2" t="s">
        <v>14</v>
      </c>
      <c r="Q46" s="15"/>
      <c r="R46" s="17"/>
    </row>
    <row r="47" ht="11.25" customFormat="true" s="0">
      <c r="A47" s="18">
        <f>IF(J47&lt;&gt;"",COUNTA(J$1:J47),"")</f>
      </c>
      <c r="B47" s="19" t="s">
        <v>77</v>
      </c>
      <c r="C47" s="20" t="s">
        <v>78</v>
      </c>
      <c r="D47" s="21" t="s">
        <v>12</v>
      </c>
      <c r="E47" s="22" t="n">
        <v>26.22</v>
      </c>
      <c r="F47" s="20"/>
      <c r="G47" s="23"/>
      <c r="H47" s="20" t="s">
        <v>13</v>
      </c>
      <c r="I47" s="0"/>
      <c r="J47" s="2" t="s">
        <v>14</v>
      </c>
      <c r="Q47" s="15"/>
      <c r="R47" s="17"/>
    </row>
    <row r="48" ht="11.25" customFormat="true" s="0">
      <c r="A48" s="16" t="s">
        <v>23</v>
      </c>
      <c r="B48" s="16"/>
      <c r="C48" s="16"/>
      <c r="D48" s="16"/>
      <c r="E48" s="16"/>
      <c r="F48" s="16"/>
      <c r="G48" s="16"/>
      <c r="H48" s="16"/>
      <c r="I48" s="0"/>
      <c r="J48" s="0"/>
      <c r="Q48" s="15"/>
      <c r="R48" s="17" t="s">
        <v>23</v>
      </c>
    </row>
    <row r="49" ht="22.5" customFormat="true" s="0">
      <c r="A49" s="18">
        <f>IF(J49&lt;&gt;"",COUNTA(J$1:J49),"")</f>
      </c>
      <c r="B49" s="19" t="s">
        <v>79</v>
      </c>
      <c r="C49" s="20" t="s">
        <v>80</v>
      </c>
      <c r="D49" s="21" t="s">
        <v>26</v>
      </c>
      <c r="E49" s="23" t="n">
        <v>702.08</v>
      </c>
      <c r="F49" s="20"/>
      <c r="G49" s="23"/>
      <c r="H49" s="20" t="s">
        <v>81</v>
      </c>
      <c r="I49" s="0"/>
      <c r="J49" s="2" t="s">
        <v>14</v>
      </c>
      <c r="Q49" s="15"/>
      <c r="R49" s="17"/>
    </row>
    <row r="50" ht="11.25" customFormat="true" s="0">
      <c r="A50" s="18">
        <f>IF(J50&lt;&gt;"",COUNTA(J$1:J50),"")</f>
      </c>
      <c r="B50" s="19" t="s">
        <v>82</v>
      </c>
      <c r="C50" s="20" t="s">
        <v>83</v>
      </c>
      <c r="D50" s="21" t="s">
        <v>12</v>
      </c>
      <c r="E50" s="28" t="n">
        <v>-0.0228878</v>
      </c>
      <c r="F50" s="20"/>
      <c r="G50" s="23"/>
      <c r="H50" s="20" t="s">
        <v>13</v>
      </c>
      <c r="I50" s="0"/>
      <c r="J50" s="2" t="s">
        <v>14</v>
      </c>
      <c r="Q50" s="15"/>
      <c r="R50" s="17"/>
    </row>
    <row r="51" ht="11.25" customFormat="true" s="0">
      <c r="A51" s="18">
        <f>IF(J51&lt;&gt;"",COUNTA(J$1:J51),"")</f>
      </c>
      <c r="B51" s="19" t="s">
        <v>84</v>
      </c>
      <c r="C51" s="20" t="s">
        <v>85</v>
      </c>
      <c r="D51" s="21" t="s">
        <v>12</v>
      </c>
      <c r="E51" s="29" t="n">
        <v>-0.114439</v>
      </c>
      <c r="F51" s="20"/>
      <c r="G51" s="23"/>
      <c r="H51" s="20" t="s">
        <v>13</v>
      </c>
      <c r="I51" s="0"/>
      <c r="J51" s="2" t="s">
        <v>14</v>
      </c>
      <c r="Q51" s="15"/>
      <c r="R51" s="17"/>
    </row>
    <row r="52" ht="11.25" customFormat="true" s="0">
      <c r="A52" s="18">
        <f>IF(J52&lt;&gt;"",COUNTA(J$1:J52),"")</f>
      </c>
      <c r="B52" s="19" t="s">
        <v>86</v>
      </c>
      <c r="C52" s="20" t="s">
        <v>87</v>
      </c>
      <c r="D52" s="21" t="s">
        <v>12</v>
      </c>
      <c r="E52" s="29" t="n">
        <v>0.114439</v>
      </c>
      <c r="F52" s="20"/>
      <c r="G52" s="23"/>
      <c r="H52" s="20" t="s">
        <v>13</v>
      </c>
      <c r="I52" s="0"/>
      <c r="J52" s="2" t="s">
        <v>14</v>
      </c>
      <c r="Q52" s="15"/>
      <c r="R52" s="17"/>
    </row>
    <row r="53" ht="22.5" customFormat="true" s="0">
      <c r="A53" s="18">
        <f>IF(J53&lt;&gt;"",COUNTA(J$1:J53),"")</f>
      </c>
      <c r="B53" s="19" t="s">
        <v>88</v>
      </c>
      <c r="C53" s="20" t="s">
        <v>89</v>
      </c>
      <c r="D53" s="21" t="s">
        <v>12</v>
      </c>
      <c r="E53" s="23" t="n">
        <v>26.22</v>
      </c>
      <c r="F53" s="20"/>
      <c r="G53" s="23"/>
      <c r="H53" s="20" t="s">
        <v>90</v>
      </c>
      <c r="I53" s="0"/>
      <c r="J53" s="2" t="s">
        <v>14</v>
      </c>
      <c r="Q53" s="15"/>
      <c r="R53" s="17"/>
    </row>
    <row r="54" ht="11.25" customFormat="true" s="0">
      <c r="A54" s="18">
        <f>IF(J54&lt;&gt;"",COUNTA(J$1:J54),"")</f>
      </c>
      <c r="B54" s="19" t="s">
        <v>91</v>
      </c>
      <c r="C54" s="20" t="s">
        <v>92</v>
      </c>
      <c r="D54" s="21" t="s">
        <v>12</v>
      </c>
      <c r="E54" s="29" t="n">
        <v>-0.083904</v>
      </c>
      <c r="F54" s="20"/>
      <c r="G54" s="23"/>
      <c r="H54" s="20" t="s">
        <v>13</v>
      </c>
      <c r="I54" s="0"/>
      <c r="J54" s="2" t="s">
        <v>14</v>
      </c>
      <c r="Q54" s="15"/>
      <c r="R54" s="17"/>
    </row>
    <row r="55" ht="11.25" customFormat="true" s="0">
      <c r="A55" s="18">
        <f>IF(J55&lt;&gt;"",COUNTA(J$1:J55),"")</f>
      </c>
      <c r="B55" s="19" t="s">
        <v>93</v>
      </c>
      <c r="C55" s="20" t="s">
        <v>39</v>
      </c>
      <c r="D55" s="21" t="s">
        <v>40</v>
      </c>
      <c r="E55" s="25" t="n">
        <v>-20.976</v>
      </c>
      <c r="F55" s="20"/>
      <c r="G55" s="23"/>
      <c r="H55" s="20" t="s">
        <v>13</v>
      </c>
      <c r="I55" s="0"/>
      <c r="J55" s="2" t="s">
        <v>14</v>
      </c>
      <c r="Q55" s="15"/>
      <c r="R55" s="17"/>
    </row>
    <row r="56" ht="11.25" customFormat="true" s="0">
      <c r="A56" s="18">
        <f>IF(J56&lt;&gt;"",COUNTA(J$1:J56),"")</f>
      </c>
      <c r="B56" s="19" t="s">
        <v>94</v>
      </c>
      <c r="C56" s="20" t="s">
        <v>95</v>
      </c>
      <c r="D56" s="21" t="s">
        <v>12</v>
      </c>
      <c r="E56" s="29" t="n">
        <v>0.083904</v>
      </c>
      <c r="F56" s="20"/>
      <c r="G56" s="23"/>
      <c r="H56" s="20" t="s">
        <v>13</v>
      </c>
      <c r="I56" s="0"/>
      <c r="J56" s="2" t="s">
        <v>14</v>
      </c>
      <c r="Q56" s="15"/>
      <c r="R56" s="17"/>
    </row>
    <row r="57" ht="12" customFormat="true" s="0">
      <c r="A57" s="14" t="s">
        <v>96</v>
      </c>
      <c r="B57" s="14"/>
      <c r="C57" s="14"/>
      <c r="D57" s="14"/>
      <c r="E57" s="14"/>
      <c r="F57" s="14"/>
      <c r="G57" s="14"/>
      <c r="H57" s="14"/>
      <c r="I57" s="0"/>
      <c r="J57" s="0"/>
      <c r="Q57" s="15" t="s">
        <v>96</v>
      </c>
      <c r="R57" s="17"/>
    </row>
    <row r="58" ht="33.75" customFormat="true" s="0">
      <c r="A58" s="18">
        <f>IF(J58&lt;&gt;"",COUNTA(J$1:J58),"")</f>
      </c>
      <c r="B58" s="19" t="s">
        <v>97</v>
      </c>
      <c r="C58" s="20" t="s">
        <v>98</v>
      </c>
      <c r="D58" s="21" t="s">
        <v>12</v>
      </c>
      <c r="E58" s="22" t="n">
        <v>171.48</v>
      </c>
      <c r="F58" s="20"/>
      <c r="G58" s="23"/>
      <c r="H58" s="20" t="s">
        <v>13</v>
      </c>
      <c r="I58" s="0"/>
      <c r="J58" s="2" t="s">
        <v>14</v>
      </c>
      <c r="Q58" s="15"/>
      <c r="R58" s="17"/>
    </row>
    <row r="59" ht="11.25" customFormat="true" s="0">
      <c r="A59" s="18">
        <f>IF(J59&lt;&gt;"",COUNTA(J$1:J59),"")</f>
      </c>
      <c r="B59" s="19" t="s">
        <v>99</v>
      </c>
      <c r="C59" s="20" t="s">
        <v>100</v>
      </c>
      <c r="D59" s="21" t="s">
        <v>12</v>
      </c>
      <c r="E59" s="22" t="n">
        <v>171.48</v>
      </c>
      <c r="F59" s="20"/>
      <c r="G59" s="23"/>
      <c r="H59" s="20" t="s">
        <v>13</v>
      </c>
      <c r="I59" s="0"/>
      <c r="J59" s="2" t="s">
        <v>14</v>
      </c>
      <c r="Q59" s="15"/>
      <c r="R59" s="17"/>
    </row>
    <row r="60" ht="11.25" customFormat="true" s="0">
      <c r="A60" s="16" t="s">
        <v>23</v>
      </c>
      <c r="B60" s="16"/>
      <c r="C60" s="16"/>
      <c r="D60" s="16"/>
      <c r="E60" s="16"/>
      <c r="F60" s="16"/>
      <c r="G60" s="16"/>
      <c r="H60" s="16"/>
      <c r="I60" s="0"/>
      <c r="J60" s="0"/>
      <c r="Q60" s="15"/>
      <c r="R60" s="17" t="s">
        <v>23</v>
      </c>
    </row>
    <row r="61" ht="22.5" customFormat="true" s="0">
      <c r="A61" s="18">
        <f>IF(J61&lt;&gt;"",COUNTA(J$1:J61),"")</f>
      </c>
      <c r="B61" s="19" t="s">
        <v>101</v>
      </c>
      <c r="C61" s="20" t="s">
        <v>102</v>
      </c>
      <c r="D61" s="21" t="s">
        <v>26</v>
      </c>
      <c r="E61" s="23" t="n">
        <v>991.2</v>
      </c>
      <c r="F61" s="20"/>
      <c r="G61" s="23"/>
      <c r="H61" s="20" t="s">
        <v>103</v>
      </c>
      <c r="I61" s="0"/>
      <c r="J61" s="2" t="s">
        <v>14</v>
      </c>
      <c r="Q61" s="15"/>
      <c r="R61" s="17"/>
    </row>
    <row r="62" ht="11.25" customFormat="true" s="0">
      <c r="A62" s="18">
        <f>IF(J62&lt;&gt;"",COUNTA(J$1:J62),"")</f>
      </c>
      <c r="B62" s="19" t="s">
        <v>104</v>
      </c>
      <c r="C62" s="20" t="s">
        <v>105</v>
      </c>
      <c r="D62" s="21" t="s">
        <v>12</v>
      </c>
      <c r="E62" s="28" t="n">
        <v>-0.2785272</v>
      </c>
      <c r="F62" s="20"/>
      <c r="G62" s="23"/>
      <c r="H62" s="20" t="s">
        <v>13</v>
      </c>
      <c r="I62" s="0"/>
      <c r="J62" s="2" t="s">
        <v>14</v>
      </c>
      <c r="Q62" s="15"/>
      <c r="R62" s="17"/>
    </row>
    <row r="63" ht="11.25" customFormat="true" s="0">
      <c r="A63" s="18">
        <f>IF(J63&lt;&gt;"",COUNTA(J$1:J63),"")</f>
      </c>
      <c r="B63" s="19" t="s">
        <v>106</v>
      </c>
      <c r="C63" s="20" t="s">
        <v>107</v>
      </c>
      <c r="D63" s="21" t="s">
        <v>40</v>
      </c>
      <c r="E63" s="24" t="n">
        <v>-31.7184</v>
      </c>
      <c r="F63" s="20"/>
      <c r="G63" s="23"/>
      <c r="H63" s="20" t="s">
        <v>13</v>
      </c>
      <c r="I63" s="0"/>
      <c r="J63" s="2" t="s">
        <v>14</v>
      </c>
      <c r="Q63" s="15"/>
      <c r="R63" s="17"/>
    </row>
    <row r="64" ht="11.25" customFormat="true" s="0">
      <c r="A64" s="18">
        <f>IF(J64&lt;&gt;"",COUNTA(J$1:J64),"")</f>
      </c>
      <c r="B64" s="19" t="s">
        <v>108</v>
      </c>
      <c r="C64" s="20" t="s">
        <v>109</v>
      </c>
      <c r="D64" s="21" t="s">
        <v>12</v>
      </c>
      <c r="E64" s="28" t="n">
        <v>0.2785272</v>
      </c>
      <c r="F64" s="20"/>
      <c r="G64" s="23"/>
      <c r="H64" s="20" t="s">
        <v>13</v>
      </c>
      <c r="I64" s="0"/>
      <c r="J64" s="2" t="s">
        <v>14</v>
      </c>
      <c r="Q64" s="15"/>
      <c r="R64" s="17"/>
    </row>
    <row r="65" ht="22.5" customFormat="true" s="0">
      <c r="A65" s="18">
        <f>IF(J65&lt;&gt;"",COUNTA(J$1:J65),"")</f>
      </c>
      <c r="B65" s="19" t="s">
        <v>110</v>
      </c>
      <c r="C65" s="20" t="s">
        <v>111</v>
      </c>
      <c r="D65" s="21" t="s">
        <v>26</v>
      </c>
      <c r="E65" s="23" t="n">
        <v>991.2</v>
      </c>
      <c r="F65" s="20"/>
      <c r="G65" s="23"/>
      <c r="H65" s="20" t="s">
        <v>103</v>
      </c>
      <c r="I65" s="0"/>
      <c r="J65" s="2" t="s">
        <v>14</v>
      </c>
      <c r="Q65" s="15"/>
      <c r="R65" s="17"/>
    </row>
    <row r="66" ht="22.5" customFormat="true" s="0">
      <c r="A66" s="18">
        <f>IF(J66&lt;&gt;"",COUNTA(J$1:J66),"")</f>
      </c>
      <c r="B66" s="19" t="s">
        <v>112</v>
      </c>
      <c r="C66" s="20" t="s">
        <v>113</v>
      </c>
      <c r="D66" s="21" t="s">
        <v>26</v>
      </c>
      <c r="E66" s="23" t="n">
        <v>991.2</v>
      </c>
      <c r="F66" s="20"/>
      <c r="G66" s="23"/>
      <c r="H66" s="20" t="s">
        <v>103</v>
      </c>
      <c r="I66" s="0"/>
      <c r="J66" s="2" t="s">
        <v>14</v>
      </c>
      <c r="Q66" s="15"/>
      <c r="R66" s="17"/>
    </row>
    <row r="67" ht="22.5" customFormat="true" s="0">
      <c r="A67" s="18">
        <f>IF(J67&lt;&gt;"",COUNTA(J$1:J67),"")</f>
      </c>
      <c r="B67" s="19" t="s">
        <v>114</v>
      </c>
      <c r="C67" s="20" t="s">
        <v>115</v>
      </c>
      <c r="D67" s="21" t="s">
        <v>12</v>
      </c>
      <c r="E67" s="29" t="n">
        <v>-0.138768</v>
      </c>
      <c r="F67" s="20"/>
      <c r="G67" s="23"/>
      <c r="H67" s="20" t="s">
        <v>13</v>
      </c>
      <c r="I67" s="0"/>
      <c r="J67" s="2" t="s">
        <v>14</v>
      </c>
      <c r="Q67" s="15"/>
      <c r="R67" s="17"/>
    </row>
    <row r="68" ht="11.25" customFormat="true" s="0">
      <c r="A68" s="18">
        <f>IF(J68&lt;&gt;"",COUNTA(J$1:J68),"")</f>
      </c>
      <c r="B68" s="19" t="s">
        <v>116</v>
      </c>
      <c r="C68" s="20" t="s">
        <v>117</v>
      </c>
      <c r="D68" s="21" t="s">
        <v>12</v>
      </c>
      <c r="E68" s="29" t="n">
        <v>-0.564984</v>
      </c>
      <c r="F68" s="20"/>
      <c r="G68" s="23"/>
      <c r="H68" s="20" t="s">
        <v>13</v>
      </c>
      <c r="I68" s="0"/>
      <c r="J68" s="2" t="s">
        <v>14</v>
      </c>
      <c r="Q68" s="15"/>
      <c r="R68" s="17"/>
    </row>
    <row r="69" ht="11.25" customFormat="true" s="0">
      <c r="A69" s="18">
        <f>IF(J69&lt;&gt;"",COUNTA(J$1:J69),"")</f>
      </c>
      <c r="B69" s="19" t="s">
        <v>118</v>
      </c>
      <c r="C69" s="20" t="s">
        <v>119</v>
      </c>
      <c r="D69" s="21" t="s">
        <v>12</v>
      </c>
      <c r="E69" s="29" t="n">
        <v>-2.864568</v>
      </c>
      <c r="F69" s="20"/>
      <c r="G69" s="23"/>
      <c r="H69" s="20" t="s">
        <v>13</v>
      </c>
      <c r="I69" s="0"/>
      <c r="J69" s="2" t="s">
        <v>14</v>
      </c>
      <c r="Q69" s="15"/>
      <c r="R69" s="17"/>
    </row>
    <row r="70" ht="11.25" customFormat="true" s="0">
      <c r="A70" s="18">
        <f>IF(J70&lt;&gt;"",COUNTA(J$1:J70),"")</f>
      </c>
      <c r="B70" s="19" t="s">
        <v>120</v>
      </c>
      <c r="C70" s="20" t="s">
        <v>121</v>
      </c>
      <c r="D70" s="21" t="s">
        <v>40</v>
      </c>
      <c r="E70" s="22" t="n">
        <v>-545.16</v>
      </c>
      <c r="F70" s="20"/>
      <c r="G70" s="23"/>
      <c r="H70" s="20" t="s">
        <v>13</v>
      </c>
      <c r="I70" s="0"/>
      <c r="J70" s="2" t="s">
        <v>14</v>
      </c>
      <c r="Q70" s="15"/>
      <c r="R70" s="17"/>
    </row>
    <row r="71" ht="11.25" customFormat="true" s="0">
      <c r="A71" s="18">
        <f>IF(J71&lt;&gt;"",COUNTA(J$1:J71),"")</f>
      </c>
      <c r="B71" s="19" t="s">
        <v>122</v>
      </c>
      <c r="C71" s="20" t="s">
        <v>123</v>
      </c>
      <c r="D71" s="21" t="s">
        <v>12</v>
      </c>
      <c r="E71" s="29" t="n">
        <v>-2.289672</v>
      </c>
      <c r="F71" s="20"/>
      <c r="G71" s="23"/>
      <c r="H71" s="20" t="s">
        <v>13</v>
      </c>
      <c r="I71" s="0"/>
      <c r="J71" s="2" t="s">
        <v>14</v>
      </c>
      <c r="Q71" s="15"/>
      <c r="R71" s="17"/>
    </row>
    <row r="72" ht="11.25" customFormat="true" s="0">
      <c r="A72" s="18">
        <f>IF(J72&lt;&gt;"",COUNTA(J$1:J72),"")</f>
      </c>
      <c r="B72" s="19" t="s">
        <v>124</v>
      </c>
      <c r="C72" s="20" t="s">
        <v>125</v>
      </c>
      <c r="D72" s="21" t="s">
        <v>12</v>
      </c>
      <c r="E72" s="29" t="n">
        <v>1.020936</v>
      </c>
      <c r="F72" s="20"/>
      <c r="G72" s="23"/>
      <c r="H72" s="20" t="s">
        <v>126</v>
      </c>
      <c r="I72" s="0"/>
      <c r="J72" s="2" t="s">
        <v>14</v>
      </c>
      <c r="Q72" s="15"/>
      <c r="R72" s="17"/>
    </row>
    <row r="73" ht="11.25" customFormat="true" s="0">
      <c r="A73" s="18">
        <f>IF(J73&lt;&gt;"",COUNTA(J$1:J73),"")</f>
      </c>
      <c r="B73" s="19" t="s">
        <v>127</v>
      </c>
      <c r="C73" s="20" t="s">
        <v>128</v>
      </c>
      <c r="D73" s="21" t="s">
        <v>26</v>
      </c>
      <c r="E73" s="22" t="n">
        <v>1139.88</v>
      </c>
      <c r="F73" s="20"/>
      <c r="G73" s="23"/>
      <c r="H73" s="20" t="s">
        <v>129</v>
      </c>
      <c r="I73" s="0"/>
      <c r="J73" s="2" t="s">
        <v>14</v>
      </c>
      <c r="Q73" s="15"/>
      <c r="R73" s="17"/>
    </row>
    <row r="74" ht="12" customFormat="true" s="0">
      <c r="A74" s="14" t="s">
        <v>130</v>
      </c>
      <c r="B74" s="14"/>
      <c r="C74" s="14"/>
      <c r="D74" s="14"/>
      <c r="E74" s="14"/>
      <c r="F74" s="14"/>
      <c r="G74" s="14"/>
      <c r="H74" s="14"/>
      <c r="I74" s="0"/>
      <c r="J74" s="0"/>
      <c r="Q74" s="15" t="s">
        <v>130</v>
      </c>
      <c r="R74" s="17"/>
    </row>
    <row r="75" ht="33.75" customFormat="true" s="0">
      <c r="A75" s="18">
        <f>IF(J75&lt;&gt;"",COUNTA(J$1:J75),"")</f>
      </c>
      <c r="B75" s="19" t="s">
        <v>131</v>
      </c>
      <c r="C75" s="20" t="s">
        <v>132</v>
      </c>
      <c r="D75" s="21" t="s">
        <v>12</v>
      </c>
      <c r="E75" s="22" t="n">
        <v>1057.68</v>
      </c>
      <c r="F75" s="20"/>
      <c r="G75" s="23"/>
      <c r="H75" s="20" t="s">
        <v>13</v>
      </c>
      <c r="I75" s="0"/>
      <c r="J75" s="2" t="s">
        <v>14</v>
      </c>
      <c r="Q75" s="15"/>
      <c r="R75" s="17"/>
    </row>
    <row r="76" ht="22.5" customFormat="true" s="0">
      <c r="A76" s="18">
        <f>IF(J76&lt;&gt;"",COUNTA(J$1:J76),"")</f>
      </c>
      <c r="B76" s="19" t="s">
        <v>133</v>
      </c>
      <c r="C76" s="20" t="s">
        <v>16</v>
      </c>
      <c r="D76" s="21" t="s">
        <v>12</v>
      </c>
      <c r="E76" s="22" t="n">
        <v>1057.68</v>
      </c>
      <c r="F76" s="20"/>
      <c r="G76" s="23"/>
      <c r="H76" s="20" t="s">
        <v>13</v>
      </c>
      <c r="I76" s="0"/>
      <c r="J76" s="2" t="s">
        <v>14</v>
      </c>
      <c r="Q76" s="15"/>
      <c r="R76" s="17"/>
    </row>
    <row r="77" customHeight="true" ht="36.75" customFormat="true" s="0"/>
    <row r="78" ht="11.25" customFormat="true" s="30">
      <c r="A78" s="31"/>
      <c r="B78" s="32" t="s">
        <v>134</v>
      </c>
      <c r="C78" s="33"/>
      <c r="D78" s="33"/>
      <c r="E78" s="34"/>
      <c r="F78" s="34"/>
      <c r="G78" s="34"/>
      <c r="H78" s="34"/>
      <c r="I78" s="0"/>
      <c r="J78" s="0"/>
      <c r="K78" s="0"/>
      <c r="L78" s="0"/>
      <c r="M78" s="0"/>
      <c r="N78" s="0"/>
      <c r="O78" s="0"/>
      <c r="P78" s="0"/>
      <c r="Q78" s="35"/>
      <c r="R78" s="35"/>
      <c r="S78" s="36" t="s">
        <v>135</v>
      </c>
      <c r="T78" s="36" t="s">
        <v>135</v>
      </c>
      <c r="U78" s="37" t="s">
        <v>135</v>
      </c>
      <c r="V78" s="37" t="s">
        <v>135</v>
      </c>
      <c r="W78" s="37" t="s">
        <v>135</v>
      </c>
      <c r="X78" s="37" t="s">
        <v>135</v>
      </c>
      <c r="Y78" s="36"/>
      <c r="Z78" s="36"/>
      <c r="AA78" s="37"/>
      <c r="AB78" s="37"/>
      <c r="AC78" s="37"/>
      <c r="AD78" s="37"/>
    </row>
    <row r="79" customHeight="true" ht="20.25" customFormat="true" s="38">
      <c r="A79" s="39"/>
      <c r="B79" s="32"/>
      <c r="C79" s="40" t="s">
        <v>136</v>
      </c>
      <c r="D79" s="40"/>
      <c r="E79" s="40"/>
      <c r="F79" s="40"/>
      <c r="G79" s="40"/>
      <c r="H79" s="40"/>
      <c r="Q79" s="35"/>
      <c r="R79" s="35"/>
      <c r="S79" s="36"/>
      <c r="T79" s="36"/>
      <c r="U79" s="37"/>
      <c r="V79" s="37"/>
      <c r="W79" s="37"/>
      <c r="X79" s="37"/>
      <c r="Y79" s="36"/>
      <c r="Z79" s="36"/>
      <c r="AA79" s="37"/>
      <c r="AB79" s="37"/>
      <c r="AC79" s="37"/>
      <c r="AD79" s="37"/>
    </row>
    <row r="80" ht="11.25" customFormat="true" s="30">
      <c r="A80" s="31"/>
      <c r="B80" s="32" t="s">
        <v>137</v>
      </c>
      <c r="C80" s="33"/>
      <c r="D80" s="33"/>
      <c r="E80" s="34"/>
      <c r="F80" s="34"/>
      <c r="G80" s="34"/>
      <c r="H80" s="34"/>
      <c r="I80" s="0"/>
      <c r="J80" s="0"/>
      <c r="K80" s="0"/>
      <c r="L80" s="0"/>
      <c r="M80" s="0"/>
      <c r="N80" s="0"/>
      <c r="O80" s="0"/>
      <c r="P80" s="0"/>
      <c r="Q80" s="35"/>
      <c r="R80" s="35"/>
      <c r="S80" s="36"/>
      <c r="T80" s="36"/>
      <c r="U80" s="37"/>
      <c r="V80" s="37"/>
      <c r="W80" s="37"/>
      <c r="X80" s="37"/>
      <c r="Y80" s="36" t="s">
        <v>135</v>
      </c>
      <c r="Z80" s="36" t="s">
        <v>135</v>
      </c>
      <c r="AA80" s="37" t="s">
        <v>135</v>
      </c>
      <c r="AB80" s="37" t="s">
        <v>135</v>
      </c>
      <c r="AC80" s="37" t="s">
        <v>135</v>
      </c>
      <c r="AD80" s="37" t="s">
        <v>135</v>
      </c>
    </row>
    <row r="81" customHeight="true" ht="20.25" customFormat="true" s="38">
      <c r="A81" s="39"/>
      <c r="C81" s="40" t="s">
        <v>136</v>
      </c>
      <c r="D81" s="40"/>
      <c r="E81" s="40"/>
      <c r="F81" s="40"/>
      <c r="G81" s="40"/>
      <c r="H81" s="40"/>
      <c r="Q81" s="35"/>
      <c r="R81" s="35"/>
      <c r="S81" s="36"/>
      <c r="T81" s="36"/>
      <c r="U81" s="37"/>
      <c r="V81" s="37"/>
      <c r="W81" s="37"/>
      <c r="X81" s="37"/>
      <c r="Y81" s="36"/>
      <c r="Z81" s="36"/>
      <c r="AA81" s="37"/>
      <c r="AB81" s="37"/>
      <c r="AC81" s="37"/>
      <c r="AD81" s="37"/>
    </row>
    <row r="83" customFormat="true" s="0">
      <c r="B83" s="41"/>
      <c r="D83" s="41"/>
      <c r="F83" s="41"/>
    </row>
    <row r="88" customFormat="true" s="0">
      <c r="C88" s="42"/>
    </row>
    <row r="89" customFormat="true" s="0">
      <c r="C89" s="42"/>
    </row>
    <row r="90" customFormat="true" s="0">
      <c r="C90" s="42"/>
    </row>
  </sheetData>
  <mergeCells>
    <mergeCell ref="A2:H2"/>
    <mergeCell ref="G4:H4"/>
    <mergeCell ref="G5:H5"/>
    <mergeCell ref="A6:H6"/>
    <mergeCell ref="A7:H7"/>
    <mergeCell ref="A10:H10"/>
    <mergeCell ref="A13:H13"/>
    <mergeCell ref="A16:H16"/>
    <mergeCell ref="A31:H31"/>
    <mergeCell ref="A34:H34"/>
    <mergeCell ref="A45:H45"/>
    <mergeCell ref="A48:H48"/>
    <mergeCell ref="A57:H57"/>
    <mergeCell ref="A60:H60"/>
    <mergeCell ref="A74:H74"/>
    <mergeCell ref="C78:D78"/>
    <mergeCell ref="E78:H78"/>
    <mergeCell ref="C79:H79"/>
    <mergeCell ref="C80:D80"/>
    <mergeCell ref="E80:H80"/>
    <mergeCell ref="C81:H81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2023-06-08T12:07:32.000Z</cp:lastPrinted>
  <dcterms:created xsi:type="dcterms:W3CDTF">2020-09-30T08:50:27.000Z</dcterms:created>
  <dcterms:modified xsi:type="dcterms:W3CDTF">2023-11-23T12:03:36.000Z</dcterms:modified>
</cp:coreProperties>
</file>