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Крановый путь - Ведомость объем" sheetId="1" r:id="rId1"/>
  </sheets>
  <definedNames>
    <definedName name="_xlnm.Print_Area" localSheetId="0">'Крановый путь - Ведомость объем'!$A$1:$H$75</definedName>
    <definedName name="_xlnm.Print_Titles" localSheetId="0">'Крановый путь - Ведомость объем'!$5:$5</definedName>
  </definedNames>
  <calcPr calcMode="auto" refMode="A1"/>
</workbook>
</file>

<file path=xl/sharedStrings.xml><?xml version="1.0" encoding="utf-8"?>
<sst xmlns="http://schemas.openxmlformats.org/spreadsheetml/2006/main" count="148" uniqueCount="148">
  <si>
    <t>Ведомость объёмов работ</t>
  </si>
  <si>
    <t>№ п/п</t>
  </si>
  <si>
    <t>№ в ЛСР</t>
  </si>
  <si>
    <t>Наименование работ</t>
  </si>
  <si>
    <t xml:space="preserve">Ед.
изм.</t>
  </si>
  <si>
    <t>Кол-во</t>
  </si>
  <si>
    <t>Ссылки на чертежи</t>
  </si>
  <si>
    <t>Формула расчёта, расчёт объёмов работ и расхода материалов</t>
  </si>
  <si>
    <t>Раздел 1. Крановый путь длиной 183,5 метра</t>
  </si>
  <si>
    <t>1</t>
  </si>
  <si>
    <t>Изготовление в построечных условиях свай из стальных труб, диаметром: 530 мм</t>
  </si>
  <si>
    <t>шт</t>
  </si>
  <si>
    <t xml:space="preserve">(112 / 10)*10 </t>
  </si>
  <si>
    <t xml:space="preserve">1 </t>
  </si>
  <si>
    <t>2</t>
  </si>
  <si>
    <t>Погружение вибропогружателем стальных свай массой 1 м: свыше 70 кг на глубину свыше 10 до 15 м (прим. 23 м)</t>
  </si>
  <si>
    <t>т</t>
  </si>
  <si>
    <t xml:space="preserve"> </t>
  </si>
  <si>
    <t>3</t>
  </si>
  <si>
    <t>Извлечение стальных  свай массой 1 м: свыше 70 кг, длиной свыше 15 м из грунтов 3 группы</t>
  </si>
  <si>
    <t>4</t>
  </si>
  <si>
    <t>Стыкование стальных свай на стенде</t>
  </si>
  <si>
    <t>5</t>
  </si>
  <si>
    <t>Спуск свай из металлических труб диаметром 530, толщиной 12 мм, в обсадной трубе диамером 800 мм (прим.)</t>
  </si>
  <si>
    <t>6</t>
  </si>
  <si>
    <t>Свободный спуск или подъем обсадных труб (надфильтровых труб) в трубах большего диаметра при ударно-канатном бурении с соединением: сварным</t>
  </si>
  <si>
    <t>м</t>
  </si>
  <si>
    <t xml:space="preserve">(2576 / 10)*10 </t>
  </si>
  <si>
    <t>7</t>
  </si>
  <si>
    <t>Разработка грунта с погрузкой на автомобили-самосвалы в траншеях экскаватором «обратная лопата» с ковшом вместимостью 0,65 (0,5-1) м3, группа грунтов: 3</t>
  </si>
  <si>
    <t>м3</t>
  </si>
  <si>
    <t xml:space="preserve">(530.7 / 1000)*1000 </t>
  </si>
  <si>
    <t>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</si>
  <si>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</si>
  <si>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1т груза</t>
  </si>
  <si>
    <t xml:space="preserve">530.7*1.9 </t>
  </si>
  <si>
    <t>9</t>
  </si>
  <si>
    <t>Обработка поверхности пескоструйным аппаратом (материал заказчика - шлак гранулированный)</t>
  </si>
  <si>
    <t>м2</t>
  </si>
  <si>
    <t xml:space="preserve">(4567 / 100)*100 </t>
  </si>
  <si>
    <t>10</t>
  </si>
  <si>
    <t>Песок природный для строительных работ I класс, средний</t>
  </si>
  <si>
    <t>11</t>
  </si>
  <si>
    <t>Шлак гранулированный (материал заказчика)</t>
  </si>
  <si>
    <t xml:space="preserve">32*4567/1000 </t>
  </si>
  <si>
    <t>12</t>
  </si>
  <si>
    <t>Обеспыливание поверхности</t>
  </si>
  <si>
    <t>13</t>
  </si>
  <si>
    <t>Обезжиривание поверхностей аппаратов и трубопроводов диаметром свыше 500 мм: уайт-спиритом (материал заказчика)</t>
  </si>
  <si>
    <t>14</t>
  </si>
  <si>
    <t>Уайт-спирит</t>
  </si>
  <si>
    <t>кг</t>
  </si>
  <si>
    <t>15</t>
  </si>
  <si>
    <t>Окраска свай и анкерных плит из стального шпунта: эмалью ХВ-785 в один слой (прим. Антикоррозионное покрытие свай грунт-эмалью Hempathane Topcoat 55210 слоем 100 мкм (Двухкомпонентное глянцевое акрилполиуретановое покрытие, отверждаемое алифатическим изоцианатом) Потери материала при окраске составляют 3%)</t>
  </si>
  <si>
    <t>16</t>
  </si>
  <si>
    <t>Эмаль ХВ-785, цветная, белый</t>
  </si>
  <si>
    <t>17</t>
  </si>
  <si>
    <t>Растворитель Р-4</t>
  </si>
  <si>
    <t>18</t>
  </si>
  <si>
    <t>Двухкомпонентное глянцевое акрилполиуретановое покрытие, отверждаемое алифатическим изоцианатом) Потери материала при окраске составляют 3%) (материал заказчика)</t>
  </si>
  <si>
    <t xml:space="preserve">1106,82588/1000 </t>
  </si>
  <si>
    <t>19</t>
  </si>
  <si>
    <t>Заполнение полости стальных свай сухой цементно-песчаной смесью (прим. бетоном), для свай объемом: свыше 1,25 до 1,75 м3</t>
  </si>
  <si>
    <t>20</t>
  </si>
  <si>
    <t>Смеси бетонные тяжелого бетона (БСТ) на сульфастойком портландцементе, класс В30, F(1)200, W12 (материал заказчика)</t>
  </si>
  <si>
    <t>21</t>
  </si>
  <si>
    <t>Устройство бетонной пробки</t>
  </si>
  <si>
    <t xml:space="preserve">(55 / 100)*100 </t>
  </si>
  <si>
    <t>22</t>
  </si>
  <si>
    <t>Сетка стальная плетеная одинарная из проволоки без покрытия с квадратными ячейками, диаметр проволоки 1,4 мм, размер ячейки 12х12 мм</t>
  </si>
  <si>
    <t>23</t>
  </si>
  <si>
    <t>Швеллеры стальные горячекатаные, марки стали Ст3пс, Ст3сп, № 40У, № 40П</t>
  </si>
  <si>
    <t>24</t>
  </si>
  <si>
    <t>Сталь арматурная горячекатаная гладкая, класс A-I, диаметр 6-22 мм</t>
  </si>
  <si>
    <t>25</t>
  </si>
  <si>
    <t>Стойки рудничные хвойных пород (сосна, пихта), длина 0,9-4 м, диаметр 7-24 см</t>
  </si>
  <si>
    <t>26</t>
  </si>
  <si>
    <t>Бруски обрезные хвойных пород (ель, сосна), естественной влажности, длина 2-6,5 м, ширина 20-90 мм, толщина 20-90 мм, сорт II</t>
  </si>
  <si>
    <t>27</t>
  </si>
  <si>
    <t>Доска обрезная хвойных пород, естественной влажности, длина 2-6,5 м, ширина 100-250 мм, толщина 44-50 мм, сорт II</t>
  </si>
  <si>
    <t>28</t>
  </si>
  <si>
    <t>29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</si>
  <si>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однослойных</t>
  </si>
  <si>
    <t xml:space="preserve">((240/0,25) / 1000)*1000 </t>
  </si>
  <si>
    <t>30</t>
  </si>
  <si>
    <t>Щебень из плотных горных пород для строительных работ М 800, фракция 40-80(70) мм (материал заказчика)</t>
  </si>
  <si>
    <t>31</t>
  </si>
  <si>
    <t>Щебень из плотных горных пород для строительных работ М 800, фракция 5(3)-20 мм (материал заказчика)</t>
  </si>
  <si>
    <t>32</t>
  </si>
  <si>
    <t>На каждый 1 см изменения толщины слоя добавлять или исключать к нормам 27-04-006-01, 27-04-006-02, 27-04-006-03 (до 25 см)</t>
  </si>
  <si>
    <t>33</t>
  </si>
  <si>
    <t>34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</si>
  <si>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39 км</t>
  </si>
  <si>
    <t>35</t>
  </si>
  <si>
    <t>Уплотнение грунта пневматическими трамбовками, группа грунтов: 1-2</t>
  </si>
  <si>
    <t xml:space="preserve">(240 / 100)*100 </t>
  </si>
  <si>
    <t>36</t>
  </si>
  <si>
    <t>Устройство бетонной подготовки</t>
  </si>
  <si>
    <t xml:space="preserve">(67 / 100)*100 </t>
  </si>
  <si>
    <t>37</t>
  </si>
  <si>
    <t>Смеси бетонные мелкозернистого бетона (БСМ), класс В7,5 (М100)  (материал заказчика)</t>
  </si>
  <si>
    <t>38</t>
  </si>
  <si>
    <t xml:space="preserve">(55.2 / 100)*100 </t>
  </si>
  <si>
    <t>39</t>
  </si>
  <si>
    <t>40</t>
  </si>
  <si>
    <t>Устройство железобетонных балок для перекрытий в инвентарной опалубке (подача бетона в бадьях) на высоте от опорной площадки: до 6 м при высоте балок до 500 мм</t>
  </si>
  <si>
    <t xml:space="preserve">(320 / 100)*100 </t>
  </si>
  <si>
    <t>41</t>
  </si>
  <si>
    <t>Проволока светлая, диаметр 1,1 мм</t>
  </si>
  <si>
    <t>42</t>
  </si>
  <si>
    <t>Бруски обрезные хвойных пород (ель, сосна), естественной влажности, длина 2-6,5 м, ширина 20-90 мм, толщина 20-90 мм, сорт III</t>
  </si>
  <si>
    <t>43</t>
  </si>
  <si>
    <t>Доска обрезная хвойных пород, естественной влажности, длина 2-6,5 м, ширина 100-250 мм, толщина 44-50 мм, сорт III</t>
  </si>
  <si>
    <t>44</t>
  </si>
  <si>
    <t>Сталь арматурная горячекатаная периодического профиля, класс A-400, диаметр 12 мм  (материал заказчика)</t>
  </si>
  <si>
    <t xml:space="preserve">12.5+2.5 </t>
  </si>
  <si>
    <t>45</t>
  </si>
  <si>
    <t>Сталь арматурная горячекатаная периодического профиля, класс A-400, диаметр 25-28 мм  (материал заказчика)</t>
  </si>
  <si>
    <t xml:space="preserve">20.2+1.69 </t>
  </si>
  <si>
    <t>46</t>
  </si>
  <si>
    <t>47</t>
  </si>
  <si>
    <t>Детали закладные, вес до 1 кг (материал заказчика)</t>
  </si>
  <si>
    <t>48</t>
  </si>
  <si>
    <t>Окрасочная изоляция горизонтальной бетонной поверхности: горячим битумом в два слоя</t>
  </si>
  <si>
    <t xml:space="preserve">(872.2 / 100)*100 </t>
  </si>
  <si>
    <t>49</t>
  </si>
  <si>
    <t>Битум нефтяной строительный изоляционный БНИ-IV-3, БНИ-IV, БНИ-V (материал заказчика)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</si>
  <si>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</si>
  <si>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</si>
  <si>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</si>
  <si>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</si>
  <si>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</si>
  <si>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</si>
  <si>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</si>
  <si>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</si>
  <si>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</si>
  <si>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</si>
  <si>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</si>
  <si>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Монтаж связей и распорок из одиночных и парных уголков, гнутосварных профилей</t>
  </si>
  <si>
    <t>61</t>
  </si>
  <si>
    <t>Конструкции стальные индивидуального изготовления из сортового проката (материал заказчика)</t>
  </si>
  <si>
    <t>62</t>
  </si>
  <si>
    <t xml:space="preserve">(8 / 100)*100 </t>
  </si>
  <si>
    <t>63</t>
  </si>
  <si>
    <t>Составил:</t>
  </si>
  <si>
    <t/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</si>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</sst>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5">
    <numFmt formatCode="0.0" numFmtId="164"/>
    <numFmt formatCode="0.000" numFmtId="165"/>
    <numFmt formatCode="0.0000" numFmtId="166"/>
    <numFmt formatCode="0.0000000" numFmtId="167"/>
    <numFmt formatCode="0.00000" numFmtId="168"/>
  </numFmts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14"/>
      <name val="Arial"/>
      <charset val="204"/>
      <b/>
    </font>
    <font>
      <color rgb="FF000000"/>
      <sz val="9"/>
      <name val="Arial"/>
      <charset val="204"/>
      <b/>
    </font>
    <font>
      <sz val="8"/>
      <name val="Arial"/>
      <charset val="204"/>
    </font>
    <font>
      <sz val="8"/>
      <name val="Arial"/>
      <charset val="204"/>
      <i/>
    </font>
    <font>
      <color rgb="FF000000"/>
      <sz val="8"/>
      <name val="Arial"/>
      <charset val="204"/>
      <b/>
    </font>
    <font>
      <color rgb="FFFF0000"/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4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8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AC83"/>
  <sheetViews>
    <sheetView workbookViewId="0" tabSelected="true" showZeros="true" showFormulas="false" showGridLines="true" showRowColHeaders="true">
      <selection sqref="G5" activeCell="G5"/>
    </sheetView>
  </sheetViews>
  <sheetFormatPr defaultColWidth="9.140625" customHeight="true" defaultRowHeight="11.25"/>
  <cols>
    <col max="1" min="1" style="1" width="5.5703125" customWidth="true"/>
    <col max="2" min="2" style="2" width="5.5703125" customWidth="true"/>
    <col max="3" min="3" style="2" width="44.42578125" customWidth="true"/>
    <col max="4" min="4" style="2" width="10.7109375" customWidth="true"/>
    <col max="5" min="5" style="2" width="12.28515625" customWidth="true"/>
    <col max="6" min="6" style="2" width="12.5703125" customWidth="true"/>
    <col max="7" min="7" style="2" width="22.140625" customWidth="true"/>
    <col max="8" min="8" style="2" width="22" customWidth="true"/>
    <col max="9" min="9" style="2" width="9.140625"/>
    <col max="10" min="10" style="2" width="4.7109375" customWidth="true" hidden="true"/>
    <col max="16" min="11" style="2" width="9.140625"/>
    <col max="17" min="17" style="3" width="135.28515625" customWidth="true" hidden="true"/>
    <col max="19" min="18" style="4" width="55.140625" customWidth="true" hidden="true"/>
    <col max="23" min="20" style="5" width="69" customWidth="true" hidden="true"/>
    <col max="25" min="24" style="4" width="55.140625" customWidth="true" hidden="true"/>
    <col max="29" min="26" style="5" width="69" customWidth="true" hidden="true"/>
    <col max="16384" min="30" style="2" width="9.140625"/>
  </cols>
  <sheetData>
    <row r="2" ht="18" customFormat="true" s="0">
      <c r="A2" s="6" t="s">
        <v>0</v>
      </c>
      <c r="B2" s="6"/>
      <c r="C2" s="6"/>
      <c r="D2" s="6"/>
      <c r="E2" s="6"/>
      <c r="F2" s="6"/>
      <c r="G2" s="6"/>
      <c r="H2" s="6"/>
    </row>
    <row r="3" customHeight="true" ht="9.75" customFormat="true" s="0">
      <c r="A3" s="7"/>
    </row>
    <row r="4" customHeight="true" ht="36" customFormat="true" s="0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/>
    </row>
    <row r="5" customFormat="true" s="0">
      <c r="A5" s="10" t="n">
        <v>1</v>
      </c>
      <c r="B5" s="11" t="n">
        <v>2</v>
      </c>
      <c r="C5" s="11" t="n">
        <v>3</v>
      </c>
      <c r="D5" s="11" t="n">
        <v>4</v>
      </c>
      <c r="E5" s="11" t="n">
        <v>5</v>
      </c>
      <c r="F5" s="11" t="n">
        <v>6</v>
      </c>
      <c r="G5" s="12" t="n">
        <v>7</v>
      </c>
      <c r="H5" s="13"/>
    </row>
    <row r="6" ht="12" customFormat="true" s="0">
      <c r="A6" s="14" t="s">
        <v>8</v>
      </c>
      <c r="B6" s="14"/>
      <c r="C6" s="14"/>
      <c r="D6" s="14"/>
      <c r="E6" s="14"/>
      <c r="F6" s="14"/>
      <c r="G6" s="14"/>
      <c r="H6" s="14"/>
      <c r="I6" s="0"/>
      <c r="J6" s="0"/>
      <c r="Q6" s="15" t="s">
        <v>8</v>
      </c>
    </row>
    <row r="7" ht="22.5" customFormat="true" s="0">
      <c r="A7" s="16">
        <f>IF(J7&lt;&gt;"",COUNTA(J$1:J7),"")</f>
      </c>
      <c r="B7" s="17" t="s">
        <v>9</v>
      </c>
      <c r="C7" s="18" t="s">
        <v>10</v>
      </c>
      <c r="D7" s="19" t="s">
        <v>11</v>
      </c>
      <c r="E7" s="20" t="n">
        <v>112</v>
      </c>
      <c r="F7" s="18"/>
      <c r="G7" s="20"/>
      <c r="H7" s="18" t="s">
        <v>12</v>
      </c>
      <c r="I7" s="0"/>
      <c r="J7" s="2" t="s">
        <v>13</v>
      </c>
      <c r="Q7" s="15"/>
    </row>
    <row r="8" ht="22.5" customFormat="true" s="0">
      <c r="A8" s="16">
        <f>IF(J8&lt;&gt;"",COUNTA(J$1:J8),"")</f>
      </c>
      <c r="B8" s="17" t="s">
        <v>14</v>
      </c>
      <c r="C8" s="18" t="s">
        <v>15</v>
      </c>
      <c r="D8" s="19" t="s">
        <v>16</v>
      </c>
      <c r="E8" s="21" t="n">
        <v>431.4</v>
      </c>
      <c r="F8" s="18"/>
      <c r="G8" s="20"/>
      <c r="H8" s="18" t="s">
        <v>17</v>
      </c>
      <c r="I8" s="0"/>
      <c r="J8" s="2" t="s">
        <v>13</v>
      </c>
      <c r="Q8" s="15"/>
    </row>
    <row r="9" ht="22.5" customFormat="true" s="0">
      <c r="A9" s="16">
        <f>IF(J9&lt;&gt;"",COUNTA(J$1:J9),"")</f>
      </c>
      <c r="B9" s="17" t="s">
        <v>18</v>
      </c>
      <c r="C9" s="18" t="s">
        <v>19</v>
      </c>
      <c r="D9" s="19" t="s">
        <v>16</v>
      </c>
      <c r="E9" s="21" t="n">
        <v>431.4</v>
      </c>
      <c r="F9" s="18"/>
      <c r="G9" s="20"/>
      <c r="H9" s="18" t="s">
        <v>17</v>
      </c>
      <c r="I9" s="0"/>
      <c r="J9" s="2" t="s">
        <v>13</v>
      </c>
      <c r="Q9" s="15"/>
    </row>
    <row r="10" ht="11.25" customFormat="true" s="0">
      <c r="A10" s="16">
        <f>IF(J10&lt;&gt;"",COUNTA(J$1:J10),"")</f>
      </c>
      <c r="B10" s="17" t="s">
        <v>20</v>
      </c>
      <c r="C10" s="18" t="s">
        <v>21</v>
      </c>
      <c r="D10" s="19" t="s">
        <v>16</v>
      </c>
      <c r="E10" s="21" t="n">
        <v>7.3</v>
      </c>
      <c r="F10" s="18"/>
      <c r="G10" s="20"/>
      <c r="H10" s="18" t="s">
        <v>17</v>
      </c>
      <c r="I10" s="0"/>
      <c r="J10" s="2" t="s">
        <v>13</v>
      </c>
      <c r="Q10" s="15"/>
    </row>
    <row r="11" ht="33.75" customFormat="true" s="0">
      <c r="A11" s="16">
        <f>IF(J11&lt;&gt;"",COUNTA(J$1:J11),"")</f>
      </c>
      <c r="B11" s="17" t="s">
        <v>22</v>
      </c>
      <c r="C11" s="18" t="s">
        <v>23</v>
      </c>
      <c r="D11" s="19" t="s">
        <v>16</v>
      </c>
      <c r="E11" s="22" t="n">
        <v>394.901</v>
      </c>
      <c r="F11" s="18"/>
      <c r="G11" s="20"/>
      <c r="H11" s="18" t="s">
        <v>17</v>
      </c>
      <c r="I11" s="0"/>
      <c r="J11" s="2" t="s">
        <v>13</v>
      </c>
      <c r="Q11" s="15"/>
    </row>
    <row r="12" ht="33.75" customFormat="true" s="0">
      <c r="A12" s="16">
        <f>IF(J12&lt;&gt;"",COUNTA(J$1:J12),"")</f>
      </c>
      <c r="B12" s="17" t="s">
        <v>24</v>
      </c>
      <c r="C12" s="18" t="s">
        <v>25</v>
      </c>
      <c r="D12" s="19" t="s">
        <v>26</v>
      </c>
      <c r="E12" s="20" t="n">
        <v>2576</v>
      </c>
      <c r="F12" s="18"/>
      <c r="G12" s="20"/>
      <c r="H12" s="18" t="s">
        <v>27</v>
      </c>
      <c r="I12" s="0"/>
      <c r="J12" s="2" t="s">
        <v>13</v>
      </c>
      <c r="Q12" s="15"/>
    </row>
    <row r="13" ht="33.75" customFormat="true" s="0">
      <c r="A13" s="16">
        <f>IF(J13&lt;&gt;"",COUNTA(J$1:J13),"")</f>
      </c>
      <c r="B13" s="17" t="s">
        <v>28</v>
      </c>
      <c r="C13" s="18" t="s">
        <v>29</v>
      </c>
      <c r="D13" s="19" t="s">
        <v>30</v>
      </c>
      <c r="E13" s="20" t="n">
        <v>530.7</v>
      </c>
      <c r="F13" s="18"/>
      <c r="G13" s="20"/>
      <c r="H13" s="18" t="s">
        <v>31</v>
      </c>
      <c r="I13" s="0"/>
      <c r="J13" s="2" t="s">
        <v>13</v>
      </c>
      <c r="Q13" s="15"/>
    </row>
    <row r="14" ht="67.5" customFormat="true" s="0">
      <c r="A14" s="16">
        <f>IF(J14&lt;&gt;"",COUNTA(J$1:J14),"")</f>
      </c>
      <c r="B14" s="17" t="s">
        <v>32</v>
      </c>
      <c r="C14" s="18" t="s">
        <v>33</v>
      </c>
      <c r="D14" s="19" t="s">
        <v>34</v>
      </c>
      <c r="E14" s="23" t="n">
        <v>1008.33</v>
      </c>
      <c r="F14" s="18"/>
      <c r="G14" s="20"/>
      <c r="H14" s="18" t="s">
        <v>35</v>
      </c>
      <c r="I14" s="0"/>
      <c r="J14" s="2" t="s">
        <v>13</v>
      </c>
      <c r="Q14" s="15"/>
    </row>
    <row r="15" ht="22.5" customFormat="true" s="0">
      <c r="A15" s="16">
        <f>IF(J15&lt;&gt;"",COUNTA(J$1:J15),"")</f>
      </c>
      <c r="B15" s="17" t="s">
        <v>36</v>
      </c>
      <c r="C15" s="18" t="s">
        <v>37</v>
      </c>
      <c r="D15" s="19" t="s">
        <v>38</v>
      </c>
      <c r="E15" s="20" t="n">
        <v>4567</v>
      </c>
      <c r="F15" s="18"/>
      <c r="G15" s="20"/>
      <c r="H15" s="18" t="s">
        <v>39</v>
      </c>
      <c r="I15" s="0"/>
      <c r="J15" s="2" t="s">
        <v>13</v>
      </c>
      <c r="Q15" s="15"/>
    </row>
    <row r="16" ht="11.25" customFormat="true" s="0">
      <c r="A16" s="16">
        <f>IF(J16&lt;&gt;"",COUNTA(J$1:J16),"")</f>
      </c>
      <c r="B16" s="17" t="s">
        <v>40</v>
      </c>
      <c r="C16" s="18" t="s">
        <v>41</v>
      </c>
      <c r="D16" s="19" t="s">
        <v>30</v>
      </c>
      <c r="E16" s="23" t="n">
        <v>-137.01</v>
      </c>
      <c r="F16" s="18"/>
      <c r="G16" s="20"/>
      <c r="H16" s="18" t="s">
        <v>17</v>
      </c>
      <c r="I16" s="0"/>
      <c r="J16" s="2" t="s">
        <v>13</v>
      </c>
      <c r="Q16" s="15"/>
    </row>
    <row r="17" ht="11.25" customFormat="true" s="0">
      <c r="A17" s="16">
        <f>IF(J17&lt;&gt;"",COUNTA(J$1:J17),"")</f>
      </c>
      <c r="B17" s="17" t="s">
        <v>42</v>
      </c>
      <c r="C17" s="18" t="s">
        <v>43</v>
      </c>
      <c r="D17" s="19" t="s">
        <v>16</v>
      </c>
      <c r="E17" s="22" t="n">
        <v>146.144</v>
      </c>
      <c r="F17" s="18"/>
      <c r="G17" s="20"/>
      <c r="H17" s="18" t="s">
        <v>44</v>
      </c>
      <c r="I17" s="0"/>
      <c r="J17" s="2" t="s">
        <v>13</v>
      </c>
      <c r="Q17" s="15"/>
    </row>
    <row r="18" ht="11.25" customFormat="true" s="0">
      <c r="A18" s="16">
        <f>IF(J18&lt;&gt;"",COUNTA(J$1:J18),"")</f>
      </c>
      <c r="B18" s="17" t="s">
        <v>45</v>
      </c>
      <c r="C18" s="18" t="s">
        <v>46</v>
      </c>
      <c r="D18" s="19" t="s">
        <v>38</v>
      </c>
      <c r="E18" s="24" t="n">
        <v>4567</v>
      </c>
      <c r="F18" s="18"/>
      <c r="G18" s="20"/>
      <c r="H18" s="18" t="s">
        <v>17</v>
      </c>
      <c r="I18" s="0"/>
      <c r="J18" s="2" t="s">
        <v>13</v>
      </c>
      <c r="Q18" s="15"/>
    </row>
    <row r="19" ht="33.75" customFormat="true" s="0">
      <c r="A19" s="16">
        <f>IF(J19&lt;&gt;"",COUNTA(J$1:J19),"")</f>
      </c>
      <c r="B19" s="17" t="s">
        <v>47</v>
      </c>
      <c r="C19" s="18" t="s">
        <v>48</v>
      </c>
      <c r="D19" s="19" t="s">
        <v>38</v>
      </c>
      <c r="E19" s="20" t="n">
        <v>4567</v>
      </c>
      <c r="F19" s="18"/>
      <c r="G19" s="20"/>
      <c r="H19" s="18" t="s">
        <v>39</v>
      </c>
      <c r="I19" s="0"/>
      <c r="J19" s="2" t="s">
        <v>13</v>
      </c>
      <c r="Q19" s="15"/>
    </row>
    <row r="20" ht="11.25" customFormat="true" s="0">
      <c r="A20" s="16">
        <f>IF(J20&lt;&gt;"",COUNTA(J$1:J20),"")</f>
      </c>
      <c r="B20" s="17" t="s">
        <v>49</v>
      </c>
      <c r="C20" s="18" t="s">
        <v>50</v>
      </c>
      <c r="D20" s="19" t="s">
        <v>51</v>
      </c>
      <c r="E20" s="23" t="n">
        <v>-1507.11</v>
      </c>
      <c r="F20" s="18"/>
      <c r="G20" s="20"/>
      <c r="H20" s="18" t="s">
        <v>17</v>
      </c>
      <c r="I20" s="0"/>
      <c r="J20" s="2" t="s">
        <v>13</v>
      </c>
      <c r="Q20" s="15"/>
    </row>
    <row r="21" ht="78.75" customFormat="true" s="0">
      <c r="A21" s="16">
        <f>IF(J21&lt;&gt;"",COUNTA(J$1:J21),"")</f>
      </c>
      <c r="B21" s="17" t="s">
        <v>52</v>
      </c>
      <c r="C21" s="18" t="s">
        <v>53</v>
      </c>
      <c r="D21" s="19" t="s">
        <v>16</v>
      </c>
      <c r="E21" s="20" t="n">
        <v>4567</v>
      </c>
      <c r="F21" s="18"/>
      <c r="G21" s="20"/>
      <c r="H21" s="18" t="s">
        <v>39</v>
      </c>
      <c r="I21" s="0"/>
      <c r="J21" s="2" t="s">
        <v>13</v>
      </c>
      <c r="Q21" s="15"/>
    </row>
    <row r="22" ht="11.25" customFormat="true" s="0">
      <c r="A22" s="16">
        <f>IF(J22&lt;&gt;"",COUNTA(J$1:J22),"")</f>
      </c>
      <c r="B22" s="17" t="s">
        <v>54</v>
      </c>
      <c r="C22" s="18" t="s">
        <v>55</v>
      </c>
      <c r="D22" s="19" t="s">
        <v>16</v>
      </c>
      <c r="E22" s="22" t="n">
        <v>-4.567</v>
      </c>
      <c r="F22" s="18"/>
      <c r="G22" s="20"/>
      <c r="H22" s="18" t="s">
        <v>17</v>
      </c>
      <c r="I22" s="0"/>
      <c r="J22" s="2" t="s">
        <v>13</v>
      </c>
      <c r="Q22" s="15"/>
    </row>
    <row r="23" ht="11.25" customFormat="true" s="0">
      <c r="A23" s="16">
        <f>IF(J23&lt;&gt;"",COUNTA(J$1:J23),"")</f>
      </c>
      <c r="B23" s="17" t="s">
        <v>56</v>
      </c>
      <c r="C23" s="18" t="s">
        <v>57</v>
      </c>
      <c r="D23" s="19" t="s">
        <v>16</v>
      </c>
      <c r="E23" s="25" t="n">
        <v>-1.3701</v>
      </c>
      <c r="F23" s="18"/>
      <c r="G23" s="20"/>
      <c r="H23" s="18" t="s">
        <v>17</v>
      </c>
      <c r="I23" s="0"/>
      <c r="J23" s="2" t="s">
        <v>13</v>
      </c>
      <c r="Q23" s="15"/>
    </row>
    <row r="24" ht="45" customFormat="true" s="0">
      <c r="A24" s="16">
        <f>IF(J24&lt;&gt;"",COUNTA(J$1:J24),"")</f>
      </c>
      <c r="B24" s="17" t="s">
        <v>58</v>
      </c>
      <c r="C24" s="18" t="s">
        <v>59</v>
      </c>
      <c r="D24" s="19" t="s">
        <v>16</v>
      </c>
      <c r="E24" s="26" t="n">
        <v>1.1068259</v>
      </c>
      <c r="F24" s="18"/>
      <c r="G24" s="20"/>
      <c r="H24" s="18" t="s">
        <v>60</v>
      </c>
      <c r="I24" s="0"/>
      <c r="J24" s="2" t="s">
        <v>13</v>
      </c>
      <c r="Q24" s="15"/>
    </row>
    <row r="25" ht="33.75" customFormat="true" s="0">
      <c r="A25" s="16">
        <f>IF(J25&lt;&gt;"",COUNTA(J$1:J25),"")</f>
      </c>
      <c r="B25" s="17" t="s">
        <v>61</v>
      </c>
      <c r="C25" s="18" t="s">
        <v>62</v>
      </c>
      <c r="D25" s="19" t="s">
        <v>30</v>
      </c>
      <c r="E25" s="24" t="n">
        <v>605</v>
      </c>
      <c r="F25" s="18"/>
      <c r="G25" s="20"/>
      <c r="H25" s="18" t="s">
        <v>17</v>
      </c>
      <c r="I25" s="0"/>
      <c r="J25" s="2" t="s">
        <v>13</v>
      </c>
      <c r="Q25" s="15"/>
    </row>
    <row r="26" ht="33.75" customFormat="true" s="0">
      <c r="A26" s="16">
        <f>IF(J26&lt;&gt;"",COUNTA(J$1:J26),"")</f>
      </c>
      <c r="B26" s="17" t="s">
        <v>63</v>
      </c>
      <c r="C26" s="18" t="s">
        <v>64</v>
      </c>
      <c r="D26" s="19" t="s">
        <v>30</v>
      </c>
      <c r="E26" s="24" t="n">
        <v>605</v>
      </c>
      <c r="F26" s="18"/>
      <c r="G26" s="20"/>
      <c r="H26" s="18" t="s">
        <v>17</v>
      </c>
      <c r="I26" s="0"/>
      <c r="J26" s="2" t="s">
        <v>13</v>
      </c>
      <c r="Q26" s="15"/>
    </row>
    <row r="27" ht="11.25" customFormat="true" s="0">
      <c r="A27" s="16">
        <f>IF(J27&lt;&gt;"",COUNTA(J$1:J27),"")</f>
      </c>
      <c r="B27" s="17" t="s">
        <v>65</v>
      </c>
      <c r="C27" s="18" t="s">
        <v>66</v>
      </c>
      <c r="D27" s="19" t="s">
        <v>30</v>
      </c>
      <c r="E27" s="20" t="n">
        <v>55</v>
      </c>
      <c r="F27" s="18"/>
      <c r="G27" s="20"/>
      <c r="H27" s="18" t="s">
        <v>67</v>
      </c>
      <c r="I27" s="0"/>
      <c r="J27" s="2" t="s">
        <v>13</v>
      </c>
      <c r="Q27" s="15"/>
    </row>
    <row r="28" ht="33.75" customFormat="true" s="0">
      <c r="A28" s="16">
        <f>IF(J28&lt;&gt;"",COUNTA(J$1:J28),"")</f>
      </c>
      <c r="B28" s="17" t="s">
        <v>68</v>
      </c>
      <c r="C28" s="18" t="s">
        <v>69</v>
      </c>
      <c r="D28" s="19" t="s">
        <v>38</v>
      </c>
      <c r="E28" s="23" t="n">
        <v>-9.68</v>
      </c>
      <c r="F28" s="18"/>
      <c r="G28" s="20"/>
      <c r="H28" s="18" t="s">
        <v>17</v>
      </c>
      <c r="I28" s="0"/>
      <c r="J28" s="2" t="s">
        <v>13</v>
      </c>
      <c r="Q28" s="15"/>
    </row>
    <row r="29" ht="22.5" customFormat="true" s="0">
      <c r="A29" s="16">
        <f>IF(J29&lt;&gt;"",COUNTA(J$1:J29),"")</f>
      </c>
      <c r="B29" s="17" t="s">
        <v>70</v>
      </c>
      <c r="C29" s="18" t="s">
        <v>71</v>
      </c>
      <c r="D29" s="19" t="s">
        <v>16</v>
      </c>
      <c r="E29" s="25" t="n">
        <v>-0.0275</v>
      </c>
      <c r="F29" s="18"/>
      <c r="G29" s="20"/>
      <c r="H29" s="18" t="s">
        <v>17</v>
      </c>
      <c r="I29" s="0"/>
      <c r="J29" s="2" t="s">
        <v>13</v>
      </c>
      <c r="Q29" s="15"/>
    </row>
    <row r="30" ht="22.5" customFormat="true" s="0">
      <c r="A30" s="16">
        <f>IF(J30&lt;&gt;"",COUNTA(J$1:J30),"")</f>
      </c>
      <c r="B30" s="17" t="s">
        <v>72</v>
      </c>
      <c r="C30" s="18" t="s">
        <v>73</v>
      </c>
      <c r="D30" s="19" t="s">
        <v>16</v>
      </c>
      <c r="E30" s="22" t="n">
        <v>-0.121</v>
      </c>
      <c r="F30" s="18"/>
      <c r="G30" s="20"/>
      <c r="H30" s="18" t="s">
        <v>17</v>
      </c>
      <c r="I30" s="0"/>
      <c r="J30" s="2" t="s">
        <v>13</v>
      </c>
      <c r="Q30" s="15"/>
    </row>
    <row r="31" ht="22.5" customFormat="true" s="0">
      <c r="A31" s="16">
        <f>IF(J31&lt;&gt;"",COUNTA(J$1:J31),"")</f>
      </c>
      <c r="B31" s="17" t="s">
        <v>74</v>
      </c>
      <c r="C31" s="18" t="s">
        <v>75</v>
      </c>
      <c r="D31" s="19" t="s">
        <v>30</v>
      </c>
      <c r="E31" s="25" t="n">
        <v>-0.0275</v>
      </c>
      <c r="F31" s="18"/>
      <c r="G31" s="20"/>
      <c r="H31" s="18" t="s">
        <v>17</v>
      </c>
      <c r="I31" s="0"/>
      <c r="J31" s="2" t="s">
        <v>13</v>
      </c>
      <c r="Q31" s="15"/>
    </row>
    <row r="32" ht="33.75" customFormat="true" s="0">
      <c r="A32" s="16">
        <f>IF(J32&lt;&gt;"",COUNTA(J$1:J32),"")</f>
      </c>
      <c r="B32" s="17" t="s">
        <v>76</v>
      </c>
      <c r="C32" s="18" t="s">
        <v>77</v>
      </c>
      <c r="D32" s="19" t="s">
        <v>30</v>
      </c>
      <c r="E32" s="25" t="n">
        <v>-0.1265</v>
      </c>
      <c r="F32" s="18"/>
      <c r="G32" s="20"/>
      <c r="H32" s="18" t="s">
        <v>17</v>
      </c>
      <c r="I32" s="0"/>
      <c r="J32" s="2" t="s">
        <v>13</v>
      </c>
      <c r="Q32" s="15"/>
    </row>
    <row r="33" ht="33.75" customFormat="true" s="0">
      <c r="A33" s="16">
        <f>IF(J33&lt;&gt;"",COUNTA(J$1:J33),"")</f>
      </c>
      <c r="B33" s="17" t="s">
        <v>78</v>
      </c>
      <c r="C33" s="18" t="s">
        <v>79</v>
      </c>
      <c r="D33" s="19" t="s">
        <v>30</v>
      </c>
      <c r="E33" s="22" t="n">
        <v>-0.099</v>
      </c>
      <c r="F33" s="18"/>
      <c r="G33" s="20"/>
      <c r="H33" s="18" t="s">
        <v>17</v>
      </c>
      <c r="I33" s="0"/>
      <c r="J33" s="2" t="s">
        <v>13</v>
      </c>
      <c r="Q33" s="15"/>
    </row>
    <row r="34" ht="33.75" customFormat="true" s="0">
      <c r="A34" s="16">
        <f>IF(J34&lt;&gt;"",COUNTA(J$1:J34),"")</f>
      </c>
      <c r="B34" s="17" t="s">
        <v>80</v>
      </c>
      <c r="C34" s="18" t="s">
        <v>64</v>
      </c>
      <c r="D34" s="19" t="s">
        <v>30</v>
      </c>
      <c r="E34" s="23" t="n">
        <v>56.65</v>
      </c>
      <c r="F34" s="18"/>
      <c r="G34" s="20"/>
      <c r="H34" s="18" t="s">
        <v>17</v>
      </c>
      <c r="I34" s="0"/>
      <c r="J34" s="2" t="s">
        <v>13</v>
      </c>
      <c r="Q34" s="15"/>
    </row>
    <row r="35" ht="45" customFormat="true" s="0">
      <c r="A35" s="16">
        <f>IF(J35&lt;&gt;"",COUNTA(J$1:J35),"")</f>
      </c>
      <c r="B35" s="17" t="s">
        <v>81</v>
      </c>
      <c r="C35" s="18" t="s">
        <v>82</v>
      </c>
      <c r="D35" s="19" t="s">
        <v>38</v>
      </c>
      <c r="E35" s="20" t="n">
        <v>960</v>
      </c>
      <c r="F35" s="18"/>
      <c r="G35" s="20"/>
      <c r="H35" s="18" t="s">
        <v>83</v>
      </c>
      <c r="I35" s="0"/>
      <c r="J35" s="2" t="s">
        <v>13</v>
      </c>
      <c r="Q35" s="15"/>
    </row>
    <row r="36" ht="22.5" customFormat="true" s="0">
      <c r="A36" s="16">
        <f>IF(J36&lt;&gt;"",COUNTA(J$1:J36),"")</f>
      </c>
      <c r="B36" s="17" t="s">
        <v>84</v>
      </c>
      <c r="C36" s="18" t="s">
        <v>85</v>
      </c>
      <c r="D36" s="19" t="s">
        <v>30</v>
      </c>
      <c r="E36" s="23" t="n">
        <v>181.44</v>
      </c>
      <c r="F36" s="18"/>
      <c r="G36" s="20"/>
      <c r="H36" s="18" t="s">
        <v>17</v>
      </c>
      <c r="I36" s="0"/>
      <c r="J36" s="2" t="s">
        <v>13</v>
      </c>
      <c r="Q36" s="15"/>
    </row>
    <row r="37" ht="22.5" customFormat="true" s="0">
      <c r="A37" s="16">
        <f>IF(J37&lt;&gt;"",COUNTA(J$1:J37),"")</f>
      </c>
      <c r="B37" s="17" t="s">
        <v>86</v>
      </c>
      <c r="C37" s="18" t="s">
        <v>87</v>
      </c>
      <c r="D37" s="19" t="s">
        <v>30</v>
      </c>
      <c r="E37" s="21" t="n">
        <v>14.4</v>
      </c>
      <c r="F37" s="18"/>
      <c r="G37" s="20"/>
      <c r="H37" s="18" t="s">
        <v>17</v>
      </c>
      <c r="I37" s="0"/>
      <c r="J37" s="2" t="s">
        <v>13</v>
      </c>
      <c r="Q37" s="15"/>
    </row>
    <row r="38" ht="33.75" customFormat="true" s="0">
      <c r="A38" s="16">
        <f>IF(J38&lt;&gt;"",COUNTA(J$1:J38),"")</f>
      </c>
      <c r="B38" s="17" t="s">
        <v>88</v>
      </c>
      <c r="C38" s="18" t="s">
        <v>89</v>
      </c>
      <c r="D38" s="19" t="s">
        <v>38</v>
      </c>
      <c r="E38" s="20" t="n">
        <v>960</v>
      </c>
      <c r="F38" s="18"/>
      <c r="G38" s="20"/>
      <c r="H38" s="18" t="s">
        <v>17</v>
      </c>
      <c r="I38" s="0"/>
      <c r="J38" s="2" t="s">
        <v>13</v>
      </c>
      <c r="Q38" s="15"/>
    </row>
    <row r="39" ht="22.5" customFormat="true" s="0">
      <c r="A39" s="16">
        <f>IF(J39&lt;&gt;"",COUNTA(J$1:J39),"")</f>
      </c>
      <c r="B39" s="17" t="s">
        <v>90</v>
      </c>
      <c r="C39" s="18" t="s">
        <v>85</v>
      </c>
      <c r="D39" s="19" t="s">
        <v>30</v>
      </c>
      <c r="E39" s="23" t="n">
        <v>120.96</v>
      </c>
      <c r="F39" s="18"/>
      <c r="G39" s="20"/>
      <c r="H39" s="18" t="s">
        <v>17</v>
      </c>
      <c r="I39" s="0"/>
      <c r="J39" s="2" t="s">
        <v>13</v>
      </c>
      <c r="Q39" s="15"/>
    </row>
    <row r="40" ht="67.5" customFormat="true" s="0">
      <c r="A40" s="16">
        <f>IF(J40&lt;&gt;"",COUNTA(J$1:J40),"")</f>
      </c>
      <c r="B40" s="17" t="s">
        <v>91</v>
      </c>
      <c r="C40" s="18" t="s">
        <v>92</v>
      </c>
      <c r="D40" s="19" t="s">
        <v>34</v>
      </c>
      <c r="E40" s="21" t="n">
        <v>315.4</v>
      </c>
      <c r="F40" s="18"/>
      <c r="G40" s="20"/>
      <c r="H40" s="18" t="s">
        <v>17</v>
      </c>
      <c r="I40" s="0"/>
      <c r="J40" s="2" t="s">
        <v>13</v>
      </c>
      <c r="Q40" s="15"/>
    </row>
    <row r="41" ht="22.5" customFormat="true" s="0">
      <c r="A41" s="16">
        <f>IF(J41&lt;&gt;"",COUNTA(J$1:J41),"")</f>
      </c>
      <c r="B41" s="17" t="s">
        <v>93</v>
      </c>
      <c r="C41" s="18" t="s">
        <v>94</v>
      </c>
      <c r="D41" s="19" t="s">
        <v>30</v>
      </c>
      <c r="E41" s="20" t="n">
        <v>240</v>
      </c>
      <c r="F41" s="18"/>
      <c r="G41" s="20"/>
      <c r="H41" s="18" t="s">
        <v>95</v>
      </c>
      <c r="I41" s="0"/>
      <c r="J41" s="2" t="s">
        <v>13</v>
      </c>
      <c r="Q41" s="15"/>
    </row>
    <row r="42" ht="11.25" customFormat="true" s="0">
      <c r="A42" s="16">
        <f>IF(J42&lt;&gt;"",COUNTA(J$1:J42),"")</f>
      </c>
      <c r="B42" s="17" t="s">
        <v>96</v>
      </c>
      <c r="C42" s="18" t="s">
        <v>97</v>
      </c>
      <c r="D42" s="19" t="s">
        <v>30</v>
      </c>
      <c r="E42" s="20" t="n">
        <v>67</v>
      </c>
      <c r="F42" s="18"/>
      <c r="G42" s="20"/>
      <c r="H42" s="18" t="s">
        <v>98</v>
      </c>
      <c r="I42" s="0"/>
      <c r="J42" s="2" t="s">
        <v>13</v>
      </c>
      <c r="Q42" s="15"/>
    </row>
    <row r="43" ht="22.5" customFormat="true" s="0">
      <c r="A43" s="16">
        <f>IF(J43&lt;&gt;"",COUNTA(J$1:J43),"")</f>
      </c>
      <c r="B43" s="17" t="s">
        <v>99</v>
      </c>
      <c r="C43" s="18" t="s">
        <v>100</v>
      </c>
      <c r="D43" s="19" t="s">
        <v>30</v>
      </c>
      <c r="E43" s="23" t="n">
        <v>68.34</v>
      </c>
      <c r="F43" s="18"/>
      <c r="G43" s="20"/>
      <c r="H43" s="18" t="s">
        <v>17</v>
      </c>
      <c r="I43" s="0"/>
      <c r="J43" s="2" t="s">
        <v>13</v>
      </c>
      <c r="Q43" s="15"/>
    </row>
    <row r="44" ht="11.25" customFormat="true" s="0">
      <c r="A44" s="16">
        <f>IF(J44&lt;&gt;"",COUNTA(J$1:J44),"")</f>
      </c>
      <c r="B44" s="17" t="s">
        <v>101</v>
      </c>
      <c r="C44" s="18" t="s">
        <v>97</v>
      </c>
      <c r="D44" s="19" t="s">
        <v>30</v>
      </c>
      <c r="E44" s="20" t="n">
        <v>55.2</v>
      </c>
      <c r="F44" s="18"/>
      <c r="G44" s="20"/>
      <c r="H44" s="18" t="s">
        <v>102</v>
      </c>
      <c r="I44" s="0"/>
      <c r="J44" s="2" t="s">
        <v>13</v>
      </c>
      <c r="Q44" s="15"/>
    </row>
    <row r="45" ht="22.5" customFormat="true" s="0">
      <c r="A45" s="16">
        <f>IF(J45&lt;&gt;"",COUNTA(J$1:J45),"")</f>
      </c>
      <c r="B45" s="17" t="s">
        <v>103</v>
      </c>
      <c r="C45" s="18" t="s">
        <v>100</v>
      </c>
      <c r="D45" s="19" t="s">
        <v>30</v>
      </c>
      <c r="E45" s="22" t="n">
        <v>56.304</v>
      </c>
      <c r="F45" s="18"/>
      <c r="G45" s="20"/>
      <c r="H45" s="18" t="s">
        <v>17</v>
      </c>
      <c r="I45" s="0"/>
      <c r="J45" s="2" t="s">
        <v>13</v>
      </c>
      <c r="Q45" s="15"/>
    </row>
    <row r="46" ht="45" customFormat="true" s="0">
      <c r="A46" s="16">
        <f>IF(J46&lt;&gt;"",COUNTA(J$1:J46),"")</f>
      </c>
      <c r="B46" s="17" t="s">
        <v>104</v>
      </c>
      <c r="C46" s="18" t="s">
        <v>105</v>
      </c>
      <c r="D46" s="19" t="s">
        <v>30</v>
      </c>
      <c r="E46" s="20" t="n">
        <v>320</v>
      </c>
      <c r="F46" s="18"/>
      <c r="G46" s="20"/>
      <c r="H46" s="18" t="s">
        <v>106</v>
      </c>
      <c r="I46" s="0"/>
      <c r="J46" s="2" t="s">
        <v>13</v>
      </c>
      <c r="Q46" s="15"/>
    </row>
    <row r="47" ht="11.25" customFormat="true" s="0">
      <c r="A47" s="16">
        <f>IF(J47&lt;&gt;"",COUNTA(J$1:J47),"")</f>
      </c>
      <c r="B47" s="17" t="s">
        <v>107</v>
      </c>
      <c r="C47" s="18" t="s">
        <v>108</v>
      </c>
      <c r="D47" s="19" t="s">
        <v>16</v>
      </c>
      <c r="E47" s="25" t="n">
        <v>-0.1504</v>
      </c>
      <c r="F47" s="18"/>
      <c r="G47" s="20"/>
      <c r="H47" s="18" t="s">
        <v>17</v>
      </c>
      <c r="I47" s="0"/>
      <c r="J47" s="2" t="s">
        <v>13</v>
      </c>
      <c r="Q47" s="15"/>
    </row>
    <row r="48" ht="33.75" customFormat="true" s="0">
      <c r="A48" s="16">
        <f>IF(J48&lt;&gt;"",COUNTA(J$1:J48),"")</f>
      </c>
      <c r="B48" s="17" t="s">
        <v>109</v>
      </c>
      <c r="C48" s="18" t="s">
        <v>110</v>
      </c>
      <c r="D48" s="19" t="s">
        <v>30</v>
      </c>
      <c r="E48" s="22" t="n">
        <v>-5.792</v>
      </c>
      <c r="F48" s="18"/>
      <c r="G48" s="20"/>
      <c r="H48" s="18" t="s">
        <v>17</v>
      </c>
      <c r="I48" s="0"/>
      <c r="J48" s="2" t="s">
        <v>13</v>
      </c>
      <c r="Q48" s="15"/>
    </row>
    <row r="49" ht="33.75" customFormat="true" s="0">
      <c r="A49" s="16">
        <f>IF(J49&lt;&gt;"",COUNTA(J$1:J49),"")</f>
      </c>
      <c r="B49" s="17" t="s">
        <v>111</v>
      </c>
      <c r="C49" s="18" t="s">
        <v>112</v>
      </c>
      <c r="D49" s="19" t="s">
        <v>30</v>
      </c>
      <c r="E49" s="22" t="n">
        <v>-1.632</v>
      </c>
      <c r="F49" s="18"/>
      <c r="G49" s="20"/>
      <c r="H49" s="18" t="s">
        <v>17</v>
      </c>
      <c r="I49" s="0"/>
      <c r="J49" s="2" t="s">
        <v>13</v>
      </c>
      <c r="Q49" s="15"/>
    </row>
    <row r="50" ht="33.75" customFormat="true" s="0">
      <c r="A50" s="16">
        <f>IF(J50&lt;&gt;"",COUNTA(J$1:J50),"")</f>
      </c>
      <c r="B50" s="17" t="s">
        <v>113</v>
      </c>
      <c r="C50" s="18" t="s">
        <v>114</v>
      </c>
      <c r="D50" s="19" t="s">
        <v>16</v>
      </c>
      <c r="E50" s="24" t="n">
        <v>15</v>
      </c>
      <c r="F50" s="18"/>
      <c r="G50" s="20"/>
      <c r="H50" s="18" t="s">
        <v>115</v>
      </c>
      <c r="I50" s="0"/>
      <c r="J50" s="2" t="s">
        <v>13</v>
      </c>
      <c r="Q50" s="15"/>
    </row>
    <row r="51" ht="33.75" customFormat="true" s="0">
      <c r="A51" s="16">
        <f>IF(J51&lt;&gt;"",COUNTA(J$1:J51),"")</f>
      </c>
      <c r="B51" s="17" t="s">
        <v>116</v>
      </c>
      <c r="C51" s="18" t="s">
        <v>117</v>
      </c>
      <c r="D51" s="19" t="s">
        <v>16</v>
      </c>
      <c r="E51" s="23" t="n">
        <v>21.89</v>
      </c>
      <c r="F51" s="18"/>
      <c r="G51" s="20"/>
      <c r="H51" s="18" t="s">
        <v>118</v>
      </c>
      <c r="I51" s="0"/>
      <c r="J51" s="2" t="s">
        <v>13</v>
      </c>
      <c r="Q51" s="15"/>
    </row>
    <row r="52" ht="33.75" customFormat="true" s="0">
      <c r="A52" s="16">
        <f>IF(J52&lt;&gt;"",COUNTA(J$1:J52),"")</f>
      </c>
      <c r="B52" s="17" t="s">
        <v>119</v>
      </c>
      <c r="C52" s="18" t="s">
        <v>64</v>
      </c>
      <c r="D52" s="19" t="s">
        <v>30</v>
      </c>
      <c r="E52" s="21" t="n">
        <v>324.8</v>
      </c>
      <c r="F52" s="18"/>
      <c r="G52" s="20"/>
      <c r="H52" s="18" t="s">
        <v>17</v>
      </c>
      <c r="I52" s="0"/>
      <c r="J52" s="2" t="s">
        <v>13</v>
      </c>
      <c r="Q52" s="15"/>
    </row>
    <row r="53" ht="11.25" customFormat="true" s="0">
      <c r="A53" s="16">
        <f>IF(J53&lt;&gt;"",COUNTA(J$1:J53),"")</f>
      </c>
      <c r="B53" s="17" t="s">
        <v>120</v>
      </c>
      <c r="C53" s="18" t="s">
        <v>121</v>
      </c>
      <c r="D53" s="19" t="s">
        <v>16</v>
      </c>
      <c r="E53" s="23" t="n">
        <v>4.75</v>
      </c>
      <c r="F53" s="18"/>
      <c r="G53" s="20"/>
      <c r="H53" s="18" t="s">
        <v>17</v>
      </c>
      <c r="I53" s="0"/>
      <c r="J53" s="2" t="s">
        <v>13</v>
      </c>
      <c r="Q53" s="15"/>
    </row>
    <row r="54" ht="22.5" customFormat="true" s="0">
      <c r="A54" s="16">
        <f>IF(J54&lt;&gt;"",COUNTA(J$1:J54),"")</f>
      </c>
      <c r="B54" s="17" t="s">
        <v>122</v>
      </c>
      <c r="C54" s="18" t="s">
        <v>123</v>
      </c>
      <c r="D54" s="19" t="s">
        <v>38</v>
      </c>
      <c r="E54" s="20" t="n">
        <v>872.2</v>
      </c>
      <c r="F54" s="18"/>
      <c r="G54" s="20"/>
      <c r="H54" s="18" t="s">
        <v>124</v>
      </c>
      <c r="I54" s="0"/>
      <c r="J54" s="2" t="s">
        <v>13</v>
      </c>
      <c r="Q54" s="15"/>
    </row>
    <row r="55" ht="22.5" customFormat="true" s="0">
      <c r="A55" s="16">
        <f>IF(J55&lt;&gt;"",COUNTA(J$1:J55),"")</f>
      </c>
      <c r="B55" s="17" t="s">
        <v>125</v>
      </c>
      <c r="C55" s="18" t="s">
        <v>126</v>
      </c>
      <c r="D55" s="19" t="s">
        <v>16</v>
      </c>
      <c r="E55" s="27" t="n">
        <v>1.83162</v>
      </c>
      <c r="F55" s="18"/>
      <c r="G55" s="20"/>
      <c r="H55" s="18" t="s">
        <v>17</v>
      </c>
      <c r="I55" s="0"/>
      <c r="J55" s="2" t="s">
        <v>13</v>
      </c>
      <c r="Q55" s="15"/>
    </row>
    <row r="56" ht="11.25" customFormat="true" s="0">
      <c r="A56" s="16">
        <f>IF(J56&lt;&gt;"",COUNTA(J$1:J56),"")</f>
      </c>
      <c r="B56" s="17" t="s">
        <v>127</v>
      </c>
      <c r="C56" s="18" t="s">
        <v>66</v>
      </c>
      <c r="D56" s="19" t="s">
        <v>30</v>
      </c>
      <c r="E56" s="20" t="n">
        <v>55</v>
      </c>
      <c r="F56" s="18"/>
      <c r="G56" s="20"/>
      <c r="H56" s="18" t="s">
        <v>67</v>
      </c>
      <c r="I56" s="0"/>
      <c r="J56" s="2" t="s">
        <v>13</v>
      </c>
      <c r="Q56" s="15"/>
    </row>
    <row r="57" ht="33.75" customFormat="true" s="0">
      <c r="A57" s="16">
        <f>IF(J57&lt;&gt;"",COUNTA(J$1:J57),"")</f>
      </c>
      <c r="B57" s="17" t="s">
        <v>128</v>
      </c>
      <c r="C57" s="18" t="s">
        <v>69</v>
      </c>
      <c r="D57" s="19" t="s">
        <v>38</v>
      </c>
      <c r="E57" s="23" t="n">
        <v>-9.68</v>
      </c>
      <c r="F57" s="18"/>
      <c r="G57" s="20"/>
      <c r="H57" s="18" t="s">
        <v>17</v>
      </c>
      <c r="I57" s="0"/>
      <c r="J57" s="2" t="s">
        <v>13</v>
      </c>
      <c r="Q57" s="15"/>
    </row>
    <row r="58" ht="22.5" customFormat="true" s="0">
      <c r="A58" s="16">
        <f>IF(J58&lt;&gt;"",COUNTA(J$1:J58),"")</f>
      </c>
      <c r="B58" s="17" t="s">
        <v>129</v>
      </c>
      <c r="C58" s="18" t="s">
        <v>71</v>
      </c>
      <c r="D58" s="19" t="s">
        <v>16</v>
      </c>
      <c r="E58" s="25" t="n">
        <v>-0.0275</v>
      </c>
      <c r="F58" s="18"/>
      <c r="G58" s="20"/>
      <c r="H58" s="18" t="s">
        <v>17</v>
      </c>
      <c r="I58" s="0"/>
      <c r="J58" s="2" t="s">
        <v>13</v>
      </c>
      <c r="Q58" s="15"/>
    </row>
    <row r="59" ht="22.5" customFormat="true" s="0">
      <c r="A59" s="16">
        <f>IF(J59&lt;&gt;"",COUNTA(J$1:J59),"")</f>
      </c>
      <c r="B59" s="17" t="s">
        <v>130</v>
      </c>
      <c r="C59" s="18" t="s">
        <v>73</v>
      </c>
      <c r="D59" s="19" t="s">
        <v>16</v>
      </c>
      <c r="E59" s="22" t="n">
        <v>-0.121</v>
      </c>
      <c r="F59" s="18"/>
      <c r="G59" s="20"/>
      <c r="H59" s="18" t="s">
        <v>17</v>
      </c>
      <c r="I59" s="0"/>
      <c r="J59" s="2" t="s">
        <v>13</v>
      </c>
      <c r="Q59" s="15"/>
    </row>
    <row r="60" ht="22.5" customFormat="true" s="0">
      <c r="A60" s="16">
        <f>IF(J60&lt;&gt;"",COUNTA(J$1:J60),"")</f>
      </c>
      <c r="B60" s="17" t="s">
        <v>131</v>
      </c>
      <c r="C60" s="18" t="s">
        <v>75</v>
      </c>
      <c r="D60" s="19" t="s">
        <v>30</v>
      </c>
      <c r="E60" s="25" t="n">
        <v>-0.0275</v>
      </c>
      <c r="F60" s="18"/>
      <c r="G60" s="20"/>
      <c r="H60" s="18" t="s">
        <v>17</v>
      </c>
      <c r="I60" s="0"/>
      <c r="J60" s="2" t="s">
        <v>13</v>
      </c>
      <c r="Q60" s="15"/>
    </row>
    <row r="61" ht="33.75" customFormat="true" s="0">
      <c r="A61" s="16">
        <f>IF(J61&lt;&gt;"",COUNTA(J$1:J61),"")</f>
      </c>
      <c r="B61" s="17" t="s">
        <v>132</v>
      </c>
      <c r="C61" s="18" t="s">
        <v>77</v>
      </c>
      <c r="D61" s="19" t="s">
        <v>30</v>
      </c>
      <c r="E61" s="25" t="n">
        <v>-0.1265</v>
      </c>
      <c r="F61" s="18"/>
      <c r="G61" s="20"/>
      <c r="H61" s="18" t="s">
        <v>17</v>
      </c>
      <c r="I61" s="0"/>
      <c r="J61" s="2" t="s">
        <v>13</v>
      </c>
      <c r="Q61" s="15"/>
    </row>
    <row r="62" ht="33.75" customFormat="true" s="0">
      <c r="A62" s="16">
        <f>IF(J62&lt;&gt;"",COUNTA(J$1:J62),"")</f>
      </c>
      <c r="B62" s="17" t="s">
        <v>133</v>
      </c>
      <c r="C62" s="18" t="s">
        <v>79</v>
      </c>
      <c r="D62" s="19" t="s">
        <v>30</v>
      </c>
      <c r="E62" s="22" t="n">
        <v>-0.099</v>
      </c>
      <c r="F62" s="18"/>
      <c r="G62" s="20"/>
      <c r="H62" s="18" t="s">
        <v>17</v>
      </c>
      <c r="I62" s="0"/>
      <c r="J62" s="2" t="s">
        <v>13</v>
      </c>
      <c r="Q62" s="15"/>
    </row>
    <row r="63" ht="33.75" customFormat="true" s="0">
      <c r="A63" s="16">
        <f>IF(J63&lt;&gt;"",COUNTA(J$1:J63),"")</f>
      </c>
      <c r="B63" s="17" t="s">
        <v>134</v>
      </c>
      <c r="C63" s="18" t="s">
        <v>117</v>
      </c>
      <c r="D63" s="19" t="s">
        <v>16</v>
      </c>
      <c r="E63" s="21" t="n">
        <v>5.2</v>
      </c>
      <c r="F63" s="18"/>
      <c r="G63" s="20"/>
      <c r="H63" s="18" t="s">
        <v>17</v>
      </c>
      <c r="I63" s="0"/>
      <c r="J63" s="2" t="s">
        <v>13</v>
      </c>
      <c r="Q63" s="15"/>
    </row>
    <row r="64" ht="11.25" customFormat="true" s="0">
      <c r="A64" s="16">
        <f>IF(J64&lt;&gt;"",COUNTA(J$1:J64),"")</f>
      </c>
      <c r="B64" s="17" t="s">
        <v>135</v>
      </c>
      <c r="C64" s="18" t="s">
        <v>121</v>
      </c>
      <c r="D64" s="19" t="s">
        <v>16</v>
      </c>
      <c r="E64" s="23" t="n">
        <v>2.32</v>
      </c>
      <c r="F64" s="18"/>
      <c r="G64" s="20"/>
      <c r="H64" s="18" t="s">
        <v>17</v>
      </c>
      <c r="I64" s="0"/>
      <c r="J64" s="2" t="s">
        <v>13</v>
      </c>
      <c r="Q64" s="15"/>
    </row>
    <row r="65" ht="33.75" customFormat="true" s="0">
      <c r="A65" s="16">
        <f>IF(J65&lt;&gt;"",COUNTA(J$1:J65),"")</f>
      </c>
      <c r="B65" s="17" t="s">
        <v>136</v>
      </c>
      <c r="C65" s="18" t="s">
        <v>64</v>
      </c>
      <c r="D65" s="19" t="s">
        <v>30</v>
      </c>
      <c r="E65" s="23" t="n">
        <v>56.65</v>
      </c>
      <c r="F65" s="18"/>
      <c r="G65" s="20"/>
      <c r="H65" s="18" t="s">
        <v>17</v>
      </c>
      <c r="I65" s="0"/>
      <c r="J65" s="2" t="s">
        <v>13</v>
      </c>
      <c r="Q65" s="15"/>
    </row>
    <row r="66" ht="22.5" customFormat="true" s="0">
      <c r="A66" s="16">
        <f>IF(J66&lt;&gt;"",COUNTA(J$1:J66),"")</f>
      </c>
      <c r="B66" s="17" t="s">
        <v>137</v>
      </c>
      <c r="C66" s="18" t="s">
        <v>138</v>
      </c>
      <c r="D66" s="19" t="s">
        <v>16</v>
      </c>
      <c r="E66" s="23" t="n">
        <v>3.03</v>
      </c>
      <c r="F66" s="18"/>
      <c r="G66" s="20"/>
      <c r="H66" s="18" t="s">
        <v>17</v>
      </c>
      <c r="I66" s="0"/>
      <c r="J66" s="2" t="s">
        <v>13</v>
      </c>
      <c r="Q66" s="15"/>
    </row>
    <row r="67" ht="22.5" customFormat="true" s="0">
      <c r="A67" s="16">
        <f>IF(J67&lt;&gt;"",COUNTA(J$1:J67),"")</f>
      </c>
      <c r="B67" s="17" t="s">
        <v>139</v>
      </c>
      <c r="C67" s="18" t="s">
        <v>140</v>
      </c>
      <c r="D67" s="19" t="s">
        <v>16</v>
      </c>
      <c r="E67" s="23" t="n">
        <v>3.03</v>
      </c>
      <c r="F67" s="18"/>
      <c r="G67" s="20"/>
      <c r="H67" s="18" t="s">
        <v>17</v>
      </c>
      <c r="I67" s="0"/>
      <c r="J67" s="2" t="s">
        <v>13</v>
      </c>
      <c r="Q67" s="15"/>
    </row>
    <row r="68" ht="22.5" customFormat="true" s="0">
      <c r="A68" s="16">
        <f>IF(J68&lt;&gt;"",COUNTA(J$1:J68),"")</f>
      </c>
      <c r="B68" s="17" t="s">
        <v>141</v>
      </c>
      <c r="C68" s="18" t="s">
        <v>123</v>
      </c>
      <c r="D68" s="19" t="s">
        <v>38</v>
      </c>
      <c r="E68" s="20" t="n">
        <v>8</v>
      </c>
      <c r="F68" s="18"/>
      <c r="G68" s="20"/>
      <c r="H68" s="18" t="s">
        <v>142</v>
      </c>
      <c r="I68" s="0"/>
      <c r="J68" s="2" t="s">
        <v>13</v>
      </c>
      <c r="Q68" s="15"/>
    </row>
    <row r="69" ht="22.5" customFormat="true" s="0">
      <c r="A69" s="16">
        <f>IF(J69&lt;&gt;"",COUNTA(J$1:J69),"")</f>
      </c>
      <c r="B69" s="17" t="s">
        <v>143</v>
      </c>
      <c r="C69" s="18" t="s">
        <v>126</v>
      </c>
      <c r="D69" s="19" t="s">
        <v>16</v>
      </c>
      <c r="E69" s="25" t="n">
        <v>0.0168</v>
      </c>
      <c r="F69" s="18"/>
      <c r="G69" s="20"/>
      <c r="H69" s="18" t="s">
        <v>17</v>
      </c>
      <c r="I69" s="0"/>
      <c r="J69" s="2" t="s">
        <v>13</v>
      </c>
      <c r="Q69" s="15"/>
    </row>
    <row r="70" customHeight="true" ht="36.75" customFormat="true" s="0"/>
    <row r="71" ht="11.25" customFormat="true" s="28">
      <c r="A71" s="29"/>
      <c r="B71" s="30" t="s">
        <v>144</v>
      </c>
      <c r="C71" s="31"/>
      <c r="D71" s="31"/>
      <c r="E71" s="32"/>
      <c r="F71" s="32"/>
      <c r="G71" s="32"/>
      <c r="H71" s="32"/>
      <c r="I71" s="0"/>
      <c r="J71" s="0"/>
      <c r="K71" s="0"/>
      <c r="L71" s="0"/>
      <c r="M71" s="0"/>
      <c r="N71" s="0"/>
      <c r="O71" s="0"/>
      <c r="P71" s="0"/>
      <c r="Q71" s="33"/>
      <c r="R71" s="34" t="s">
        <v>145</v>
      </c>
      <c r="S71" s="34" t="s">
        <v>145</v>
      </c>
      <c r="T71" s="35" t="s">
        <v>145</v>
      </c>
      <c r="U71" s="35" t="s">
        <v>145</v>
      </c>
      <c r="V71" s="35" t="s">
        <v>145</v>
      </c>
      <c r="W71" s="35" t="s">
        <v>145</v>
      </c>
      <c r="X71" s="34"/>
      <c r="Y71" s="34"/>
      <c r="Z71" s="35"/>
      <c r="AA71" s="35"/>
      <c r="AB71" s="35"/>
      <c r="AC71" s="35"/>
    </row>
    <row r="72" customHeight="true" ht="20.25" customFormat="true" s="36">
      <c r="A72" s="37"/>
      <c r="B72" s="30"/>
      <c r="C72" s="38" t="s">
        <v>146</v>
      </c>
      <c r="D72" s="38"/>
      <c r="E72" s="38"/>
      <c r="F72" s="38"/>
      <c r="G72" s="38"/>
      <c r="H72" s="38"/>
      <c r="Q72" s="33"/>
      <c r="R72" s="34"/>
      <c r="S72" s="34"/>
      <c r="T72" s="35"/>
      <c r="U72" s="35"/>
      <c r="V72" s="35"/>
      <c r="W72" s="35"/>
      <c r="X72" s="34"/>
      <c r="Y72" s="34"/>
      <c r="Z72" s="35"/>
      <c r="AA72" s="35"/>
      <c r="AB72" s="35"/>
      <c r="AC72" s="35"/>
    </row>
    <row r="73" ht="11.25" customFormat="true" s="28">
      <c r="A73" s="29"/>
      <c r="B73" s="30" t="s">
        <v>147</v>
      </c>
      <c r="C73" s="31"/>
      <c r="D73" s="31"/>
      <c r="E73" s="32"/>
      <c r="F73" s="32"/>
      <c r="G73" s="32"/>
      <c r="H73" s="32"/>
      <c r="I73" s="0"/>
      <c r="J73" s="0"/>
      <c r="K73" s="0"/>
      <c r="L73" s="0"/>
      <c r="M73" s="0"/>
      <c r="N73" s="0"/>
      <c r="O73" s="0"/>
      <c r="P73" s="0"/>
      <c r="Q73" s="33"/>
      <c r="R73" s="34"/>
      <c r="S73" s="34"/>
      <c r="T73" s="35"/>
      <c r="U73" s="35"/>
      <c r="V73" s="35"/>
      <c r="W73" s="35"/>
      <c r="X73" s="34" t="s">
        <v>145</v>
      </c>
      <c r="Y73" s="34" t="s">
        <v>145</v>
      </c>
      <c r="Z73" s="35" t="s">
        <v>145</v>
      </c>
      <c r="AA73" s="35" t="s">
        <v>145</v>
      </c>
      <c r="AB73" s="35" t="s">
        <v>145</v>
      </c>
      <c r="AC73" s="35" t="s">
        <v>145</v>
      </c>
    </row>
    <row r="74" customHeight="true" ht="20.25" customFormat="true" s="36">
      <c r="A74" s="37"/>
      <c r="C74" s="38" t="s">
        <v>146</v>
      </c>
      <c r="D74" s="38"/>
      <c r="E74" s="38"/>
      <c r="F74" s="38"/>
      <c r="G74" s="38"/>
      <c r="H74" s="38"/>
      <c r="Q74" s="33"/>
      <c r="R74" s="34"/>
      <c r="S74" s="34"/>
      <c r="T74" s="35"/>
      <c r="U74" s="35"/>
      <c r="V74" s="35"/>
      <c r="W74" s="35"/>
      <c r="X74" s="34"/>
      <c r="Y74" s="34"/>
      <c r="Z74" s="35"/>
      <c r="AA74" s="35"/>
      <c r="AB74" s="35"/>
      <c r="AC74" s="35"/>
    </row>
    <row r="76" customFormat="true" s="0">
      <c r="B76" s="39"/>
      <c r="D76" s="39"/>
      <c r="F76" s="39"/>
    </row>
    <row r="81" customFormat="true" s="0">
      <c r="C81" s="40"/>
    </row>
    <row r="82" customFormat="true" s="0">
      <c r="C82" s="40"/>
    </row>
    <row r="83" customFormat="true" s="0">
      <c r="C83" s="40"/>
    </row>
  </sheetData>
  <mergeCells>
    <mergeCell ref="A2:H2"/>
    <mergeCell ref="G4:H4"/>
    <mergeCell ref="G5:H5"/>
    <mergeCell ref="A6:H6"/>
    <mergeCell ref="C71:D71"/>
    <mergeCell ref="E71:H71"/>
    <mergeCell ref="C72:H72"/>
    <mergeCell ref="C73:D73"/>
    <mergeCell ref="E73:H73"/>
    <mergeCell ref="C74:H7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2023-06-08T12:07:32.000Z</cp:lastPrinted>
  <dcterms:created xsi:type="dcterms:W3CDTF">2020-09-30T08:50:27.000Z</dcterms:created>
  <dcterms:modified xsi:type="dcterms:W3CDTF">2023-11-23T12:03:36.000Z</dcterms:modified>
</cp:coreProperties>
</file>